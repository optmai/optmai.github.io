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New Datasets" sheetId="2" r:id="rId6"/>
    <sheet state="visible" name="Potential Evaluation Datasets" sheetId="3" r:id="rId7"/>
    <sheet state="visible" name="Sheet7" sheetId="4" r:id="rId8"/>
    <sheet state="visible" name="Stats (Modality)" sheetId="5" r:id="rId9"/>
    <sheet state="visible" name="OmniMed-30M" sheetId="6" r:id="rId10"/>
    <sheet state="visible" name="Ajay_Processed" sheetId="7" r:id="rId11"/>
    <sheet state="visible" name="Sheet14" sheetId="8" r:id="rId12"/>
    <sheet state="visible" name="Website" sheetId="9" r:id="rId13"/>
    <sheet state="visible" name="Mixed Modalities" sheetId="10" r:id="rId14"/>
    <sheet state="visible" name="OmniMed-0.8M" sheetId="11" r:id="rId15"/>
  </sheets>
  <definedNames>
    <definedName hidden="1" localSheetId="3" name="_xlnm._FilterDatabase">Sheet7!$C$1:$C$989</definedName>
    <definedName hidden="1" localSheetId="4" name="_xlnm._FilterDatabase">'Stats (Modality)'!$A$1:$Z$1000</definedName>
    <definedName hidden="1" localSheetId="6" name="_xlnm._FilterDatabase">Ajay_Processed!$G$1:$G$992</definedName>
    <definedName hidden="1" localSheetId="9" name="_xlnm._FilterDatabase">'Mixed Modalities'!$A$1:$A$997</definedName>
  </definedNames>
  <calcPr/>
</workbook>
</file>

<file path=xl/sharedStrings.xml><?xml version="1.0" encoding="utf-8"?>
<sst xmlns="http://schemas.openxmlformats.org/spreadsheetml/2006/main" count="6968" uniqueCount="1918">
  <si>
    <t>Name</t>
  </si>
  <si>
    <t>LC25000</t>
  </si>
  <si>
    <t>FileName</t>
  </si>
  <si>
    <t>Path</t>
  </si>
  <si>
    <t>Modality</t>
  </si>
  <si>
    <t>https://www.kaggle.com/datasets/javaidahmadwani/lc25000</t>
  </si>
  <si>
    <t>Access</t>
  </si>
  <si>
    <t>Link</t>
  </si>
  <si>
    <t>OpticNerveSeg_Public_Dataset_for_Cranial_Nerve_II_Segmentation_from_Multimodal_M_21457212</t>
  </si>
  <si>
    <t>Body Part</t>
  </si>
  <si>
    <t>Format</t>
  </si>
  <si>
    <t>Shape</t>
  </si>
  <si>
    <t>Resolution</t>
  </si>
  <si>
    <t>OpticNerveSeg: Public Dataset for Cranial Nerve II Segmentation from Multimodal MRI</t>
  </si>
  <si>
    <t>Count</t>
  </si>
  <si>
    <t>Task</t>
  </si>
  <si>
    <t>Other Data (e.g., masks)</t>
  </si>
  <si>
    <t>MRI</t>
  </si>
  <si>
    <t>Moved</t>
  </si>
  <si>
    <t>Websites</t>
  </si>
  <si>
    <t>Moved Location</t>
  </si>
  <si>
    <t>References</t>
  </si>
  <si>
    <t>https://zenodo.org/records/21457212</t>
  </si>
  <si>
    <t># Images</t>
  </si>
  <si>
    <t>Location</t>
  </si>
  <si>
    <t>File</t>
  </si>
  <si>
    <t>Downloaded</t>
  </si>
  <si>
    <t>Decompressed</t>
  </si>
  <si>
    <t>ULS23</t>
  </si>
  <si>
    <t>/mnt/data-nas/medical_datasets/ULS23</t>
  </si>
  <si>
    <t>Agreement Required</t>
  </si>
  <si>
    <t>CT</t>
  </si>
  <si>
    <t>Agreement Submitted</t>
  </si>
  <si>
    <t>Approved</t>
  </si>
  <si>
    <t>Processed</t>
  </si>
  <si>
    <t>Link2</t>
  </si>
  <si>
    <t>Notes</t>
  </si>
  <si>
    <t>HCP</t>
  </si>
  <si>
    <t xml:space="preserve">/mnt/data-nas/medical_datasets/HCP
</t>
  </si>
  <si>
    <t xml:space="preserve">RSNA pneumonia dataset </t>
  </si>
  <si>
    <t>https://www.kaggle.com/competitions/rsna-pneumonia-detection-challenge</t>
  </si>
  <si>
    <t>RP3D-DiagDS</t>
  </si>
  <si>
    <t>https://github.com/qiaoyu-zheng/RP3D-Diag</t>
  </si>
  <si>
    <t>Delta</t>
  </si>
  <si>
    <t>Anonymised_Pelvic_MRI_Dataset_for_Endometriosis_Research_A_Nigerian_Pilot_Collec_21445496</t>
  </si>
  <si>
    <t>Anonymised Pelvic MRI Dataset for Endometriosis Research: A Nigerian Pilot Collection</t>
  </si>
  <si>
    <t>https://zenodo.org/records/21445496</t>
  </si>
  <si>
    <t>RadImageNet</t>
  </si>
  <si>
    <t>/mnt/data-nas/medical_datasets/radiology_ai/CT/dontmove</t>
  </si>
  <si>
    <t>/mnt/data-nas/medical_datasets/radiology_ai/MR/dontmove</t>
  </si>
  <si>
    <t xml:space="preserve">MRI </t>
  </si>
  <si>
    <t>ODIR-5k</t>
  </si>
  <si>
    <t>https://www.kaggle.com/datasets/tanjemahamed/odir5k-classification</t>
  </si>
  <si>
    <t>/mnt/data-nas/medical_datasets/radiology_ai/US/dontmove</t>
  </si>
  <si>
    <t>Ultrasound</t>
  </si>
  <si>
    <t>CBCT-IQ_A_Publicly_Available_Annotated_Cone-Beam_CT_Dataset_for_Image_Quality_As_20124496</t>
  </si>
  <si>
    <t>CBCT-IQ: A Publicly Available Annotated Cone-Beam CT Dataset for Image Quality Assessment and Benchmarking</t>
  </si>
  <si>
    <t>CBCT</t>
  </si>
  <si>
    <t>https://zenodo.org/records/20124496</t>
  </si>
  <si>
    <t>Quilt-1M</t>
  </si>
  <si>
    <t>/mnt/data-nas/medical_datasets/Quilt-1M</t>
  </si>
  <si>
    <t>Microscopy</t>
  </si>
  <si>
    <t>ISIC-2024</t>
  </si>
  <si>
    <t>/mnt/data-nas/medical_datasets/ISIC_2024_Training_Input</t>
  </si>
  <si>
    <t>Dermoscopy</t>
  </si>
  <si>
    <t>Retinal OCT Image Classification - C8</t>
  </si>
  <si>
    <t>Missing</t>
  </si>
  <si>
    <t>https://www.kaggle.com/datasets/obulisainaren/retinal-oct-c8</t>
  </si>
  <si>
    <t>CT, MRI, US, X-Ray, NM</t>
  </si>
  <si>
    <t>Head&amp;Neck, Abdomen&amp;Pelvis,LowerLimb,UpperLimb,Chest,Spine,Breast</t>
  </si>
  <si>
    <t>Classification</t>
  </si>
  <si>
    <t>Naija-CXR_dataset-JPG-A_Nigerian_Chest_X-ray_Dataset_for_Equitable_AI_and_Vision_21781842</t>
  </si>
  <si>
    <t>labeled with 5569 disorder labels and 931 ICD-10-CM disorder labels (coarse mapping); some cases include images from multiple modalities (~20%)</t>
  </si>
  <si>
    <t>Naija-CXR dataset-JPG-A Nigerian Chest X-ray Dataset for Equitable AI and Vision-Language Research</t>
  </si>
  <si>
    <t>https://qiaoyu-zheng.github.io/RP3D-Diag/</t>
  </si>
  <si>
    <t>X-ray</t>
  </si>
  <si>
    <t>VinDr-Multiphase</t>
  </si>
  <si>
    <t>/mnt/data-nas/medical_datasets/VinDr-Multiphase</t>
  </si>
  <si>
    <t>https://zenodo.org/records/21781842</t>
  </si>
  <si>
    <t>MIMIC-CXR</t>
  </si>
  <si>
    <t xml:space="preserve">/mnt/data-nas/biovfm/mimic-cxr-jpg-2.1.0
</t>
  </si>
  <si>
    <t>X-Ray</t>
  </si>
  <si>
    <t>Primary_Breast_Burkitt_Lymphoma_Multimodal_Imaging_Dataset_Immunohistochemistry__21470632</t>
  </si>
  <si>
    <t>Primary Breast Burkitt Lymphoma Multimodal Imaging Dataset: Immunohistochemistry, Cytology, and Ultrasound Images from Uganda (Version 1.2)</t>
  </si>
  <si>
    <t>PatchCamelyon</t>
  </si>
  <si>
    <t>/mnt/data-nas/medical_datasets/PatchCamelyon</t>
  </si>
  <si>
    <t>https://zenodo.org/records/21470632</t>
  </si>
  <si>
    <t xml:space="preserve">CheXpert </t>
  </si>
  <si>
    <t>/mnt/data-nas/medical_datasets/chexpert</t>
  </si>
  <si>
    <t>ToxoPath-1_A_Multimodal_Pathology_Dataset_of_Concurrent_Cerebral_and_Cardiac_Tox_21497156</t>
  </si>
  <si>
    <t>ToxoPath-1: A Multimodal Pathology Dataset of Concurrent Cerebral and Cardiac Toxoplasmosis in an HIV-Positive Patient</t>
  </si>
  <si>
    <t>Pathology</t>
  </si>
  <si>
    <t>https://zenodo.org/records/21497156</t>
  </si>
  <si>
    <t>PadChest</t>
  </si>
  <si>
    <t>/mnt/data-nas/medical_datasets/PadChest</t>
  </si>
  <si>
    <t>Histology_Tissue_Fold_Dataset_with_Pixel-Level_Annotations_for_Artificial_Intell_21493260</t>
  </si>
  <si>
    <t>EyePACS</t>
  </si>
  <si>
    <t>https://huggingface.co/datasets/QiaoyuZheng/RP3D-DiagDS</t>
  </si>
  <si>
    <t>Histology Tissue Fold Dataset with Pixel-Level Annotations for Artificial Intelligence-Based Detection and Segmentation of Tissue Fold Artifacts in H&amp;E-Stained Teaching Slides</t>
  </si>
  <si>
    <t>/mnt/data-nas/medical_datasets/EyePACS</t>
  </si>
  <si>
    <t>Fundus</t>
  </si>
  <si>
    <t>H&amp;E</t>
  </si>
  <si>
    <t>https://zenodo.org/records/21493260</t>
  </si>
  <si>
    <t>NCT-CRC-HE-100K</t>
  </si>
  <si>
    <t>/mnt/data-nas/medical_datasets/NCT-CRC-HE-100K</t>
  </si>
  <si>
    <t>Endo-FM</t>
  </si>
  <si>
    <t>/mnt/data-nas/medical_datasets/Endo-FM</t>
  </si>
  <si>
    <t>Endoscopy</t>
  </si>
  <si>
    <t>Skin_Lesions_Dataset_for_2-Class_Object_Segmentation_(YOLO_annotation)_21416759</t>
  </si>
  <si>
    <t>Skin Lesions Dataset for 2-Class Object Segmentation (YOLO annotation)</t>
  </si>
  <si>
    <t>https://zenodo.org/records/21416759</t>
  </si>
  <si>
    <t>ChestXray-14</t>
  </si>
  <si>
    <t>/mnt/data-nas/medical_datasets/ChestXray-14</t>
  </si>
  <si>
    <t>Kvasir-Capsule</t>
  </si>
  <si>
    <t>/mnt/data-nas/medical_datasets/Kvasir-Capsule</t>
  </si>
  <si>
    <t>GIM-ENDO</t>
  </si>
  <si>
    <t>ISIC-Archive</t>
  </si>
  <si>
    <t>/mnt/data-nas/medical_datasets/ISIC-Archive</t>
  </si>
  <si>
    <t>Yes</t>
  </si>
  <si>
    <t>https://zenodo.org/records/20707267</t>
  </si>
  <si>
    <t>Whole Body</t>
  </si>
  <si>
    <t>.nii</t>
  </si>
  <si>
    <t>256 × 256 × 128</t>
  </si>
  <si>
    <t>Segmentation</t>
  </si>
  <si>
    <t xml:space="preserve">lesion segmentation, masks, 2D and 3D </t>
  </si>
  <si>
    <t xml:space="preserve">TDSC-ABUS </t>
  </si>
  <si>
    <t>/mnt/data-nas/medical_datasets/TDSC-ABUS</t>
  </si>
  <si>
    <t>https://www.sciencedirect.com/science/article/pii/S1361841525000738?utm_source=chatgpt.com</t>
  </si>
  <si>
    <t>MSila</t>
  </si>
  <si>
    <t>M'Sila retinal fundus dataset</t>
  </si>
  <si>
    <t>https://zenodo.org/records/19169587</t>
  </si>
  <si>
    <t>EchoNet-Dynamic</t>
  </si>
  <si>
    <t>/mnt/data-nas/medical_datasets/EchoNet-Dynamic</t>
  </si>
  <si>
    <t>/mnt/data-nas/medical_datasets/lung_colon_image_set</t>
  </si>
  <si>
    <t>FLUID</t>
  </si>
  <si>
    <t>https://zenodo.org/records/19241555</t>
  </si>
  <si>
    <t>fitzpatrick17k</t>
  </si>
  <si>
    <t xml:space="preserve">/mnt/data-nas/biovfm/data/finalfitz17k
</t>
  </si>
  <si>
    <t># Datasets</t>
  </si>
  <si>
    <t>OMVIS</t>
  </si>
  <si>
    <t>VinDr-CXR</t>
  </si>
  <si>
    <t>/mnt/data-nas/medical_datasets/VinDr-CXR</t>
  </si>
  <si>
    <t>https://zenodo.org/records/18799656</t>
  </si>
  <si>
    <t>AOD</t>
  </si>
  <si>
    <t xml:space="preserve">/mnt/data-nas/medical_datasets/AOD
</t>
  </si>
  <si>
    <t>PTIC</t>
  </si>
  <si>
    <t>PathoTiroid Dataset Indonesian Collection (PTIC)</t>
  </si>
  <si>
    <t>Histopathology</t>
  </si>
  <si>
    <t>https://zenodo.org/records/18827019</t>
  </si>
  <si>
    <t>DDR</t>
  </si>
  <si>
    <t>/mnt/data-nas/medical_datasets/DDR</t>
  </si>
  <si>
    <t>NAS</t>
  </si>
  <si>
    <t>VinDr-BodyPartXR</t>
  </si>
  <si>
    <t>/mnt/data-nas/medical_datasets/VinDr-BodyPartXR</t>
  </si>
  <si>
    <t>NAS: ULS23</t>
  </si>
  <si>
    <t>VinDr-SpineXr</t>
  </si>
  <si>
    <t>/mnt/data-nas/medical_datasets/VinDr-SpineXR</t>
  </si>
  <si>
    <t>https://uls23.grand-challenge.org/uls23/</t>
  </si>
  <si>
    <t>Object-CXR</t>
  </si>
  <si>
    <t>/mnt/data-nas/medical_datasets/Object-CXR</t>
  </si>
  <si>
    <t>VinDr-PCXR</t>
  </si>
  <si>
    <t>/mnt/data-nas/medical_datasets/VinDr-PCXR</t>
  </si>
  <si>
    <t>OpenI</t>
  </si>
  <si>
    <t>/mnt/data-nas/medical_datasets/OpenI</t>
  </si>
  <si>
    <t>Messidor-2</t>
  </si>
  <si>
    <t>/mnt/data-nas/medical_datasets/Messidor-2</t>
  </si>
  <si>
    <t>XCAD</t>
  </si>
  <si>
    <t>/mnt/data-nas/medical_datasets/XCAD</t>
  </si>
  <si>
    <t>US</t>
  </si>
  <si>
    <t>ROSSA</t>
  </si>
  <si>
    <t>/mnt/data-nas/medical_datasets/ROSSA</t>
  </si>
  <si>
    <t>OCTA</t>
  </si>
  <si>
    <t>SARAS-ESAD</t>
  </si>
  <si>
    <t>/mnt/data-nas/medical_datasets/SARAS-ESAD</t>
  </si>
  <si>
    <t>SAM-Med2D-20M</t>
  </si>
  <si>
    <t>/mnt/data-nas/medical_datasets/SAM-Med2D-20M</t>
  </si>
  <si>
    <t>CT, MRI, PET, X-Ray, Ultrasound, Endoscopy, Microscopy, Ophthalmic</t>
  </si>
  <si>
    <t>Head, Brain, Abdomen, Chest</t>
  </si>
  <si>
    <t xml:space="preserve">ShenzhenCXR </t>
  </si>
  <si>
    <t>/mnt/data-nas/medical_datasets/ShenzhenCXR</t>
  </si>
  <si>
    <t>.png</t>
  </si>
  <si>
    <t>256 x 256 pixels</t>
  </si>
  <si>
    <t>Masks of corresponding images</t>
  </si>
  <si>
    <t>https://huggingface.co/datasets/OpenGVLab/SA-Med2D-20M</t>
  </si>
  <si>
    <t>FIVES</t>
  </si>
  <si>
    <t>/mnt/data-nas/medical_datasets/FIVES</t>
  </si>
  <si>
    <t>E-ophtha</t>
  </si>
  <si>
    <t>/mnt/data-nas/medical_datasets/E-ophtha</t>
  </si>
  <si>
    <t>Ophthalmic</t>
  </si>
  <si>
    <t>DrSAM</t>
  </si>
  <si>
    <t xml:space="preserve">/mnt/data-nas/medical_datasets/DrSAM
</t>
  </si>
  <si>
    <t>STARE</t>
  </si>
  <si>
    <t>/mnt/data-nas/biovfm/STARE</t>
  </si>
  <si>
    <t>RIM-ONE DL</t>
  </si>
  <si>
    <t>/mnt/data-nas/medical_datasets/RIM-ONE-DL</t>
  </si>
  <si>
    <t>https://arxiv.org/abs/2311.11969</t>
  </si>
  <si>
    <t>PET</t>
  </si>
  <si>
    <t>OCTA-500</t>
  </si>
  <si>
    <t>/mnt/data-nas/medical_datasets/OCTA-500</t>
  </si>
  <si>
    <t xml:space="preserve">VinDr-RibCXR </t>
  </si>
  <si>
    <t xml:space="preserve">/mnt/data-nas/medical_datasets/VinDr-RibCXR
</t>
  </si>
  <si>
    <t>BUS-B</t>
  </si>
  <si>
    <t xml:space="preserve">/mnt/data-nas/medical_datasets/BUID
</t>
  </si>
  <si>
    <t>Montgomery CXR</t>
  </si>
  <si>
    <t>/mnt/data-nas/medical_datasets/MontgomeryCXR</t>
  </si>
  <si>
    <t>DIARETDB1</t>
  </si>
  <si>
    <t>/mnt/data-nas/medical_datasets/DIARETDB1</t>
  </si>
  <si>
    <t>NAS: SAM-Med2D-20M</t>
  </si>
  <si>
    <t>DRIONS-DB</t>
  </si>
  <si>
    <t>/mnt/data-nas/medical_datasets/DRIONS-DB</t>
  </si>
  <si>
    <t>FastMRI</t>
  </si>
  <si>
    <t xml:space="preserve">/mnt/data-nas/medical_datasets/FastMRI
</t>
  </si>
  <si>
    <t>Drishti-GS1</t>
  </si>
  <si>
    <t>/mnt/data-nas/medical_datasets/Drishti-GS1_files</t>
  </si>
  <si>
    <t>Knee, Brain, Prostate, Breast</t>
  </si>
  <si>
    <t>.dcm</t>
  </si>
  <si>
    <t>Reconstruction</t>
  </si>
  <si>
    <t>Raw data from single and multi coils,fully-sampled ground-truth images</t>
  </si>
  <si>
    <t>https://fastmri.med.nyu.edu/</t>
  </si>
  <si>
    <t>DCA1</t>
  </si>
  <si>
    <t>/mnt/data-nas/medical_datasets/DCA1</t>
  </si>
  <si>
    <t>VICAVR</t>
  </si>
  <si>
    <t>/mnt/data-nas/medical_datasets/VICAVR</t>
  </si>
  <si>
    <t xml:space="preserve">HRF </t>
  </si>
  <si>
    <t>/mnt/data-nas/medical_datasets/HRF</t>
  </si>
  <si>
    <t>ROSE-1</t>
  </si>
  <si>
    <t>/mnt/data-nas/medical_datasets/ROSE/ROSE-1</t>
  </si>
  <si>
    <t>https://arxiv.org/pdf/1811.08839</t>
  </si>
  <si>
    <t>CHASE_DB1</t>
  </si>
  <si>
    <t>/mnt/data-nas/medical_datasets/CHASE_DB1</t>
  </si>
  <si>
    <t xml:space="preserve">DRIVE </t>
  </si>
  <si>
    <t>/mnt/data-nas/medical_datasets/DRIVE</t>
  </si>
  <si>
    <t>LES-AV</t>
  </si>
  <si>
    <t>/mnt/data-nas/medical_datasets/LES-AV</t>
  </si>
  <si>
    <t>NAS: FastMRI</t>
  </si>
  <si>
    <t>https://fastmri.med.nyu.edu</t>
  </si>
  <si>
    <t>Phantom</t>
  </si>
  <si>
    <t>/mnt/data-nas/medical_datasets/TCIA/Phantom_FDA/dontmove</t>
  </si>
  <si>
    <t>Covid-Xray</t>
  </si>
  <si>
    <t>/mnt/data-nas/medical_datasets/covid-chestxray-dataset/dontmove</t>
  </si>
  <si>
    <t>Lung-PET</t>
  </si>
  <si>
    <t>/mnt/data-nas/medical_datasets/TCIA-DICOM/Lung-PET-CT-Dx</t>
  </si>
  <si>
    <t>Radiomics</t>
  </si>
  <si>
    <t>/mnt/data-nas/medical_datasets/TCIA-DICOM/NSCLC-Radiomics</t>
  </si>
  <si>
    <t>MRI (rfMRI,fMRI,dMRI,tfMRI)</t>
  </si>
  <si>
    <t>is_3D</t>
  </si>
  <si>
    <t>Brain</t>
  </si>
  <si>
    <t>What_if_count</t>
  </si>
  <si>
    <t>0.7 mm × 0.7 mm × 0.7 mm</t>
  </si>
  <si>
    <t>Yale</t>
  </si>
  <si>
    <t>/mnt/data-nas/medical_datasets/Yale</t>
  </si>
  <si>
    <t>LDCT-and-Projection-data</t>
  </si>
  <si>
    <t>https://www.humanconnectome.org/study/hcp-young-adult/document/hcp-young-adult-2025-release</t>
  </si>
  <si>
    <t>/mnt/data-nas/medical_datasets/LDCT-and-Projection-data</t>
  </si>
  <si>
    <t>ISPY1</t>
  </si>
  <si>
    <t>/mnt/data-nas/vibalcam/datasets/ispy1</t>
  </si>
  <si>
    <t>CSEC</t>
  </si>
  <si>
    <t>/mnt/data-nas/medical_datasets/TCGA-CESC</t>
  </si>
  <si>
    <t>VSSEG</t>
  </si>
  <si>
    <t>/mnt/data-nas/medical_datasets/VSSEG</t>
  </si>
  <si>
    <t>ISPY1Trial</t>
  </si>
  <si>
    <t>/mnt/data-nas/vibalcam/datasets/ispy1_trial</t>
  </si>
  <si>
    <t>UCSF-PDGM</t>
  </si>
  <si>
    <t>/mnt/data-nas/medical_datasets/TCIA/UCSF-PDGM</t>
  </si>
  <si>
    <t>https://www.humanconnectome.org/study/hcp-young-adult/data-releases</t>
  </si>
  <si>
    <t>DFCI</t>
  </si>
  <si>
    <t>/mnt/data-nas/medical_datasets/DFCI</t>
  </si>
  <si>
    <t>RSNA_BrainTumorRC</t>
  </si>
  <si>
    <t>/mnt/data-nas/medical_datasets/RSNA_BrainTumorRC</t>
  </si>
  <si>
    <t>HVSPCD</t>
  </si>
  <si>
    <t>/mnt/data-nas/medical_datasets/HVSPCD</t>
  </si>
  <si>
    <t>CSMLP</t>
  </si>
  <si>
    <t>Download the Structural MRI package</t>
  </si>
  <si>
    <t>/mnt/data-nas/medical_datasets/CSMLP</t>
  </si>
  <si>
    <t>COVID-CT-MD</t>
  </si>
  <si>
    <t>/mnt/data-nas/medical_datasets/COVID-CT-MD</t>
  </si>
  <si>
    <t>/mnt/data-nas/medical_datasets/radiology_ai</t>
  </si>
  <si>
    <t>MPILMBB</t>
  </si>
  <si>
    <t>/mnt/data-nas/medical_datasets/MPILMBB</t>
  </si>
  <si>
    <t>CT, MRI, US</t>
  </si>
  <si>
    <t>Abdomen</t>
  </si>
  <si>
    <t>224x224x3</t>
  </si>
  <si>
    <t>LIDC-IDRI</t>
  </si>
  <si>
    <t>224 x 224 pixels</t>
  </si>
  <si>
    <t>/mnt/data-nas/vibalcam/datasets/LIDC-IDRI</t>
  </si>
  <si>
    <t>Pathological labels</t>
  </si>
  <si>
    <t>https://www.radimagenet.com</t>
  </si>
  <si>
    <t>File (Server name: File name)</t>
  </si>
  <si>
    <t>Advanced-MRI-Breast-Lesions</t>
  </si>
  <si>
    <t>/mnt/data-nas/vibalcam/datasets/Advanced-MRI-Breast-Lesions</t>
  </si>
  <si>
    <t>Anatomical Area</t>
  </si>
  <si>
    <t>Broad Modality</t>
  </si>
  <si>
    <t>Processed Images</t>
  </si>
  <si>
    <t>QIN-LungCT-Seg</t>
  </si>
  <si>
    <t>reason</t>
  </si>
  <si>
    <t>/mnt/data-nas/vibalcam/datasets/QIN-LungCT-Seg</t>
  </si>
  <si>
    <t>has_data</t>
  </si>
  <si>
    <t>CT-COLONOGRAPHY</t>
  </si>
  <si>
    <t>/mnt/data-nas/medical_datasets/CT-COLONOGRAPHY</t>
  </si>
  <si>
    <t>nih-chest-xrays</t>
  </si>
  <si>
    <t>NIH Chest X-rays</t>
  </si>
  <si>
    <t>Chest</t>
  </si>
  <si>
    <t>CMMD</t>
  </si>
  <si>
    <t>/mnt/data-nas/vibalcam/datasets/CMMD</t>
  </si>
  <si>
    <t>https://pubs.rsna.org/doi/full/10.1148/ryai.210315</t>
  </si>
  <si>
    <t>CBIS-DDSM</t>
  </si>
  <si>
    <t>/mnt/data-nas/vibalcam/datasets/CBIS-DDSM</t>
  </si>
  <si>
    <t>NAS: radiology_ai</t>
  </si>
  <si>
    <t>BCNB</t>
  </si>
  <si>
    <t>/mnt/data-nas/vibalcam/datasets/BCNB</t>
  </si>
  <si>
    <t>BCSS</t>
  </si>
  <si>
    <t>/mnt/data-nas/vibalcam/datasets/BCSS</t>
  </si>
  <si>
    <t>https://drive.google.com/file/d/1nQhybYZ7EBA886LaaR1vWm7BqKGEiHEf/view</t>
  </si>
  <si>
    <t>midog2021</t>
  </si>
  <si>
    <t>/mnt/data-nas/vibalcam/datasets/midog2021</t>
  </si>
  <si>
    <t>QIN-Breast</t>
  </si>
  <si>
    <t>/mnt/data-nas/vibalcam/datasets/QIN-Breast</t>
  </si>
  <si>
    <t>QIN-Breast-02</t>
  </si>
  <si>
    <t>/mnt/data-nas/vibalcam/datasets/QIN-Breast-02</t>
  </si>
  <si>
    <t>Lung</t>
  </si>
  <si>
    <t>NoDerivatives</t>
  </si>
  <si>
    <t>RIDER_Breast_MRI</t>
  </si>
  <si>
    <t>/mnt/data-nas/vibalcam/datasets/RIDER_Breast_MRI</t>
  </si>
  <si>
    <t>TIGER</t>
  </si>
  <si>
    <t>/mnt/data-nas/vibalcam/datasets/TIGER</t>
  </si>
  <si>
    <t xml:space="preserve">.jpg, .png </t>
  </si>
  <si>
    <t>Multiple (average 882 x 1468)</t>
  </si>
  <si>
    <t>CLIP (zero-shot linear probing and cross-modal retrieval)</t>
  </si>
  <si>
    <t>Medical text, ROI (region of interest) text, sub-pathology text labels</t>
  </si>
  <si>
    <t>https://quilt1m.github.io/</t>
  </si>
  <si>
    <t>covid19_ultrasound</t>
  </si>
  <si>
    <t>luna16</t>
  </si>
  <si>
    <t>/mnt/data-nas/medical_datasets/covid19_ultrasound</t>
  </si>
  <si>
    <t>LUNA16</t>
  </si>
  <si>
    <t>CIC19</t>
  </si>
  <si>
    <t>/mnt/data-nas/medical_datasets/TCIA/CIC19</t>
  </si>
  <si>
    <t>LCTSC</t>
  </si>
  <si>
    <t>/mnt/data-nas/medical_datasets/TCIA-DICOM/LCTSC</t>
  </si>
  <si>
    <t>https://arxiv.org/abs/2306.11207</t>
  </si>
  <si>
    <t>MIDRC-RICORD-1B</t>
  </si>
  <si>
    <t>/mnt/data-nas/medical_datasets/TCIA-DICOM/MIDRC-RICORD-1B</t>
  </si>
  <si>
    <t>jsrt</t>
  </si>
  <si>
    <t>NAS: Quilt-1M</t>
  </si>
  <si>
    <t>miniJSRT</t>
  </si>
  <si>
    <t>black images</t>
  </si>
  <si>
    <t>MIDRC-RICORD-1A</t>
  </si>
  <si>
    <t>/mnt/data-nas/medical_datasets/TCIA-DICOM/MIDRC-RICORD-1A</t>
  </si>
  <si>
    <t>ADHD-200</t>
  </si>
  <si>
    <t>/mnt/data-nas/medical_datasets/ADHD-200</t>
  </si>
  <si>
    <t>https://github.com/wisdomikezogwo/quilt1m?tab=readme-ov-file</t>
  </si>
  <si>
    <t>MIDRC-RICORD-1C</t>
  </si>
  <si>
    <t>/mnt/data-nas/medical_datasets/TCIA-DICOM/MIDRC-RICORD-1C</t>
  </si>
  <si>
    <t>crass12</t>
  </si>
  <si>
    <t>CRASS12</t>
  </si>
  <si>
    <t>Clavicle</t>
  </si>
  <si>
    <t>.mhd</t>
  </si>
  <si>
    <t>all failed</t>
  </si>
  <si>
    <t>https://zenodo.org/records/8239942</t>
  </si>
  <si>
    <t>NSCLC-Radiomics-Interobserver1</t>
  </si>
  <si>
    <t>/mnt/data-nas/medical_datasets/TCIA-DICOM/NSCLC-Radiomics-Interobserver1</t>
  </si>
  <si>
    <t>SPIE-AAPM</t>
  </si>
  <si>
    <t>/mnt/data-nas/medical_datasets/TCIA-DICOM/SPIE-AAPM</t>
  </si>
  <si>
    <t>tuberculosis-chest-xrays-shenzhen</t>
  </si>
  <si>
    <t>SZ-CXR</t>
  </si>
  <si>
    <t>RIDER_LUNG_CT</t>
  </si>
  <si>
    <t>/mnt/data-nas/medical_datasets/TCIA-DICOM/RIDER_LUNG_CT</t>
  </si>
  <si>
    <t>Skin</t>
  </si>
  <si>
    <t>.jpg</t>
  </si>
  <si>
    <t>(155, 155, 3)</t>
  </si>
  <si>
    <t>15 mm × 15 mm (Field of View)</t>
  </si>
  <si>
    <t>Images come from different places, different resolution but same FoV. 2D JPEGS</t>
  </si>
  <si>
    <t>https://www.kaggle.com/competitions/isic-2024-challenge</t>
  </si>
  <si>
    <t>4D-Lung</t>
  </si>
  <si>
    <t>/mnt/data-nas/medical_datasets/TCIA-DICOM/4D-Lung</t>
  </si>
  <si>
    <t>TCGA-LUAD</t>
  </si>
  <si>
    <t>/mnt/data-nas/medical_datasets/TCIA-DICOM/TCGA-LUAD</t>
  </si>
  <si>
    <t>NAS: ISIC_2024_Training_Input</t>
  </si>
  <si>
    <t>Br35H</t>
  </si>
  <si>
    <t>/mnt/data-nas/medical_datasets/Br35H</t>
  </si>
  <si>
    <t>fumpe</t>
  </si>
  <si>
    <t>FUMPE</t>
  </si>
  <si>
    <t>https://challenge2024.isic-archive.com</t>
  </si>
  <si>
    <t>DeepDRiD</t>
  </si>
  <si>
    <t>SinoCT</t>
  </si>
  <si>
    <t>/mnt/data-nas/medical_datasets/DeepDRiD</t>
  </si>
  <si>
    <t>/mnt/data-nas/medical_datasets/SinoCT</t>
  </si>
  <si>
    <t>Pneumothorax_Masks</t>
  </si>
  <si>
    <t>Pneumothorax Masks X-Ray</t>
  </si>
  <si>
    <t>Prenatal_brain</t>
  </si>
  <si>
    <t>/mnt/data-nas/medical_datasets/Prenatal_brain</t>
  </si>
  <si>
    <t>LNDb</t>
  </si>
  <si>
    <t>.dcm , .dicom</t>
  </si>
  <si>
    <t>512x512</t>
  </si>
  <si>
    <t>512 x 512 pixels</t>
  </si>
  <si>
    <t>Phase labels</t>
  </si>
  <si>
    <t>https://vindr.ai/datasets/abdomen-phases</t>
  </si>
  <si>
    <t>.raw</t>
  </si>
  <si>
    <t>Panoramic_Dental_X_rays</t>
  </si>
  <si>
    <t>/mnt/data-nas/medical_datasets/Panoramic_Dental_X_rays</t>
  </si>
  <si>
    <t>https://pubmed.ncbi.nlm.nih.gov/35428990/</t>
  </si>
  <si>
    <t>TCGA-THCA</t>
  </si>
  <si>
    <t>/mnt/data-nas/medical_datasets/TCGA-THCA</t>
  </si>
  <si>
    <t>Dataset_BUSI</t>
  </si>
  <si>
    <t>BUSI</t>
  </si>
  <si>
    <t>Pancreas-CT</t>
  </si>
  <si>
    <t>/mnt/data-nas/medical_datasets/Pancreas-CT</t>
  </si>
  <si>
    <t>NAS: VinDr-Multiphase</t>
  </si>
  <si>
    <t>CardiacUDA</t>
  </si>
  <si>
    <t>/mnt/data-nas/medical_datasets/CardiacUDA</t>
  </si>
  <si>
    <t>QIN-PROSTATE-Repeatability</t>
  </si>
  <si>
    <t>/mnt/data-nas/medical_datasets/QIN-PROSTATE-Repeatability</t>
  </si>
  <si>
    <t>Adrenal-ACC-Ki67-Seg_v1</t>
  </si>
  <si>
    <t>/mnt/data-nas/medical_datasets/Adrenal-ACC-Ki67-Seg_v1</t>
  </si>
  <si>
    <t>PROSTATEx</t>
  </si>
  <si>
    <t>/mnt/data-nas/medical_datasets/PROSTATEx</t>
  </si>
  <si>
    <t>HXW (2544X3056)</t>
  </si>
  <si>
    <t>SSS</t>
  </si>
  <si>
    <t>512x512 to 4096x4096 pixels</t>
  </si>
  <si>
    <t>/mnt/data-nas/medical_datasets/SSS</t>
  </si>
  <si>
    <t>Self-supervised/CLIP</t>
  </si>
  <si>
    <t>PleThora</t>
  </si>
  <si>
    <t>Radiology reports, study and patient identifiers, examination name, multiple images per patient</t>
  </si>
  <si>
    <t>https://physionet.org/content/mimic-cxr/2.1.0/</t>
  </si>
  <si>
    <t>Chest cavity</t>
  </si>
  <si>
    <t>polypgen</t>
  </si>
  <si>
    <t>/mnt/data-nas/medical_datasets/polypgen</t>
  </si>
  <si>
    <t>https://www.nature.com/articles/s41597-019-0322-0</t>
  </si>
  <si>
    <t>TCGA-CESC</t>
  </si>
  <si>
    <t>sars_covid_2_ct</t>
  </si>
  <si>
    <t>SARS-COV-2 Ct-Scan</t>
  </si>
  <si>
    <t>NAS: mimic-cxr-jpg-2.1.0</t>
  </si>
  <si>
    <t>ISBI-MR-Prostate-2013</t>
  </si>
  <si>
    <t>https://github.com/MIT-LCP/mimic-cxr</t>
  </si>
  <si>
    <t>/mnt/data-nas/medical_datasets/ISBI-MR-Prostate-2013</t>
  </si>
  <si>
    <t>Prostate-3T</t>
  </si>
  <si>
    <t>/mnt/data-nas/medical_datasets/Prostate-3T</t>
  </si>
  <si>
    <t>PROSTATE-DIAGNOSIS</t>
  </si>
  <si>
    <t>/mnt/data-nas/medical_datasets/PROSTATE-DIAGNOSIS</t>
  </si>
  <si>
    <t>COVID_CT_COVID-CT</t>
  </si>
  <si>
    <t>96x96</t>
  </si>
  <si>
    <t xml:space="preserve"> Histopathologic scans of lymph node sections</t>
  </si>
  <si>
    <t>https://github.com/basveeling/pcam</t>
  </si>
  <si>
    <t>SCIN</t>
  </si>
  <si>
    <t>/mnt/data-nas/medical_datasets/SCIN</t>
  </si>
  <si>
    <t>wound-segmentation</t>
  </si>
  <si>
    <t>/mnt/data-nas/medical_datasets/wound-segmentation</t>
  </si>
  <si>
    <t>NAS: PatchCamelyon</t>
  </si>
  <si>
    <t>coronahack</t>
  </si>
  <si>
    <t>CoronaHack</t>
  </si>
  <si>
    <t>https://patchcamelyon.grand-challenge.org</t>
  </si>
  <si>
    <t>Cxr</t>
  </si>
  <si>
    <t>Faster</t>
  </si>
  <si>
    <t>Mouse-Astrocytoma</t>
  </si>
  <si>
    <t>/mnt/data-nas/medical_datasets/Mouse-Astrocytoma</t>
  </si>
  <si>
    <t>COVIDGR_1.0/COVIDGR_1.0</t>
  </si>
  <si>
    <t>COVIDGR</t>
  </si>
  <si>
    <t>Mouse-Mammary</t>
  </si>
  <si>
    <t>/mnt/data-nas/medical_datasets/Mouse-Mammary</t>
  </si>
  <si>
    <t>2000 x 2000 to 3000 x 3000 pixels</t>
  </si>
  <si>
    <t>https://stanfordmlgroup.github.io/competitions/chexpert/</t>
  </si>
  <si>
    <t>COCA</t>
  </si>
  <si>
    <t>/mnt/data-nas/medical_datasets/COCA</t>
  </si>
  <si>
    <t>RHUH-GBM</t>
  </si>
  <si>
    <t>/mnt/data-nas/medical_datasets/TCIA/RHUH-GBM</t>
  </si>
  <si>
    <t>siim-covid19-detection</t>
  </si>
  <si>
    <t>SIIM-FISABIO-RSNA COVID-19</t>
  </si>
  <si>
    <t>Cervix93</t>
  </si>
  <si>
    <t>/mnt/data-nas/medical_datasets/Cervix93</t>
  </si>
  <si>
    <t>https://arxiv.org/abs/1901.07031</t>
  </si>
  <si>
    <t>CompleteBloodCount</t>
  </si>
  <si>
    <t>/mnt/data-nas/medical_datasets/CompleteBloodCount</t>
  </si>
  <si>
    <t>?</t>
  </si>
  <si>
    <t>NeurIPS22-CellSeg</t>
  </si>
  <si>
    <t>/mnt/data-nas/medical_datasets/NeurIPS22-CellSeg</t>
  </si>
  <si>
    <t>WSSS4LUAD</t>
  </si>
  <si>
    <t>CTLymph</t>
  </si>
  <si>
    <t>location?</t>
  </si>
  <si>
    <t>/mnt/data-nas/medical_datasets/CTLymph</t>
  </si>
  <si>
    <t>OTA</t>
  </si>
  <si>
    <t>/mnt/data-nas/medical_datasets/OTA</t>
  </si>
  <si>
    <t>Multiple (high res. ~1500-2800)</t>
  </si>
  <si>
    <t>Multiple images per patient, radiography report in spanish, metadata about patient and image (birth, sex...)</t>
  </si>
  <si>
    <t>https://bimcv.cipf.es/bimcv-projects/padchest/</t>
  </si>
  <si>
    <t>COVID-19_Radiography_Database</t>
  </si>
  <si>
    <t>COVID-19 CHEST X-RAY DATABASE</t>
  </si>
  <si>
    <t>BUID</t>
  </si>
  <si>
    <t>/mnt/data-nas/medical_datasets/BUID</t>
  </si>
  <si>
    <t>chest-ctscan/chest-ctscan-images_datasets</t>
  </si>
  <si>
    <t>Chest CT-Scan images</t>
  </si>
  <si>
    <t>https://www.sciencedirect.com/science/article/pii/S1361841520301614?via%3Dihub</t>
  </si>
  <si>
    <t>COVID-BLUES</t>
  </si>
  <si>
    <t>/mnt/data-nas/medical_datasets/COVID-BLUES</t>
  </si>
  <si>
    <t>COVID-19-CT/COVID-19-CT_SCAN_IMAGES_datasets</t>
  </si>
  <si>
    <t>COVID-19-CT SCAN IMAGES</t>
  </si>
  <si>
    <t>NAS: PadChest</t>
  </si>
  <si>
    <t>https://b2drop.bsc.es/index.php/s/BIMCV-PadChest-FULL</t>
  </si>
  <si>
    <t>xray-pd</t>
  </si>
  <si>
    <t>Chest X-ray PD Dataset</t>
  </si>
  <si>
    <t>7-Tesla</t>
  </si>
  <si>
    <t>/mnt/data-nas/medical_datasets/7-Tesla</t>
  </si>
  <si>
    <t>ChinaSet_AllFIles</t>
  </si>
  <si>
    <t>Shenzhen chest X-ray set</t>
  </si>
  <si>
    <t>IvyGAP-Radiomics</t>
  </si>
  <si>
    <t>/mnt/data-nas/medical_datasets/TCIA/IvyGAP-Radiomics</t>
  </si>
  <si>
    <t>.jpeg</t>
  </si>
  <si>
    <t>HXWX3</t>
  </si>
  <si>
    <t>433 x 289 pixels to 5184 x 3456 pixels</t>
  </si>
  <si>
    <t>diabetic retinopathy fundus images, graded from 0 to 4</t>
  </si>
  <si>
    <t>https://www.kaggle.com/c/diabetic-retinopathy-detection/</t>
  </si>
  <si>
    <t>mvseg2023</t>
  </si>
  <si>
    <t>MVSeg-3DTEE 2023</t>
  </si>
  <si>
    <t>Diffusion_MRI</t>
  </si>
  <si>
    <t>Us</t>
  </si>
  <si>
    <t>/mnt/data-nas/medical_datasets/Diffusion_MRI</t>
  </si>
  <si>
    <t>NAS: EyePACS</t>
  </si>
  <si>
    <t>.tif</t>
  </si>
  <si>
    <t>ABIDE</t>
  </si>
  <si>
    <t>AIIB23</t>
  </si>
  <si>
    <t>https://zenodo.org/records/1214456</t>
  </si>
  <si>
    <t>/mnt/data-nas/medical_datasets/ABIDE</t>
  </si>
  <si>
    <t>NAS: NCT-CRC-HE-100K</t>
  </si>
  <si>
    <t>LNQ_2023</t>
  </si>
  <si>
    <t>Maclaren</t>
  </si>
  <si>
    <t>LNQ 2023</t>
  </si>
  <si>
    <t>/mnt/data-nas/medical_datasets/Maclaren</t>
  </si>
  <si>
    <t>Gastrointestinal</t>
  </si>
  <si>
    <t>.mp4</t>
  </si>
  <si>
    <t>Self-supervised (classification, segmentation, detection)</t>
  </si>
  <si>
    <t>https://arxiv.org/abs/2306.16741</t>
  </si>
  <si>
    <t>LungHist700</t>
  </si>
  <si>
    <t>Pathological images</t>
  </si>
  <si>
    <t>NAS: Endo-FM.tar</t>
  </si>
  <si>
    <t>NKI-RS</t>
  </si>
  <si>
    <t>/mnt/data-nas/medical_datasets/NKI-RS</t>
  </si>
  <si>
    <t>https://github.com/openmedlab/Endo-FM#pre-training-data-6-public--1-private</t>
  </si>
  <si>
    <t>VESSEL12</t>
  </si>
  <si>
    <t>SCA2</t>
  </si>
  <si>
    <t>/mnt/data-nas/medical_datasets/SCA2</t>
  </si>
  <si>
    <t>1024x1024</t>
  </si>
  <si>
    <t>1024 x 1024 pixels</t>
  </si>
  <si>
    <t>14 common thoracic pathologies</t>
  </si>
  <si>
    <t>https://bio-protocol.org/exchange/minidetail?id=17520318&amp;type=30&amp;utm_source=chatgpt.com</t>
  </si>
  <si>
    <t>mias-mammography</t>
  </si>
  <si>
    <t>MIAS</t>
  </si>
  <si>
    <t>Breast</t>
  </si>
  <si>
    <t>NAS: ChestXray-14</t>
  </si>
  <si>
    <t>https://www.kaggle.com/datasets/nih-chest-xrays/data</t>
  </si>
  <si>
    <t>DeepLesion</t>
  </si>
  <si>
    <t>HXWX3 (336x336x3)</t>
  </si>
  <si>
    <t>256 x 256 to 512 x 512 pixels</t>
  </si>
  <si>
    <t>https://datasets.simula.no/kvasir-capsule/</t>
  </si>
  <si>
    <t>BreakHis</t>
  </si>
  <si>
    <t>Histopathology (microscopy)</t>
  </si>
  <si>
    <t>https://www.nature.com/articles/s41597-021-00920-z</t>
  </si>
  <si>
    <t>NAS: Kvasir-Capsule</t>
  </si>
  <si>
    <t>bcfpp</t>
  </si>
  <si>
    <t>Breast Cancer CT</t>
  </si>
  <si>
    <t>.jlb</t>
  </si>
  <si>
    <t>only 1 and that failed</t>
  </si>
  <si>
    <t>.jpg,.png</t>
  </si>
  <si>
    <t>HXWX3, HXW</t>
  </si>
  <si>
    <t>https://api.isic-archive.com/images/</t>
  </si>
  <si>
    <t>NAS: ISIC-Archive</t>
  </si>
  <si>
    <t>BUS-UCLM</t>
  </si>
  <si>
    <t>UW-Madison GI</t>
  </si>
  <si>
    <t>/mnt/data-nas/medical_datasets/UW-Madison-GI</t>
  </si>
  <si>
    <t>Gastrointestinal tract (Stomach, Abdomen)</t>
  </si>
  <si>
    <t>266 x 266 pixels typically, but multiple</t>
  </si>
  <si>
    <t xml:space="preserve"> The filenames of the images in this dataset contain four numbers (e.g., 276_276_1.63_1.63.png), representing the width/height of the slice in pixels (as integers) and the pixel spacing in width/height (as floating-point numbers) in millimeters. The first two numbers define the resolution of the slice, while the last two indicate the physical size of each pixel.</t>
  </si>
  <si>
    <t>https://www.kaggle.com/competitions/uw-madison-gi-tract-image-segmentation</t>
  </si>
  <si>
    <t>NAS: UW-Madison-GI</t>
  </si>
  <si>
    <t>https://www.kaggle.com/competitions/uw-madison-gi-tract-image-segmentation/overview</t>
  </si>
  <si>
    <t>INbreast</t>
  </si>
  <si>
    <t>.nrrd</t>
  </si>
  <si>
    <t>3d (865, 608, 330)</t>
  </si>
  <si>
    <t>843 x 546 x 270 to 865 x 682 x 354 pixels</t>
  </si>
  <si>
    <t>Segmentation, Classification</t>
  </si>
  <si>
    <t>Mini-DDSM</t>
  </si>
  <si>
    <t>Tumor boundaries, benign / malignant label</t>
  </si>
  <si>
    <t>Mammography</t>
  </si>
  <si>
    <r>
      <rPr>
        <color rgb="FF1155CC"/>
        <u/>
      </rPr>
      <t>https://tdsc-abus2023.grand-challenge.org/TDSC-ABUS2023/</t>
    </r>
    <r>
      <rPr>
        <color rgb="FF000000"/>
      </rPr>
      <t xml:space="preserve">, </t>
    </r>
    <r>
      <rPr>
        <color rgb="FF1155CC"/>
        <u/>
      </rPr>
      <t>https://github.com/mralinp/tdsc-abus2023-pytorch/tree/main</t>
    </r>
  </si>
  <si>
    <t>MITOS-ATYPIA-14</t>
  </si>
  <si>
    <t>https://arxiv.org/abs/2501.15588</t>
  </si>
  <si>
    <t>NAS: TDSC-ABUS</t>
  </si>
  <si>
    <t>https://tdsc-abus2023.grand-challenge.org/Dataset/</t>
  </si>
  <si>
    <t>Post-NAT-BRCA</t>
  </si>
  <si>
    <t>(.nrrd)</t>
  </si>
  <si>
    <t>112 x 112 videos</t>
  </si>
  <si>
    <t>Segmentation, regression</t>
  </si>
  <si>
    <t>Video metadata (fps...), medical metadata (EF, ESV,EDV - heart related), tracing for left ventricle</t>
  </si>
  <si>
    <t>https://echonet.github.io/dynamic/</t>
  </si>
  <si>
    <t>https://www.nature.com/articles/s41586-020-2145-8</t>
  </si>
  <si>
    <t>sln-breast</t>
  </si>
  <si>
    <t>SLN-Breast</t>
  </si>
  <si>
    <t>NAS: EchoNet-Dynamic</t>
  </si>
  <si>
    <t>TUPAC</t>
  </si>
  <si>
    <t>Lung and Colon</t>
  </si>
  <si>
    <t>768x768x3</t>
  </si>
  <si>
    <t>Histopathology (H&amp;E)</t>
  </si>
  <si>
    <t>768 x 768 pixels</t>
  </si>
  <si>
    <t xml:space="preserve">This dataset is divided into 5 categories: colon adenocarcinoma, benign colon tissue, lung adenocarcinoma, lung squamous cell carcinoma, and benign lung tissue, with 5,000 images for each category. </t>
  </si>
  <si>
    <t>https://github.com/tampapath/lung_colon_image_set</t>
  </si>
  <si>
    <t>Airway</t>
  </si>
  <si>
    <t>Lungs</t>
  </si>
  <si>
    <t>NAS: lung_colon_image_set</t>
  </si>
  <si>
    <t>ANODE09</t>
  </si>
  <si>
    <t>chest-xray-pneumonia</t>
  </si>
  <si>
    <t>Chest X-Ray Images (Pneumonia)</t>
  </si>
  <si>
    <t>HXWX3 (1367,1734,3)</t>
  </si>
  <si>
    <t>300 x 300 to 400 x 400 pixels</t>
  </si>
  <si>
    <t>Skin conditions</t>
  </si>
  <si>
    <t>https://github.com/mattgroh/fitzpatrick17k/tree/main</t>
  </si>
  <si>
    <t>covid-chest-xray</t>
  </si>
  <si>
    <t>COVID-19 chest xray</t>
  </si>
  <si>
    <t>https://arxiv.org/abs/2104.09957</t>
  </si>
  <si>
    <t>covid19-ct-scans</t>
  </si>
  <si>
    <t>COVID-19 CT scans</t>
  </si>
  <si>
    <t>covid19-image-dataset</t>
  </si>
  <si>
    <t>NAS: data</t>
  </si>
  <si>
    <t>Covid-19 Image</t>
  </si>
  <si>
    <t>https://drive.google.com/file/d/1B_dHew_vLq3h8QH6ufzA1Eh9N7guB8uj/view</t>
  </si>
  <si>
    <t>covid19-radiography-database</t>
  </si>
  <si>
    <t>COVID-19 Radiography Database</t>
  </si>
  <si>
    <t>covidx-cxr2</t>
  </si>
  <si>
    <t>COVIDx</t>
  </si>
  <si>
    <t>VinDr-Mammo</t>
  </si>
  <si>
    <t>/mnt/data-nas/medical_datasets/VinDr-Mammo</t>
  </si>
  <si>
    <t>(no location)</t>
  </si>
  <si>
    <t>Classification, Object detection</t>
  </si>
  <si>
    <t>4 views per image, bounding box annotations, BI-RADS (findings label) and breast density</t>
  </si>
  <si>
    <t>https://vindr.ai/datasets/mammo</t>
  </si>
  <si>
    <t>chest-xrays-indiana-university</t>
  </si>
  <si>
    <t>Indiana U. Chest X-rays</t>
  </si>
  <si>
    <t>X‑ray</t>
  </si>
  <si>
    <t>https://www.medrxiv.org/content/10.1101/2022.03.07.22272009v1</t>
  </si>
  <si>
    <t>MELA</t>
  </si>
  <si>
    <t>.mat - not needed</t>
  </si>
  <si>
    <t>https://www.physionet.org/content/vindr-mammo/1.0.0/</t>
  </si>
  <si>
    <t>head-ct-hemorrhage</t>
  </si>
  <si>
    <t>Head CT-hemorrhage</t>
  </si>
  <si>
    <t>Head</t>
  </si>
  <si>
    <t>2788x2446 pixels median</t>
  </si>
  <si>
    <t>https://vindr.ai/cxr</t>
  </si>
  <si>
    <t>HaN-Seg</t>
  </si>
  <si>
    <t>Head and neck</t>
  </si>
  <si>
    <t>CT, MRI</t>
  </si>
  <si>
    <t>MRI, CT</t>
  </si>
  <si>
    <t>https://www.kaggle.com/c/vinbigdata-chest-xray-abnormalities-detection/data</t>
  </si>
  <si>
    <t>Mixed modality</t>
  </si>
  <si>
    <t>AV_groundTruth</t>
  </si>
  <si>
    <t>RITE</t>
  </si>
  <si>
    <t>Fundus photography</t>
  </si>
  <si>
    <t xml:space="preserve"> H x W x 3</t>
  </si>
  <si>
    <t>1000 x 1000 to 3000 x 3000 pixels</t>
  </si>
  <si>
    <t>https://www.kaggle.com/datasets/nurmukhammed7/augemnted-ocular-diseases</t>
  </si>
  <si>
    <t>2013_BOE_Chiu</t>
  </si>
  <si>
    <t>ACPS</t>
  </si>
  <si>
    <t>Eye</t>
  </si>
  <si>
    <t>Optical imaging</t>
  </si>
  <si>
    <t>NAS: AOD</t>
  </si>
  <si>
    <t>BEH (Bangladesh Eye Hospital) Dataset</t>
  </si>
  <si>
    <t>BEH (Bangladesh Eye Hospital)</t>
  </si>
  <si>
    <t>Fundus photograph</t>
  </si>
  <si>
    <t>Multiple</t>
  </si>
  <si>
    <t>Classification, Segmentation, Object detection</t>
  </si>
  <si>
    <t xml:space="preserve">Image DR (Diabetic Retinopathy) 6-level grading, masks for 4 lesions, bounding box following masks </t>
  </si>
  <si>
    <t>https://github.com/nkicsl/DDR-dataset</t>
  </si>
  <si>
    <t>http://www.sciencedirect.com/science/article/pii/S0020025519305377</t>
  </si>
  <si>
    <t>RAVIR Dataset</t>
  </si>
  <si>
    <t>RAVIR</t>
  </si>
  <si>
    <t>Retina</t>
  </si>
  <si>
    <t>IR</t>
  </si>
  <si>
    <t>unclear modality</t>
  </si>
  <si>
    <t>NAS: DDR</t>
  </si>
  <si>
    <t>PERform</t>
  </si>
  <si>
    <t>PERFORM</t>
  </si>
  <si>
    <t>Physiological signals (ECG, PPG, respiratory)</t>
  </si>
  <si>
    <t>Full Body</t>
  </si>
  <si>
    <t>(permission denied)</t>
  </si>
  <si>
    <t>ECG not needed</t>
  </si>
  <si>
    <t>Multiple - no mentions on portals</t>
  </si>
  <si>
    <t>Multiple body part X-ray classification</t>
  </si>
  <si>
    <t>https://vindr.ai/datasets/bodypartxr</t>
  </si>
  <si>
    <t>OpenEar</t>
  </si>
  <si>
    <t>Ears, Nose, Teeth, and Throat</t>
  </si>
  <si>
    <t>NAS: VinDr-BodyPartXR</t>
  </si>
  <si>
    <t>CBCT, Micro-slicing</t>
  </si>
  <si>
    <t>2500 x 1600 pixels, various</t>
  </si>
  <si>
    <t>https://vindr.ai/spinexr</t>
  </si>
  <si>
    <t>https://arxiv.org/abs/2106.12930</t>
  </si>
  <si>
    <t>Panoramic</t>
  </si>
  <si>
    <t>Panoramic radiography database</t>
  </si>
  <si>
    <t>Panoramic X-ray</t>
  </si>
  <si>
    <t>NAS: Vindr-SpineXR</t>
  </si>
  <si>
    <t>aptos2019-blindness-detection</t>
  </si>
  <si>
    <t>APTOS 2019</t>
  </si>
  <si>
    <t>https://www.physionet.org/content/vindr-spinexr/1.0.0/</t>
  </si>
  <si>
    <t>Eyes</t>
  </si>
  <si>
    <t>DRAC</t>
  </si>
  <si>
    <t>DRAC 2022</t>
  </si>
  <si>
    <t>HXW (3065, 2552)</t>
  </si>
  <si>
    <t>Object detection, Classification</t>
  </si>
  <si>
    <t>Bounding shape (rectangle, ellipse, polygon) for foreign objects</t>
  </si>
  <si>
    <t>UW-OCTA</t>
  </si>
  <si>
    <t>https://web.archive.org/web/20201127235812/https://jfhealthcare.github.io/object-CXR/</t>
  </si>
  <si>
    <t>diabetic-retinopathy-detection</t>
  </si>
  <si>
    <t>EyePACS Diabetic Retinopathy Detection</t>
  </si>
  <si>
    <t>NAS: Object-CXR</t>
  </si>
  <si>
    <t>https://www.kaggle.com/datasets/raddar/foreign-objects-in-chest-xrays</t>
  </si>
  <si>
    <t>FIRE</t>
  </si>
  <si>
    <t>pediatric CXR dataset</t>
  </si>
  <si>
    <t>https://vindr.ai/datasets/pediatric-chest-x-ray</t>
  </si>
  <si>
    <t>JustRAIGS</t>
  </si>
  <si>
    <t>Corrupt</t>
  </si>
  <si>
    <t>NAS: Vindr-PCXR</t>
  </si>
  <si>
    <t>https://physionet.org/content/vindr-pcxr/1.0.0/</t>
  </si>
  <si>
    <t>PRIME-FP20</t>
  </si>
  <si>
    <t>Ultra‑widefield fundus photography</t>
  </si>
  <si>
    <t>failed</t>
  </si>
  <si>
    <t>HXWX3 (624, 512, 3)</t>
  </si>
  <si>
    <t>512 x 512 pixels, various</t>
  </si>
  <si>
    <t>N/A</t>
  </si>
  <si>
    <t>https://openi.nlm.nih.gov</t>
  </si>
  <si>
    <t>ROCC</t>
  </si>
  <si>
    <t>Optical Coherence Tomography (OCT) volumes</t>
  </si>
  <si>
    <t>OCT</t>
  </si>
  <si>
    <t>https://pmc.ncbi.nlm.nih.gov/articles/PMC5009925/</t>
  </si>
  <si>
    <t>.mat</t>
  </si>
  <si>
    <t>uk-biobank</t>
  </si>
  <si>
    <t>UK Biobank</t>
  </si>
  <si>
    <t>NAS: OpenI</t>
  </si>
  <si>
    <t>no images</t>
  </si>
  <si>
    <t>https://openi.nlm.nih.gov/faq?download=true</t>
  </si>
  <si>
    <t>SLIVER07</t>
  </si>
  <si>
    <t>HXWX3 (1536,2304,3)</t>
  </si>
  <si>
    <t>1440x960, 2240x1488,2304x1536</t>
  </si>
  <si>
    <t>Retrieval, Quantization</t>
  </si>
  <si>
    <t>Retinopathy grade (lesion) and risk of macular edema label</t>
  </si>
  <si>
    <t>https://www.adcis.net/en/third-party/messidor/</t>
  </si>
  <si>
    <t>Colon</t>
  </si>
  <si>
    <t>Duplicate</t>
  </si>
  <si>
    <t>NAS: Messidor-2</t>
  </si>
  <si>
    <t>3Dircadb1</t>
  </si>
  <si>
    <t>3D-IRCADB</t>
  </si>
  <si>
    <t>Heart</t>
  </si>
  <si>
    <t>,png</t>
  </si>
  <si>
    <t>512x512 pixels</t>
  </si>
  <si>
    <t xml:space="preserve">The training set contains 1621 mask frames and 1621 coronary angiograms. </t>
  </si>
  <si>
    <t>https://github.com/AISIGSJTU/SSVS</t>
  </si>
  <si>
    <t>NAS: XCAD</t>
  </si>
  <si>
    <t>PROMISE12</t>
  </si>
  <si>
    <t>320x320</t>
  </si>
  <si>
    <t>320 x 320 pixels</t>
  </si>
  <si>
    <t>Vessel masks</t>
  </si>
  <si>
    <t>https://github.com/nhjydywd/OCTA-FRNet</t>
  </si>
  <si>
    <t>CHAOS</t>
  </si>
  <si>
    <t>https://arxiv.org/abs/2309.09483</t>
  </si>
  <si>
    <t>NAS: ROSSA</t>
  </si>
  <si>
    <t>FLARE2021</t>
  </si>
  <si>
    <t>FLARE 2021</t>
  </si>
  <si>
    <t>https://github.com/nhjydywd/OCTA-FRNet/tree/main/dataset</t>
  </si>
  <si>
    <t>atlas-train-dataset-1.0.1</t>
  </si>
  <si>
    <t>ATLAS (MICCAI2023)</t>
  </si>
  <si>
    <t>Prostate</t>
  </si>
  <si>
    <t>1080x1920x3</t>
  </si>
  <si>
    <t>Ce-mri</t>
  </si>
  <si>
    <t>Action detection</t>
  </si>
  <si>
    <t>Bounding box for action instances</t>
  </si>
  <si>
    <t>https://saras-esad.grand-challenge.org/Dataset/</t>
  </si>
  <si>
    <t>BM-BronchoLC</t>
  </si>
  <si>
    <t>Chest and abdomen</t>
  </si>
  <si>
    <t>Bronchoscopy</t>
  </si>
  <si>
    <t>Mapping</t>
  </si>
  <si>
    <t>NAS: SARAS-ESAD</t>
  </si>
  <si>
    <t>3000x3000 pixel median</t>
  </si>
  <si>
    <t xml:space="preserve"> The image file names follow the format CHNCXR_#####0/1.png, where '0' represents normal and '1' represents abnormal.</t>
  </si>
  <si>
    <t>ACOUSLIC</t>
  </si>
  <si>
    <t>https://github.com/openmedlab/Awesome-Medical-Dataset/blob/main/resources/Shenzhen_chest_X-ray.md</t>
  </si>
  <si>
    <t>MICCAI-24 ACOUSLIC</t>
  </si>
  <si>
    <t>NAS: ShenzhenCXR</t>
  </si>
  <si>
    <t>https://openi.nlm.nih.gov/faq#faq-tb-coll</t>
  </si>
  <si>
    <t>PENGWIN</t>
  </si>
  <si>
    <t>MICCAI 2024 PENGWIN Task1</t>
  </si>
  <si>
    <t>https://www.kaggle.com/datasets/raddar/tuberculosis-chest-xrays-shenzhen</t>
  </si>
  <si>
    <t>2048X2048X3</t>
  </si>
  <si>
    <t>2048 x 2048 pixels</t>
  </si>
  <si>
    <t>https://figshare.com/articles/figure/FIVES_A_Fundus_Image_Dataset_for_AI-based_Vessel_Segmentation/19688169?file=34969398</t>
  </si>
  <si>
    <t>intel-mobileodt-cervical-cancer-screening</t>
  </si>
  <si>
    <t>Intel &amp; MobileODT Cervical Cancer Screening</t>
  </si>
  <si>
    <t>Hysteroscopy</t>
  </si>
  <si>
    <t>https://www.nature.com/articles/s41597-022-01564-3</t>
  </si>
  <si>
    <t>nerthus</t>
  </si>
  <si>
    <t>The Nerthus Dataset</t>
  </si>
  <si>
    <t>Intestine</t>
  </si>
  <si>
    <t>NAS: FIVES</t>
  </si>
  <si>
    <t>EAD2019</t>
  </si>
  <si>
    <t>EAD 2019</t>
  </si>
  <si>
    <t>Lesion detection</t>
  </si>
  <si>
    <t>Possibly multiple images per patient visit, binary mask of lesions</t>
  </si>
  <si>
    <t>https://www.adcis.net/en/third-party/e-ophtha/</t>
  </si>
  <si>
    <t>CP-CHILD</t>
  </si>
  <si>
    <t>https://www.clinicalkey.com/#!/content/playContent/1-s2.0-S1959031813000237?returnurl=https:%2F%2Flinkinghub.elsevier.com%2Fretrieve%2Fpii%2FS1959031813000237%3Fshowall%3Dtrue&amp;referrer=</t>
  </si>
  <si>
    <t>Pelvic</t>
  </si>
  <si>
    <t>CholecSeg8k</t>
  </si>
  <si>
    <t>NAS: E-ophtha</t>
  </si>
  <si>
    <t>450 images - 386x448 pixels, 50 images - 819x950 pixels</t>
  </si>
  <si>
    <t>SERV-CT</t>
  </si>
  <si>
    <t>For each image, there are corresponding binary vessel masks, and metadata describing bounding boxes and anomaly points (stenosis / aneurysm) as JSON.</t>
  </si>
  <si>
    <t>Abdominal cavity</t>
  </si>
  <si>
    <t>https://github.com/vazgenzohranyan/Dr.SAM</t>
  </si>
  <si>
    <t>NAS: DrSAM</t>
  </si>
  <si>
    <t>Collection_of_textures_in_colorectal_cancer_histology</t>
  </si>
  <si>
    <t>Collection of textures in colorectal cancer histology</t>
  </si>
  <si>
    <t>Bowel</t>
  </si>
  <si>
    <t>https://drive.google.com/file/d/1TjxEJUD4VC_SAPcqdNVybsKRb_xW-Bze/edit</t>
  </si>
  <si>
    <t>CVC-ColonDB</t>
  </si>
  <si>
    <t>CVC colon DB</t>
  </si>
  <si>
    <t>Colonoscopy images</t>
  </si>
  <si>
    <t>.ppm</t>
  </si>
  <si>
    <t>700 x 605 pixels</t>
  </si>
  <si>
    <t>https://cecas.clemson.edu/~ahoover/stare/</t>
  </si>
  <si>
    <t>EndoCV2020-Endoscopy-Disease-Detection-Segmentation-subChallenge_data</t>
  </si>
  <si>
    <t>EDD2020</t>
  </si>
  <si>
    <t>NAS: STARE</t>
  </si>
  <si>
    <t>PolypGen2021_MultiCenterData_v3</t>
  </si>
  <si>
    <t>PolypGen</t>
  </si>
  <si>
    <t>Multiple (square 274-793)</t>
  </si>
  <si>
    <t>Glaucoma classification labels, manual segmentation</t>
  </si>
  <si>
    <t>https://github.com/miag-ull/rim-one-dl</t>
  </si>
  <si>
    <t>TCGA-COAD</t>
  </si>
  <si>
    <t>https://www.ias-iss.org/ojs/IAS/article/view/2346</t>
  </si>
  <si>
    <t>Intensity re-scaling to 0-1 range and resizing them to 224x224x3</t>
  </si>
  <si>
    <t>hubmap-kidney-segmentation</t>
  </si>
  <si>
    <t>HuBMAP - Hacking the Kidney</t>
  </si>
  <si>
    <t>NAS: RIM-ONE-DL</t>
  </si>
  <si>
    <t>Kidneys and Urinary Tract</t>
  </si>
  <si>
    <t>Histopathology (WSI)</t>
  </si>
  <si>
    <t>.bmp</t>
  </si>
  <si>
    <t>400 x 400 x 640 pixels, 340 x 340 x 640 pixels</t>
  </si>
  <si>
    <t xml:space="preserve">OCTA-500 includes two subsets: OCTA_6M and OCTA_3M.
</t>
  </si>
  <si>
    <t>https://ieee-dataport.org/open-access/octa-500</t>
  </si>
  <si>
    <t>TCGA-KICH</t>
  </si>
  <si>
    <t>CT, MR</t>
  </si>
  <si>
    <t>No images</t>
  </si>
  <si>
    <t>NAS: OCTA-500</t>
  </si>
  <si>
    <t>https://www.kaggle.com/datasets/xiefei/octa500</t>
  </si>
  <si>
    <t>Urinary tract infections</t>
  </si>
  <si>
    <t>Rib masks</t>
  </si>
  <si>
    <t>https://vindr.ai/ribcxr</t>
  </si>
  <si>
    <t>https://arxiv.org/abs/2107.01327</t>
  </si>
  <si>
    <t>NAS: VinDr-RibCXR</t>
  </si>
  <si>
    <t>HC18</t>
  </si>
  <si>
    <t>Female Reproductive Organs</t>
  </si>
  <si>
    <t>Multiple (mean 760x570)</t>
  </si>
  <si>
    <t>Segmentation mask for lesion</t>
  </si>
  <si>
    <t>https://helward.mmu.ac.uk/STAFF/M.Yap/dataset.php</t>
  </si>
  <si>
    <t>iugc-ultrasound-video-dataset-miccai-2024</t>
  </si>
  <si>
    <t>IUGC</t>
  </si>
  <si>
    <t>https://ieeexplore.ieee.org/document/8003418</t>
  </si>
  <si>
    <t>cervical-cancer-largest-dataset-sipakmed</t>
  </si>
  <si>
    <t>SIPaKMeD</t>
  </si>
  <si>
    <t>4020 x 4892 pixels</t>
  </si>
  <si>
    <t>Processed_data_nii</t>
  </si>
  <si>
    <t>https://github.com/openmedlab/Awesome-Medical-Dataset/blob/main/resources/MontgomeryCounty.md</t>
  </si>
  <si>
    <t>Multi-site Dataset for Prostate MRI Segmentation</t>
  </si>
  <si>
    <t>Male Reproductive Organs</t>
  </si>
  <si>
    <t>MRI (T2-weighted)</t>
  </si>
  <si>
    <t>TCGA-PRAD</t>
  </si>
  <si>
    <t>NAS: MontgomeryCXR</t>
  </si>
  <si>
    <t>CT; MR; PT</t>
  </si>
  <si>
    <t>mixed-modalities</t>
  </si>
  <si>
    <t>https://www.kaggle.com/datasets/raddar/tuberculosis-chest-xrays-montgomery</t>
  </si>
  <si>
    <t>complete_mednode_dataset</t>
  </si>
  <si>
    <t>MED-NODE</t>
  </si>
  <si>
    <t>Dermoscopic</t>
  </si>
  <si>
    <t>1500 x 1152 pixels</t>
  </si>
  <si>
    <t>Diabetic or not. Eye boundaries</t>
  </si>
  <si>
    <t>https://www.kaggle.com/datasets/nguyenhung1903/diaretdb1-standard-diabetic-retinopathy-database</t>
  </si>
  <si>
    <t>ISIC-2017_Training_Data</t>
  </si>
  <si>
    <t>ISIC 2017</t>
  </si>
  <si>
    <t>Melanoma</t>
  </si>
  <si>
    <t>NAS: DIARETDB1</t>
  </si>
  <si>
    <t>ARIA</t>
  </si>
  <si>
    <t>ISIC_2020_Training_Dicom</t>
  </si>
  <si>
    <t>ISIC 2020</t>
  </si>
  <si>
    <t>Not an image dataset - it is a codebase</t>
  </si>
  <si>
    <t>.m (check)</t>
  </si>
  <si>
    <t>565x584</t>
  </si>
  <si>
    <t>https://petebankhead.github.io/ARIA/</t>
  </si>
  <si>
    <t>Fitzpatrick 17k</t>
  </si>
  <si>
    <t>https://journals.plos.org/plosone/article?id=10.1371/journal.pone.0032435</t>
  </si>
  <si>
    <t>SkinCancer</t>
  </si>
  <si>
    <t>Method that uses the DRIVE dataset</t>
  </si>
  <si>
    <t>.m</t>
  </si>
  <si>
    <t>NAS: ARIA</t>
  </si>
  <si>
    <t>https://sourceforge.net/projects/aria-vessels/</t>
  </si>
  <si>
    <t>augmented-skin-conditions-image-dataset</t>
  </si>
  <si>
    <t>Augmented Skin Conditions Image Dataset</t>
  </si>
  <si>
    <t>Dermatoscope</t>
  </si>
  <si>
    <t>400x600x3</t>
  </si>
  <si>
    <t xml:space="preserve"> 600 x 400 pixels</t>
  </si>
  <si>
    <t xml:space="preserve"> Two sets of ground-truth optic disc annotations are available. </t>
  </si>
  <si>
    <t>https://www.idiap.ch/software/bob/docs/bob/bob.db.drionsdb/master/index.html</t>
  </si>
  <si>
    <t>all-isic-data-20240629</t>
  </si>
  <si>
    <t>NAS:  DRIONS-DB</t>
  </si>
  <si>
    <t>https://www.kaggle.com/datasets/lucascunhadecarvalho/drionsdb-cunha</t>
  </si>
  <si>
    <t>dataverse_files</t>
  </si>
  <si>
    <t>HAM10000</t>
  </si>
  <si>
    <t>HXWX3,HXW</t>
  </si>
  <si>
    <t>2896 x 1944 pixels</t>
  </si>
  <si>
    <t>Eye boundaries</t>
  </si>
  <si>
    <t>https://cvit.iiit.ac.in/projects/mip/drishti-gs/mip-dataset2/Home.php</t>
  </si>
  <si>
    <t>PDDCA-1.4.1_part1</t>
  </si>
  <si>
    <t>Head and Neck Auto Segmentation</t>
  </si>
  <si>
    <t>http://www.researchgate.net/profile/Jayanthi_Sivaswamy2/publication/275964723_JSM_BIOMEDICAL_IMAGING_DATA_PAPERS_Keywords_BULLET_BULLET_BULLET_nerve_head_BULLET_BULLET_disk_A_Comprehensive_Retinal_Image_Dataset_for_the_Assessment_of_Glaucoma_from_the_Optic_Nerve_Head_Analysis/links/554c391d0cf29752ee7edb80.pdf</t>
  </si>
  <si>
    <t>PDDCA-1.4.1_part2</t>
  </si>
  <si>
    <t>PDDCA-1.4.1_part3</t>
  </si>
  <si>
    <t>ThoraxCBCT</t>
  </si>
  <si>
    <t>Learn2Reg 2024</t>
  </si>
  <si>
    <t>MRI, Ultrasound, SHG, BF, EM</t>
  </si>
  <si>
    <t>mixed modality</t>
  </si>
  <si>
    <t>medseg</t>
  </si>
  <si>
    <t>MedSeg</t>
  </si>
  <si>
    <t>CT &amp; MRI</t>
  </si>
  <si>
    <t>NAS: Drishti-GS1_files</t>
  </si>
  <si>
    <t>MoNuSAC_images_and_annotations</t>
  </si>
  <si>
    <t>MoNuSAC2020</t>
  </si>
  <si>
    <t>Heart (coronary arteries)</t>
  </si>
  <si>
    <t>.pgm</t>
  </si>
  <si>
    <t>300x300 gray-scale</t>
  </si>
  <si>
    <t>Segmentation mask</t>
  </si>
  <si>
    <t>http://personal.cimat.mx:8181/~ivan.cruz/DB_Angiograms.html</t>
  </si>
  <si>
    <t>RatBrain</t>
  </si>
  <si>
    <t>Rat brain endothelium RNAseq</t>
  </si>
  <si>
    <t>RNA sequencing (transcriptomics)</t>
  </si>
  <si>
    <t>RNA not relevant</t>
  </si>
  <si>
    <t>HVSMR</t>
  </si>
  <si>
    <t>ACDC</t>
  </si>
  <si>
    <t>https://www.mdpi.com/2076-3417/9/24/5507</t>
  </si>
  <si>
    <t>amrgatlas</t>
  </si>
  <si>
    <t>AMRG Cardiac Atlas</t>
  </si>
  <si>
    <t>Heart and Blood Vessels</t>
  </si>
  <si>
    <t>MRI (Cine, T1, Phase Contrast, Tagging)</t>
  </si>
  <si>
    <t>NAS: DCA1</t>
  </si>
  <si>
    <t>Angoiographic</t>
  </si>
  <si>
    <t>Angiographic dataset for stenosis detection</t>
  </si>
  <si>
    <t>X-ray Coronary Angiography (cine)</t>
  </si>
  <si>
    <t>https://www.kaggle.com/datasets/bard2024/database-x-ray-coronary-angiograms-dca1</t>
  </si>
  <si>
    <t>AtriaSegmentation</t>
  </si>
  <si>
    <t>Atria Segmentaion 2018</t>
  </si>
  <si>
    <t>MRI (GE-MRI)</t>
  </si>
  <si>
    <t>CAVAREV</t>
  </si>
  <si>
    <t>C‑arm CT (Rotational Angiography; simulated projections)</t>
  </si>
  <si>
    <t xml:space="preserve"> 768 × 576 pixels</t>
  </si>
  <si>
    <t xml:space="preserve"> The database includes the caliber of the vessels measured at different radii from the optic disc as well as the vessel type (artery/vein) labelled by three experts.</t>
  </si>
  <si>
    <t>empty</t>
  </si>
  <si>
    <t>https://pmc.ncbi.nlm.nih.gov/articles/PMC6841783/</t>
  </si>
  <si>
    <t>imagealcapa</t>
  </si>
  <si>
    <t>ImageALCAPA</t>
  </si>
  <si>
    <t>CT (CTA)</t>
  </si>
  <si>
    <t>NAS: VICAVR</t>
  </si>
  <si>
    <t>http://www.varpa.es/research/ophtalmology.html#vicavr</t>
  </si>
  <si>
    <t>imagechd</t>
  </si>
  <si>
    <t>ORVS</t>
  </si>
  <si>
    <t>ImageCHD</t>
  </si>
  <si>
    <t>1444 x 1444 pixels</t>
  </si>
  <si>
    <t>https://github.com/openmedlab/Awesome-Medical-Dataset/blob/main/resources/ORVS.md</t>
  </si>
  <si>
    <t>imagetbad</t>
  </si>
  <si>
    <t>ImageTBAD</t>
  </si>
  <si>
    <t>BCI</t>
  </si>
  <si>
    <t>unavailable</t>
  </si>
  <si>
    <t xml:space="preserve">2336x3504 </t>
  </si>
  <si>
    <t>3504x2336</t>
  </si>
  <si>
    <t>Field of view mask (valid area), vessel and optic disk segmentation goldstandard, pairs of the same eye</t>
  </si>
  <si>
    <t>https://www5.cs.fau.de/research/data/fundus-images/</t>
  </si>
  <si>
    <t>MURA-v1.1</t>
  </si>
  <si>
    <t>MURA</t>
  </si>
  <si>
    <t>Bone</t>
  </si>
  <si>
    <t>Muscle</t>
  </si>
  <si>
    <t>NAS: HRF</t>
  </si>
  <si>
    <t>.png .tif</t>
  </si>
  <si>
    <t>304 x 304 pixels</t>
  </si>
  <si>
    <t>Retinal OCT-Angiography Vessel Segmentation Dataset (ROSE) is now open source. It includes two subsets: ROSE-1 and ROSE-2.</t>
  </si>
  <si>
    <t>https://imed.nimte.ac.cn/dataofrose.html</t>
  </si>
  <si>
    <t>DigitalKnee</t>
  </si>
  <si>
    <t>Digital Knee X-ray Images</t>
  </si>
  <si>
    <t>NAS: ROSE</t>
  </si>
  <si>
    <t>https://zenodo.org/records/12775880</t>
  </si>
  <si>
    <t>dental-x-ray-computacional-vision-segmentation</t>
  </si>
  <si>
    <t>Dental X Ray Computacional Vision Segmentation</t>
  </si>
  <si>
    <t>IOSTAR</t>
  </si>
  <si>
    <t>https://www.retinacheck.org/download-iostar-retinal-vessel-segmentation-dataset</t>
  </si>
  <si>
    <t>DDH</t>
  </si>
  <si>
    <t>DDH x-ray images</t>
  </si>
  <si>
    <t>Joints</t>
  </si>
  <si>
    <t>https://ieeexplore.ieee.org/document/7530915</t>
  </si>
  <si>
    <t>LERA</t>
  </si>
  <si>
    <t>MRNet</t>
  </si>
  <si>
    <t>960x999x3</t>
  </si>
  <si>
    <t>879-926 x 798-922</t>
  </si>
  <si>
    <t>Two vessel segmentation mask (two human observers), naming according to L/R eye</t>
  </si>
  <si>
    <t>https://datasetninja.com/chase-db1</t>
  </si>
  <si>
    <t>XRay-HipJoints</t>
  </si>
  <si>
    <t>X-ray images of the hip joints</t>
  </si>
  <si>
    <t>https://ieeexplore.ieee.org/document/6224174</t>
  </si>
  <si>
    <t>NAS: CHASE_DB1</t>
  </si>
  <si>
    <t>DR-HAGIS</t>
  </si>
  <si>
    <t>4752x3168 pixels, 3456x2304 pixels, 3126x2136 pixels, 2896x1944 pixels, 2816x1880 pixels</t>
  </si>
  <si>
    <t xml:space="preserve">This database therefore consists of 39 high-resolution images divided into four comorbidity subgroups (AMD, DR, glaucoma, and hypertension) </t>
  </si>
  <si>
    <t>https://pubmed.ncbi.nlm.nih.gov/28217714/</t>
  </si>
  <si>
    <t>totalsegmentator</t>
  </si>
  <si>
    <t>TotalSegmentator</t>
  </si>
  <si>
    <t>NAFLD</t>
  </si>
  <si>
    <t>.gif, .tif</t>
  </si>
  <si>
    <t>768 x 584 pixels</t>
  </si>
  <si>
    <t>https://drive.grand-challenge.org</t>
  </si>
  <si>
    <t>dataset_node21</t>
  </si>
  <si>
    <t>NODE21</t>
  </si>
  <si>
    <t>two modalities</t>
  </si>
  <si>
    <t>NAS: DRIVE</t>
  </si>
  <si>
    <t>covid19-IR</t>
  </si>
  <si>
    <t>COVID-19 Image Repository</t>
  </si>
  <si>
    <t>.png, .gif</t>
  </si>
  <si>
    <t>1444x1620,1958x2196</t>
  </si>
  <si>
    <t>Vessel segmentation mask, artery/vein labels</t>
  </si>
  <si>
    <t>https://figshare.com/articles/dataset/LES-AV_dataset/11857698?file=21732282</t>
  </si>
  <si>
    <t>https://arxiv.org/abs/1805.10273</t>
  </si>
  <si>
    <t>COVID-CTset</t>
  </si>
  <si>
    <t>NAS: LES-AV</t>
  </si>
  <si>
    <t>all black</t>
  </si>
  <si>
    <t>COVID19-CT</t>
  </si>
  <si>
    <t>MSD</t>
  </si>
  <si>
    <t>MSD Pancreas Tumour</t>
  </si>
  <si>
    <t>Pending</t>
  </si>
  <si>
    <t>MSD Hepatic Vessel</t>
  </si>
  <si>
    <t>covered above</t>
  </si>
  <si>
    <t>Unavailable</t>
  </si>
  <si>
    <t>MSD Spleen</t>
  </si>
  <si>
    <t>Remaining</t>
  </si>
  <si>
    <t>MSD Colon Cancer</t>
  </si>
  <si>
    <t>Total</t>
  </si>
  <si>
    <t>CT, MRI, PET, X-Ray, Ultrasound, Endoscopy, Microscopy, Ophthalmic, Dermoscopy</t>
  </si>
  <si>
    <t>MSD Prostate</t>
  </si>
  <si>
    <t>empire10</t>
  </si>
  <si>
    <t>EMPIRE10</t>
  </si>
  <si>
    <t>Approval Pending</t>
  </si>
  <si>
    <t>Agreement not done</t>
  </si>
  <si>
    <t>Other fornats</t>
  </si>
  <si>
    <t>Echonet Dynamic (Video - 25608)</t>
  </si>
  <si>
    <t>NAS (42 datasets - 3.8M)</t>
  </si>
  <si>
    <t>TDSC-ABUS (.nrrd - 34210)</t>
  </si>
  <si>
    <t>Faster (9 datasets - 4.57M)</t>
  </si>
  <si>
    <t>IQ-OTHNCCD</t>
  </si>
  <si>
    <t>IQ-OTH/NCCD</t>
  </si>
  <si>
    <t>ARIA (.m - 120)</t>
  </si>
  <si>
    <t>ACES (2 datasets - 3.9M)</t>
  </si>
  <si>
    <t>DCA1 (.pgm - 100)</t>
  </si>
  <si>
    <t>Stampede (1 dataset - 2.4M)</t>
  </si>
  <si>
    <t>14.57M (Downloaded)</t>
  </si>
  <si>
    <t>LUMIC</t>
  </si>
  <si>
    <t>CT (digital phantom)</t>
  </si>
  <si>
    <t>5.28M (Approval)</t>
  </si>
  <si>
    <t>1.4M (Agreement)</t>
  </si>
  <si>
    <t>3 (Unavailable)</t>
  </si>
  <si>
    <t>nih-chest-xrays.zip</t>
  </si>
  <si>
    <t>X-ray, 120,000</t>
  </si>
  <si>
    <t>RSNA_PD</t>
  </si>
  <si>
    <t>RSNA Pneumonia Detection</t>
  </si>
  <si>
    <t>Mini-DDSM.zip</t>
  </si>
  <si>
    <t>Mammography, 10k</t>
  </si>
  <si>
    <t>UPENN-GBM</t>
  </si>
  <si>
    <t>MRI, 828,234</t>
  </si>
  <si>
    <t xml:space="preserve">14 Datasets - Preprocessed </t>
  </si>
  <si>
    <t>CMB-CRC</t>
  </si>
  <si>
    <t>CT,NM,US, 250,000</t>
  </si>
  <si>
    <t>MRI, 315,000</t>
  </si>
  <si>
    <t>shcxr-lung-mask</t>
  </si>
  <si>
    <t>CT, 8M (take 3.5M)</t>
  </si>
  <si>
    <t>SHCXR Lung Mask</t>
  </si>
  <si>
    <t>mask only</t>
  </si>
  <si>
    <t>SIMBA</t>
  </si>
  <si>
    <t>I-ELCAP</t>
  </si>
  <si>
    <t>VIA/I-ELCAP</t>
  </si>
  <si>
    <t>ultrasound_nerve_seg</t>
  </si>
  <si>
    <t>Ultrasound Nerve Segmentation</t>
  </si>
  <si>
    <t>BraTS-TCGA-LGG</t>
  </si>
  <si>
    <t>BraTS-TCGA-GBM</t>
  </si>
  <si>
    <t>OSCC_extracted</t>
  </si>
  <si>
    <t>OSCC</t>
  </si>
  <si>
    <t>Oral</t>
  </si>
  <si>
    <t>FeTA2024</t>
  </si>
  <si>
    <t>FeTA 2024</t>
  </si>
  <si>
    <t>HNTS-MRG</t>
  </si>
  <si>
    <t>MICCAI'2024 HNTS-MRG Task1</t>
  </si>
  <si>
    <t>MICCAI'2024 HNTS-MRG Task2</t>
  </si>
  <si>
    <t>MMIS-2024</t>
  </si>
  <si>
    <t>MMIS-2024@ACM MM 2024</t>
  </si>
  <si>
    <t>Nasopharynx &amp; brain</t>
  </si>
  <si>
    <t>Retinal-image</t>
  </si>
  <si>
    <t>Retinal image quality assessment dataset</t>
  </si>
  <si>
    <t>rscbjbr9sj-2</t>
  </si>
  <si>
    <t>Papilledema</t>
  </si>
  <si>
    <t>IDRID</t>
  </si>
  <si>
    <t>Retinal image</t>
  </si>
  <si>
    <t>ACRIMA</t>
  </si>
  <si>
    <t>JSIEC</t>
  </si>
  <si>
    <t>ODR</t>
  </si>
  <si>
    <t>Ocular Disease Recognition</t>
  </si>
  <si>
    <t>DRA</t>
  </si>
  <si>
    <t>Diabetic Retinopathy Arranged</t>
  </si>
  <si>
    <t>ADAM</t>
  </si>
  <si>
    <t>iChallenge-ADAM-Task1</t>
  </si>
  <si>
    <t>directory_name</t>
  </si>
  <si>
    <t>directory_path</t>
  </si>
  <si>
    <t>3D-MR-MS</t>
  </si>
  <si>
    <t>OCT-C8</t>
  </si>
  <si>
    <t>/mnt/data-nas/medical_datasets/mixed_modalities/3D-MR-MS</t>
  </si>
  <si>
    <t>Retinal OCT-C8</t>
  </si>
  <si>
    <t>Retinal</t>
  </si>
  <si>
    <t>3DLowerLimb</t>
  </si>
  <si>
    <t>/mnt/data-nas/medical_datasets/ajay_processed/3DLowerLimb</t>
  </si>
  <si>
    <t>/mnt/data-nas/medical_datasets/BIOVFM-PNG/7-Tesla</t>
  </si>
  <si>
    <t>/mnt/data-nas/medical_datasets/BIOVFM-PNG/ABIDE</t>
  </si>
  <si>
    <t>/mnt/data-nas/medical_datasets/ajay_processed/ACDC</t>
  </si>
  <si>
    <t>/mnt/data-nas/medical_datasets/ajay_processed/ACOUSLIC</t>
  </si>
  <si>
    <t>ACPI_DU_LaBar</t>
  </si>
  <si>
    <t>/mnt/data-nas/medical_datasets/ajay_processed/ACPI_DU_LaBar</t>
  </si>
  <si>
    <t>ACPI_MTA</t>
  </si>
  <si>
    <t>/mnt/data-nas/medical_datasets/ajay_processed/ACPI_MTA</t>
  </si>
  <si>
    <t>ACPI_NYU</t>
  </si>
  <si>
    <t>/mnt/data-nas/medical_datasets/ajay_processed/ACPI_NYU</t>
  </si>
  <si>
    <t>ACRIN_6688</t>
  </si>
  <si>
    <t>/mnt/data-nas/medical_datasets/ajay_processed/ACRIN_6688</t>
  </si>
  <si>
    <t>/mnt/data-nas/medical_datasets/BIOVFM-PNG/ADHD-200</t>
  </si>
  <si>
    <t>/mnt/data-nas/medical_datasets/ajay_processed/AIIB23</t>
  </si>
  <si>
    <t>OLIVES</t>
  </si>
  <si>
    <t>/mnt/data-nas/medical_datasets/ajay_processed/ANODE09</t>
  </si>
  <si>
    <t>AOMIC</t>
  </si>
  <si>
    <t>/mnt/data-nas/medical_datasets/ajay_processed/AOMIC</t>
  </si>
  <si>
    <t>/mnt/data-nas/medical_datasets/ajay_processed/Airway</t>
  </si>
  <si>
    <t>/mnt/data-nas/medical_datasets/ajay_processed/AtriaSegmentation</t>
  </si>
  <si>
    <t>BHSD</t>
  </si>
  <si>
    <t>/mnt/data-nas/medical_datasets/ajay_processed/BHSD</t>
  </si>
  <si>
    <t>BONBID-HIE2023</t>
  </si>
  <si>
    <t>/mnt/data-nas/medical_datasets/ajay_processed/BONBID-HIE2023</t>
  </si>
  <si>
    <t>BONBID-HIE2024</t>
  </si>
  <si>
    <t>/mnt/data-nas/medical_datasets/ajay_processed/BONBID-HIE2024</t>
  </si>
  <si>
    <t>BRAINS</t>
  </si>
  <si>
    <t>/mnt/data-nas/medical_datasets/ajay_processed/BRAINS</t>
  </si>
  <si>
    <t>BRATS2023</t>
  </si>
  <si>
    <t>/mnt/data-nas/medical_datasets/ajay_processed/BRATS2023</t>
  </si>
  <si>
    <t>BRATS2024</t>
  </si>
  <si>
    <t>/mnt/data-nas/medical_datasets/ajay_processed/BRATS2024</t>
  </si>
  <si>
    <t>BTCV</t>
  </si>
  <si>
    <t>/mnt/data-nas/medical_datasets/ajay_processed/BTCV</t>
  </si>
  <si>
    <t>BraTS</t>
  </si>
  <si>
    <t>/mnt/data-nas/medical_datasets/ajay_processed/BraTS</t>
  </si>
  <si>
    <t>/mnt/data-nas/medical_datasets/ajay_processed/BraTS-TCGA-GBM</t>
  </si>
  <si>
    <t>/mnt/data-nas/medical_datasets/ajay_processed/BraTS-TCGA-LGG</t>
  </si>
  <si>
    <t>shared_data</t>
  </si>
  <si>
    <t>BrainMetShare</t>
  </si>
  <si>
    <t>Gray matter segmentation at 7T MRI</t>
  </si>
  <si>
    <t>/mnt/data-nas/medical_datasets/ajay_processed/BrainMetShare</t>
  </si>
  <si>
    <t>CAMUS</t>
  </si>
  <si>
    <t>/mnt/data-nas/medical_datasets/ajay_processed/CAMUS</t>
  </si>
  <si>
    <t>7T MRI (MP2RAGE, multi-echo GRE)</t>
  </si>
  <si>
    <t>CAUSE07</t>
  </si>
  <si>
    <t>/mnt/data-nas/medical_datasets/ajay_processed/CAUSE07</t>
  </si>
  <si>
    <t>CDEMRIS</t>
  </si>
  <si>
    <t>/mnt/data-nas/medical_datasets/ajay_processed/CDEMRIS</t>
  </si>
  <si>
    <t>CEREBRuM</t>
  </si>
  <si>
    <t>/mnt/data-nas/medical_datasets/ajay_processed/CEREBRuM</t>
  </si>
  <si>
    <t>/mnt/data-nas/medical_datasets/BIOVFM-PNG/CIC19</t>
  </si>
  <si>
    <t>CMI-HBN</t>
  </si>
  <si>
    <t>/mnt/data-nas/medical_datasets/ajay_processed/CMI-HBN</t>
  </si>
  <si>
    <t>CMRxMotion</t>
  </si>
  <si>
    <t>/mnt/data-nas/medical_datasets/ajay_processed/CMRxMotion</t>
  </si>
  <si>
    <t>COVID-19-20</t>
  </si>
  <si>
    <t>/mnt/data-nas/medical_datasets/ajay_processed/COVID-19-20</t>
  </si>
  <si>
    <t>CPTAC-SAR</t>
  </si>
  <si>
    <t>/mnt/data-nas/medical_datasets/ajay_processed/CPTAC-SAR</t>
  </si>
  <si>
    <t>CPTAC-UCEC</t>
  </si>
  <si>
    <t>/mnt/data-nas/medical_datasets/mixed_modalities/CPTAC-UCEC</t>
  </si>
  <si>
    <t>/mnt/data-nas/medical_datasets/BIOVFM-PNG/CSMLP</t>
  </si>
  <si>
    <t>CT-ORG</t>
  </si>
  <si>
    <t>/mnt/data-nas/medical_datasets/ajay_processed/CT-ORG</t>
  </si>
  <si>
    <t>mri-and-alzheimers</t>
  </si>
  <si>
    <t>CTPelvic1K</t>
  </si>
  <si>
    <t>/mnt/data-nas/medical_datasets/ajay_processed/CTPelvic1K</t>
  </si>
  <si>
    <t>MRI and Alzheimers</t>
  </si>
  <si>
    <t>CTSpine1K</t>
  </si>
  <si>
    <t>/mnt/data-nas/medical_datasets/ajay_processed/CTSpine1K</t>
  </si>
  <si>
    <t>CUNMET</t>
  </si>
  <si>
    <t>/mnt/data-nas/medical_datasets/ajay_processed/CUNMET</t>
  </si>
  <si>
    <t>Calgary</t>
  </si>
  <si>
    <t>/mnt/data-nas/medical_datasets/ajay_processed/Calgary</t>
  </si>
  <si>
    <t>/mnt/data-nas/medical_datasets/BIOVFM-PNG/CardiacUDA</t>
  </si>
  <si>
    <t>/mnt/data-nas/medical_datasets/BIOVFM-PNG/DFCI</t>
  </si>
  <si>
    <t>DLBS</t>
  </si>
  <si>
    <t>/mnt/data-nas/medical_datasets/ajay_processed/DLBS</t>
  </si>
  <si>
    <t>/mnt/data-nas/medical_datasets/BIOVFM-PNG/Diffusion_MRI</t>
  </si>
  <si>
    <t>EMIDEC</t>
  </si>
  <si>
    <t>/mnt/data-nas/medical_datasets/ajay_processed/EMIDEC</t>
  </si>
  <si>
    <t>EOEC</t>
  </si>
  <si>
    <t>/mnt/data-nas/medical_datasets/ajay_processed/EOEC</t>
  </si>
  <si>
    <t>EPISURG</t>
  </si>
  <si>
    <t>/mnt/data-nas/medical_datasets/ajay_processed/EPISURG</t>
  </si>
  <si>
    <t>FIND_Lab</t>
  </si>
  <si>
    <t>/mnt/data-nas/medical_datasets/ajay_processed/FIND_Lab</t>
  </si>
  <si>
    <t>FLARE-2022</t>
  </si>
  <si>
    <t>/mnt/data-nas/medical_datasets/ajay_processed/FLARE-2022</t>
  </si>
  <si>
    <t>/mnt/data-nas/medical_datasets/ajay_processed/FLARE2021</t>
  </si>
  <si>
    <t>/mnt/data-nas/medical_datasets/ajay_processed/FeTA2024</t>
  </si>
  <si>
    <t>HARDI2013</t>
  </si>
  <si>
    <t>/mnt/data-nas/medical_datasets/ajay_processed/HARDI2013</t>
  </si>
  <si>
    <t>teeth-segmentation</t>
  </si>
  <si>
    <t>HBN-SSI</t>
  </si>
  <si>
    <t>Teeth Segmentation Dataset</t>
  </si>
  <si>
    <t>/mnt/data-nas/medical_datasets/ajay_processed/HBN-SSI</t>
  </si>
  <si>
    <t>/mnt/data-nas/medical_datasets/BIOVFM-PNG/HCP</t>
  </si>
  <si>
    <t>/mnt/data-nas/medical_datasets/ajay_processed/HNTS-MRG</t>
  </si>
  <si>
    <t>HNU</t>
  </si>
  <si>
    <t>/mnt/data-nas/medical_datasets/ajay_processed/HNU</t>
  </si>
  <si>
    <t>/mnt/data-nas/medical_datasets/ajay_processed/HVSMR</t>
  </si>
  <si>
    <t>/mnt/data-nas/medical_datasets/BIOVFM-PNG/HVSPCD</t>
  </si>
  <si>
    <t>/mnt/data-nas/medical_datasets/mixed_modalities/HaN-Seg</t>
  </si>
  <si>
    <t>Hypo_Seg</t>
  </si>
  <si>
    <t>/mnt/data-nas/medical_datasets/ajay_processed/Hypo_Seg</t>
  </si>
  <si>
    <t>IBSR</t>
  </si>
  <si>
    <t>/mnt/data-nas/medical_datasets/ajay_processed/IBSR</t>
  </si>
  <si>
    <t>ICDC-Glioma</t>
  </si>
  <si>
    <t>/mnt/data-nas/medical_datasets/mixed_modalities/ICDC-Glioma</t>
  </si>
  <si>
    <t>/mnt/data-nas/medical_datasets/ajay_processed/ISIC_2020_Training_Dicom</t>
  </si>
  <si>
    <t>/mnt/data-nas/medical_datasets/BIOVFM-PNG/IvyGAP-Radiomics</t>
  </si>
  <si>
    <t>LNAP</t>
  </si>
  <si>
    <t>/mnt/data-nas/medical_datasets/ajay_processed/LNAP</t>
  </si>
  <si>
    <t>LNMLP</t>
  </si>
  <si>
    <t>/mnt/data-nas/medical_datasets/ajay_processed/LNMLP</t>
  </si>
  <si>
    <t>/mnt/data-nas/medical_datasets/ajay_processed/LNQ_2023</t>
  </si>
  <si>
    <t>LOLA11</t>
  </si>
  <si>
    <t>/mnt/data-nas/medical_datasets/ajay_processed/LOLA11</t>
  </si>
  <si>
    <t>/mnt/data-nas/medical_datasets/ajay_processed/LUMIC</t>
  </si>
  <si>
    <t>LivScar</t>
  </si>
  <si>
    <t>/mnt/data-nas/medical_datasets/ajay_processed/LivScar</t>
  </si>
  <si>
    <t>LumbosacralSpineMRI</t>
  </si>
  <si>
    <t>/mnt/data-nas/medical_datasets/ajay_processed/LumbosacralSpineMRI</t>
  </si>
  <si>
    <t>kvasir-sessile</t>
  </si>
  <si>
    <t>LyNoS</t>
  </si>
  <si>
    <t>Kvasir-SEG</t>
  </si>
  <si>
    <t>/mnt/data-nas/medical_datasets/ajay_processed/LyNoS</t>
  </si>
  <si>
    <t>MASSIVE</t>
  </si>
  <si>
    <t>/mnt/data-nas/medical_datasets/ajay_processed/MASSIVE</t>
  </si>
  <si>
    <t>MICA-MICs</t>
  </si>
  <si>
    <t>/mnt/data-nas/medical_datasets/ajay_processed/MICA-MICs</t>
  </si>
  <si>
    <t>MIMIC-IV-Echo</t>
  </si>
  <si>
    <t>/mnt/data-nas/medical_datasets/ajay_processed/MIMIC-IV-Echo</t>
  </si>
  <si>
    <t>MIRIAD</t>
  </si>
  <si>
    <t>/mnt/data-nas/medical_datasets/ajay_processed/MIRIAD</t>
  </si>
  <si>
    <t>MMCP</t>
  </si>
  <si>
    <t>/mnt/data-nas/medical_datasets/ajay_processed/MMCP</t>
  </si>
  <si>
    <t>/mnt/data-nas/medical_datasets/ajay_processed/MMIS-2024</t>
  </si>
  <si>
    <t>MMRR</t>
  </si>
  <si>
    <t>/mnt/data-nas/medical_datasets/ajay_processed/MMRR</t>
  </si>
  <si>
    <t>MNI-HiSUB25</t>
  </si>
  <si>
    <t>/mnt/data-nas/medical_datasets/ajay_processed/MNI-HiSUB25</t>
  </si>
  <si>
    <t>/mnt/data-nas/medical_datasets/BIOVFM-PNG/MPILMBB</t>
  </si>
  <si>
    <t>MRBrainS18</t>
  </si>
  <si>
    <t>/mnt/data-nas/medical_datasets/ajay_processed/MRBrainS18</t>
  </si>
  <si>
    <t>MRBrains13</t>
  </si>
  <si>
    <t>/mnt/data-nas/medical_datasets/ajay_processed/MRBrains13</t>
  </si>
  <si>
    <t>MSC</t>
  </si>
  <si>
    <t>/mnt/data-nas/medical_datasets/ajay_processed/MSC</t>
  </si>
  <si>
    <t>/mnt/data-nas/medical_datasets/ajay_processed/MSD</t>
  </si>
  <si>
    <t>/mnt/data-nas/medical_datasets/BIOVFM-PNG/Maclaren</t>
  </si>
  <si>
    <t>Mindboggle</t>
  </si>
  <si>
    <t>/mnt/data-nas/medical_datasets/ajay_processed/Mindboggle</t>
  </si>
  <si>
    <t>MnM2</t>
  </si>
  <si>
    <t>/mnt/data-nas/medical_datasets/ajay_processed/MnM2</t>
  </si>
  <si>
    <t>/mnt/data-nas/medical_datasets/BIOVFM-PNG/NKI-RS</t>
  </si>
  <si>
    <t>Narratives</t>
  </si>
  <si>
    <t>/mnt/data-nas/medical_datasets/ajay_processed/Narratives</t>
  </si>
  <si>
    <t>Naturalistic_Viewing</t>
  </si>
  <si>
    <t>/mnt/data-nas/medical_datasets/ajay_processed/Naturalistic_Viewing</t>
  </si>
  <si>
    <t>/mnt/data-nas/medical_datasets/ajay_processed/OpenEar</t>
  </si>
  <si>
    <t>/mnt/data-nas/medical_datasets/ajay_processed/PDDCA-1.4.1_part1</t>
  </si>
  <si>
    <t>/mnt/data-nas/medical_datasets/ajay_processed/PDDCA-1.4.1_part2</t>
  </si>
  <si>
    <t>/mnt/data-nas/medical_datasets/ajay_processed/PDDCA-1.4.1_part3</t>
  </si>
  <si>
    <t>/mnt/data-nas/medical_datasets/ajay_processed/PENGWIN</t>
  </si>
  <si>
    <t>PRIME-DE</t>
  </si>
  <si>
    <t>/mnt/data-nas/medical_datasets/ajay_processed/PRIME-DE</t>
  </si>
  <si>
    <t>uw-sinus-surgery-CL</t>
  </si>
  <si>
    <t>/mnt/data-nas/medical_datasets/ajay_processed/PROMISE12</t>
  </si>
  <si>
    <t>Sinus Surgery Endoscopic Image Datasets</t>
  </si>
  <si>
    <t>/mnt/data-nas/medical_datasets/BIOVFM-PNG/PadChest</t>
  </si>
  <si>
    <t>Parkinson</t>
  </si>
  <si>
    <t>Nasal cavity</t>
  </si>
  <si>
    <t>/mnt/data-nas/medical_datasets/ajay_processed/Parkinson</t>
  </si>
  <si>
    <t>Rhinoscopy</t>
  </si>
  <si>
    <t>/mnt/data-nas/medical_datasets/ajay_processed/PleThora</t>
  </si>
  <si>
    <t>/mnt/data-nas/medical_datasets/ajay_processed/Processed_data_nii</t>
  </si>
  <si>
    <t>/mnt/data-nas/medical_datasets/BIOVFM-PNG/RHUH-GBM</t>
  </si>
  <si>
    <t>RibFrac</t>
  </si>
  <si>
    <t>/mnt/data-nas/medical_datasets/ajay_processed/RibFrac</t>
  </si>
  <si>
    <t>SALD</t>
  </si>
  <si>
    <t>/mnt/data-nas/medical_datasets/ajay_processed/SALD</t>
  </si>
  <si>
    <t>/mnt/data-nas/medical_datasets/BIOVFM-PNG/SCA2</t>
  </si>
  <si>
    <t>SIMON</t>
  </si>
  <si>
    <t>/mnt/data-nas/medical_datasets/ajay_processed/SIMON</t>
  </si>
  <si>
    <t>SKM-TEA</t>
  </si>
  <si>
    <t>/mnt/data-nas/medical_datasets/ajay_processed/SKM-TEA</t>
  </si>
  <si>
    <t>SLAWT</t>
  </si>
  <si>
    <t>/mnt/data-nas/medical_datasets/ajay_processed/SLAWT</t>
  </si>
  <si>
    <t>SLIM</t>
  </si>
  <si>
    <t>/mnt/data-nas/medical_datasets/ajay_processed/SLIM</t>
  </si>
  <si>
    <t>/mnt/data-nas/medical_datasets/ajay_processed/SLIVER07</t>
  </si>
  <si>
    <t>SOPHIE_Spitz_extracted</t>
  </si>
  <si>
    <t>/mnt/data-nas/medical_datasets/ajay_processed/SOPHIE_Spitz_extracted</t>
  </si>
  <si>
    <t>SPIDER</t>
  </si>
  <si>
    <t>/mnt/data-nas/medical_datasets/ajay_processed/SPIDER</t>
  </si>
  <si>
    <t>STOIC2021</t>
  </si>
  <si>
    <t>/mnt/data-nas/medical_datasets/ajay_processed/STOIC2021</t>
  </si>
  <si>
    <t>SegRap2023</t>
  </si>
  <si>
    <t>m2caiseg</t>
  </si>
  <si>
    <t>/mnt/data-nas/medical_datasets/ajay_processed/SegRap2023</t>
  </si>
  <si>
    <t>SegThy</t>
  </si>
  <si>
    <t>/mnt/data-nas/medical_datasets/mixed_modalities/SegThy</t>
  </si>
  <si>
    <t>SynthStrip</t>
  </si>
  <si>
    <t>/mnt/data-nas/medical_datasets/mixed_modalities/SynthStrip</t>
  </si>
  <si>
    <t>TCGA-BLCA</t>
  </si>
  <si>
    <t>/mnt/data-nas/medical_datasets/mixed_modalities/TCGA-BLCA</t>
  </si>
  <si>
    <t>TCGA-LIHC</t>
  </si>
  <si>
    <t>/mnt/data-nas/medical_datasets/mixed_modalities/TCGA-LIHC</t>
  </si>
  <si>
    <t>TCGA-UCEC</t>
  </si>
  <si>
    <t>/mnt/data-nas/medical_datasets/mixed_modalities/TCGA-UCEC</t>
  </si>
  <si>
    <t>TDSC-ABUS</t>
  </si>
  <si>
    <t>/mnt/data-nas/medical_datasets/BIOVFM-PNG/TDSC-ABUS</t>
  </si>
  <si>
    <t>/mnt/data-nas/medical_datasets/mixed_modalities/ThoraxCBCT</t>
  </si>
  <si>
    <t>TopCoW</t>
  </si>
  <si>
    <t>/mnt/data-nas/medical_datasets/mixed_modalities/TopCoW</t>
  </si>
  <si>
    <t>TrackRAD</t>
  </si>
  <si>
    <t>/mnt/data-nas/medical_datasets/ajay_processed/TrackRAD</t>
  </si>
  <si>
    <t>/mnt/data-nas/medical_datasets/BIOVFM-PNG/UCSF-PDGM</t>
  </si>
  <si>
    <t>/mnt/data-nas/medical_datasets/BIOVFM-PNG/ULS23</t>
  </si>
  <si>
    <t>UNAMH</t>
  </si>
  <si>
    <t>/mnt/data-nas/medical_datasets/ajay_processed/UNAMH</t>
  </si>
  <si>
    <t>VALDO</t>
  </si>
  <si>
    <t>/mnt/data-nas/medical_datasets/ajay_processed/VALDO</t>
  </si>
  <si>
    <t>ussimandsegm</t>
  </si>
  <si>
    <t>/mnt/data-nas/medical_datasets/ajay_processed/VESSEL12</t>
  </si>
  <si>
    <t>Abdominal ultrasound simulation scans</t>
  </si>
  <si>
    <t>VerSe</t>
  </si>
  <si>
    <t>/mnt/data-nas/medical_datasets/ajay_processed/VerSe</t>
  </si>
  <si>
    <t>WayneState</t>
  </si>
  <si>
    <t>/mnt/data-nas/medical_datasets/ajay_processed/WayneState</t>
  </si>
  <si>
    <t>/mnt/data-nas/medical_datasets/ajay_processed/XRay-HipJoints</t>
  </si>
  <si>
    <t>/mnt/data-nas/medical_datasets/BIOVFM-PNG/Yale</t>
  </si>
  <si>
    <t>/mnt/data-nas/medical_datasets/ajay_processed/atlas-train-dataset-1.0.1</t>
  </si>
  <si>
    <t>autoPET</t>
  </si>
  <si>
    <t>/mnt/data-nas/medical_datasets/ajay_processed/autoPET</t>
  </si>
  <si>
    <t>/mnt/data-nas/medical_datasets/ajay_processed/covid19-ct-scans</t>
  </si>
  <si>
    <t>crossMoDA</t>
  </si>
  <si>
    <t>/mnt/data-nas/medical_datasets/ajay_processed/crossMoDA</t>
  </si>
  <si>
    <t>crossMoDA2022</t>
  </si>
  <si>
    <t>/mnt/data-nas/medical_datasets/ajay_processed/crossMoDA2022</t>
  </si>
  <si>
    <t>/mnt/data-nas/medical_datasets/mixed_modalities/dataset_node21</t>
  </si>
  <si>
    <t>ds000221-download</t>
  </si>
  <si>
    <t>/mnt/data-nas/medical_datasets/ajay_processed/ds000221-download</t>
  </si>
  <si>
    <t>ds174_R1.0.0_all_data</t>
  </si>
  <si>
    <t>/mnt/data-nas/medical_datasets/ajay_processed/ds174_R1.0.0_all_data</t>
  </si>
  <si>
    <t>/mnt/data-nas/medical_datasets/ajay_processed/empire10</t>
  </si>
  <si>
    <t>fomo50k</t>
  </si>
  <si>
    <t>/mnt/data-nas/medical_datasets/ajay_processed/fomo50k</t>
  </si>
  <si>
    <t>/mnt/data-nas/medical_datasets/ajay_processed/imagealcapa</t>
  </si>
  <si>
    <t>lc25000</t>
  </si>
  <si>
    <t>/mnt/data-nas/medical_datasets/ajay_processed/imagechd</t>
  </si>
  <si>
    <t>/mnt/data-nas/medical_datasets/ajay_processed/imagetbad</t>
  </si>
  <si>
    <t>Tissue</t>
  </si>
  <si>
    <t>isles2022</t>
  </si>
  <si>
    <t>Tissue pathology</t>
  </si>
  <si>
    <t>/mnt/data-nas/medical_datasets/ajay_processed/isles2022</t>
  </si>
  <si>
    <t>ispy1</t>
  </si>
  <si>
    <t>/mnt/data-nas/medical_datasets/BIOVFM-PNG/ispy1</t>
  </si>
  <si>
    <t>/mnt/data-nas/medical_datasets/ajay_processed/iugc-ultrasound-video-dataset-miccai-2024</t>
  </si>
  <si>
    <t>long-MR-MS</t>
  </si>
  <si>
    <t>/mnt/data-nas/medical_datasets/ajay_processed/long-MR-MS</t>
  </si>
  <si>
    <t>lumbar-CT-vertebrae</t>
  </si>
  <si>
    <t>/mnt/data-nas/medical_datasets/ajay_processed/lumbar-CT-vertebrae</t>
  </si>
  <si>
    <t>/mnt/data-nas/medical_datasets/mixed_modalities/medseg</t>
  </si>
  <si>
    <t>mm-brain-MR</t>
  </si>
  <si>
    <t>/mnt/data-nas/medical_datasets/ajay_processed/mm-brain-MR</t>
  </si>
  <si>
    <t>mouse-brain-atlas</t>
  </si>
  <si>
    <t>/mnt/data-nas/medical_datasets/ajay_processed/mouse-brain-atlas</t>
  </si>
  <si>
    <t>msseg2016</t>
  </si>
  <si>
    <t>/mnt/data-nas/medical_datasets/ajay_processed/msseg2016</t>
  </si>
  <si>
    <t>multishell_diffu_MRI</t>
  </si>
  <si>
    <t>/mnt/data-nas/medical_datasets/ajay_processed/multishell_diffu_MRI</t>
  </si>
  <si>
    <t>/mnt/data-nas/medical_datasets/ajay_processed/mvseg2023</t>
  </si>
  <si>
    <t>/mnt/data-nas/medical_datasets/ajay_processed/shared_data</t>
  </si>
  <si>
    <t>short</t>
  </si>
  <si>
    <t>/mnt/data-nas/medical_datasets/ajay_processed/short</t>
  </si>
  <si>
    <t>rsna-bone-age</t>
  </si>
  <si>
    <t>studyforrest_openneuro</t>
  </si>
  <si>
    <t>RSNA Bone Age</t>
  </si>
  <si>
    <t>/mnt/data-nas/medical_datasets/ajay_processed/studyforrest_openneuro</t>
  </si>
  <si>
    <t>synapse</t>
  </si>
  <si>
    <t>Bones</t>
  </si>
  <si>
    <t>/mnt/data-nas/medical_datasets/ajay_processed/synapse</t>
  </si>
  <si>
    <t>tciaDownload</t>
  </si>
  <si>
    <t>/mnt/data-nas/medical_datasets/mixed_modalities/tciaDownload</t>
  </si>
  <si>
    <t>/mnt/data-nas/medical_datasets/ajay_processed/totalsegmentator</t>
  </si>
  <si>
    <t>uta4</t>
  </si>
  <si>
    <t>/mnt/data-nas/medical_datasets/mixed_modalities/uta4</t>
  </si>
  <si>
    <t>xVertSeg</t>
  </si>
  <si>
    <t>/mnt/data-nas/medical_datasets/ajay_processed/xVertSeg</t>
  </si>
  <si>
    <t>kneemridataset</t>
  </si>
  <si>
    <t>kneeMRI</t>
  </si>
  <si>
    <t>ODIR-5K_Training_Images</t>
  </si>
  <si>
    <t>ODIR-5K</t>
  </si>
  <si>
    <t>AIROGS</t>
  </si>
  <si>
    <t>RFMiD</t>
  </si>
  <si>
    <t>RFMiD 2.0</t>
  </si>
  <si>
    <t>Dataset Size</t>
  </si>
  <si>
    <t>Website Modality</t>
  </si>
  <si>
    <t>ToxoFundus</t>
  </si>
  <si>
    <t>Fundus color photos</t>
  </si>
  <si>
    <t>HGDP/</t>
  </si>
  <si>
    <t>Harvard Glaucoma Detection and Progression</t>
  </si>
  <si>
    <t>.npy</t>
  </si>
  <si>
    <t>BiDR</t>
  </si>
  <si>
    <t>PALM</t>
  </si>
  <si>
    <t>AMD-SD/</t>
  </si>
  <si>
    <t>AMD-SD</t>
  </si>
  <si>
    <t>RSNA</t>
  </si>
  <si>
    <t>RSNA Intracranial Hemorrhage Detection</t>
  </si>
  <si>
    <t>ACPI DU LaBar</t>
  </si>
  <si>
    <t>fMRI</t>
  </si>
  <si>
    <t>ACPI MTA</t>
  </si>
  <si>
    <t>MRI, fMRI</t>
  </si>
  <si>
    <t>ACPI NYU</t>
  </si>
  <si>
    <t>ATLAS/</t>
  </si>
  <si>
    <t>ATLAS R1.1</t>
  </si>
  <si>
    <t>T1-weighted MRI</t>
  </si>
  <si>
    <t>no image</t>
  </si>
  <si>
    <t>Enhanced/</t>
  </si>
  <si>
    <t>Beijing Enhanced</t>
  </si>
  <si>
    <t>Resting-state fMRI, T1-weighted MRI, DTI</t>
  </si>
  <si>
    <t>Beijing Short TR Sample</t>
  </si>
  <si>
    <t>Resting-state fMRI, MPRAGE, DTI</t>
  </si>
  <si>
    <t>BeijingEOEC</t>
  </si>
  <si>
    <t>Resting-state fMRI, DTI</t>
  </si>
  <si>
    <t>Diffusion MRI (ADC, Z_ADC)</t>
  </si>
  <si>
    <t>Diffusion MRI (ADC maps)</t>
  </si>
  <si>
    <t>BR35H</t>
  </si>
  <si>
    <t>BTC</t>
  </si>
  <si>
    <t>Brain Tumor Classification</t>
  </si>
  <si>
    <t>MRI (T1-weighted contrast-enhanced)</t>
  </si>
  <si>
    <t>BTD</t>
  </si>
  <si>
    <t>Brian Tumor Dataset</t>
  </si>
  <si>
    <t>brain_tumor/</t>
  </si>
  <si>
    <t>brain tumor dataset</t>
  </si>
  <si>
    <t>T1-weighted contrast-enhanced MRI</t>
  </si>
  <si>
    <t>MRI (T1-weighted)</t>
  </si>
  <si>
    <t>MRI (T1, T1Gd, T2, FLAIR)</t>
  </si>
  <si>
    <t>Changes Associated with Heavy Cannabis Use</t>
  </si>
  <si>
    <t>MRI (T1, T2, fMRI, DTI); EEG</t>
  </si>
  <si>
    <t>CQ500</t>
  </si>
  <si>
    <t>crossMoDA 2022</t>
  </si>
  <si>
    <t>MRI (T1, FLAIR)</t>
  </si>
  <si>
    <t>FeTS 2022</t>
  </si>
  <si>
    <t>mpMRI (T1, T1-Gd, T2, T2-FLAIR)</t>
  </si>
  <si>
    <t>FeTS 2024</t>
  </si>
  <si>
    <t>both above</t>
  </si>
  <si>
    <t>FIND Lab</t>
  </si>
  <si>
    <t>Structural MRI, task-based fMRI</t>
  </si>
  <si>
    <t>sMRI, resting-state fMRI, DKI, EEG</t>
  </si>
  <si>
    <t>HNU Short TR</t>
  </si>
  <si>
    <t>Resting-state fMRI (eyes open/closed)</t>
  </si>
  <si>
    <t>T1, T2, FLAIR MRI</t>
  </si>
  <si>
    <t>Diffusion MRI, T1, T2, FLAIR</t>
  </si>
  <si>
    <t>T1, qT1, DWI, fMRI</t>
  </si>
  <si>
    <t>https://www.kaggle.com/datasets/mahdieh002/colonoscopy-cp-child?resource=download</t>
  </si>
  <si>
    <t>T1, T2, PD, FLAIR MRI</t>
  </si>
  <si>
    <t>T1-weighted MRI, DTI</t>
  </si>
  <si>
    <t>T1, T2-weighted MRI</t>
  </si>
  <si>
    <t>MSSeg/msseg2008</t>
  </si>
  <si>
    <t>MSSeg 2008</t>
  </si>
  <si>
    <t>.nhdr &amp; .raw files</t>
  </si>
  <si>
    <t>MSSEG 2016</t>
  </si>
  <si>
    <t>MRI (T1, T2, PD, T2-FLAIR)</t>
  </si>
  <si>
    <t>Multi-shell diffusion MRI</t>
  </si>
  <si>
    <t>MRI (T1, multi-shell DWI)</t>
  </si>
  <si>
    <t>Multimodal MRI of chess players</t>
  </si>
  <si>
    <t>MRI (T1, fMRI, DTI)</t>
  </si>
  <si>
    <t>Naturalistic Viewing</t>
  </si>
  <si>
    <t>fMRI, EEG</t>
  </si>
  <si>
    <t>NeuAtlas</t>
  </si>
  <si>
    <t>NeuAtlas Labeled Brain Scans</t>
  </si>
  <si>
    <t>MRI (T1)</t>
  </si>
  <si>
    <t>check</t>
  </si>
  <si>
    <t>realnoiseMRI</t>
  </si>
  <si>
    <t>RealNoiseMRI</t>
  </si>
  <si>
    <t>MRI (brain)</t>
  </si>
  <si>
    <t>sMRI, fMRI</t>
  </si>
  <si>
    <t>MRI (T1, T2, PD, T2*, DWI, rs-fMRI, ASL)</t>
  </si>
  <si>
    <t>MRI (sMRI, dMRI, rs-fMRI)</t>
  </si>
  <si>
    <t>SSBD</t>
  </si>
  <si>
    <t>Synthetic skull bone defects</t>
  </si>
  <si>
    <t>MRI (T1, T2, FLAIR, T2*)</t>
  </si>
  <si>
    <t>Wayne 10</t>
  </si>
  <si>
    <t>T1 MRI</t>
  </si>
  <si>
    <t>Wayne 11</t>
  </si>
  <si>
    <t>MRI structural</t>
  </si>
  <si>
    <t>Wayne EF</t>
  </si>
  <si>
    <t>NAS:3DTeethSeg22</t>
  </si>
  <si>
    <t>3DTeethSeg22</t>
  </si>
  <si>
    <t>Intraoral 3D Scan</t>
  </si>
  <si>
    <t>just obj files</t>
  </si>
  <si>
    <t>DENTEX</t>
  </si>
  <si>
    <t>pulpy3D</t>
  </si>
  <si>
    <t>Pulpy3D</t>
  </si>
  <si>
    <t>corrupted</t>
  </si>
  <si>
    <t xml:space="preserve"> Fluorescein_Angiography</t>
  </si>
  <si>
    <t>Duke Dataset for Fluorescein Angiography in DME eyes</t>
  </si>
  <si>
    <t>Fluorescein angiography</t>
  </si>
  <si>
    <t>not needed</t>
  </si>
  <si>
    <t>RIGA</t>
  </si>
  <si>
    <t>ROC</t>
  </si>
  <si>
    <t>AbdomenCT-1K</t>
  </si>
  <si>
    <t>EBHI-Seg</t>
  </si>
  <si>
    <t>AbdomenAtlas</t>
  </si>
  <si>
    <t>AbdomenAtlas 1.0 Mini</t>
  </si>
  <si>
    <t>Error -3 while decompressing data: invalid stored block lengths</t>
  </si>
  <si>
    <t>SCARED</t>
  </si>
  <si>
    <t>ENDO-AID</t>
  </si>
  <si>
    <t>pap</t>
  </si>
  <si>
    <t>Liquid based-cytology Pap smear</t>
  </si>
  <si>
    <t>PED-UFES-20</t>
  </si>
  <si>
    <t>json text file</t>
  </si>
  <si>
    <t>SOPHIE Spitz</t>
  </si>
  <si>
    <t>Pathology slides</t>
  </si>
  <si>
    <t>Melanoma Dataset</t>
  </si>
  <si>
    <t>matlab files</t>
  </si>
  <si>
    <t>CURVAS</t>
  </si>
  <si>
    <t>https://fetachallenge.github.io/pages/Data_download</t>
  </si>
  <si>
    <t>fastPET-LD_extracted</t>
  </si>
  <si>
    <t>fastPET-LD</t>
  </si>
  <si>
    <t>PET/CT</t>
  </si>
  <si>
    <t>FLARE 2022</t>
  </si>
  <si>
    <t>https://mmis2024.vercel.app/</t>
  </si>
  <si>
    <t>LYON19_extracted</t>
  </si>
  <si>
    <t>LYON19</t>
  </si>
  <si>
    <t>Histopathology (IHC)</t>
  </si>
  <si>
    <t>transverse-musculoskeletalcd-extracted</t>
  </si>
  <si>
    <t>Transverse musculoskeletal</t>
  </si>
  <si>
    <t>De-mri</t>
  </si>
  <si>
    <t>BloodCellImages</t>
  </si>
  <si>
    <t>Blood Cell Images</t>
  </si>
  <si>
    <t>Light Microscopy</t>
  </si>
  <si>
    <t>MRI (LGE CMR)</t>
  </si>
  <si>
    <t>LASC13</t>
  </si>
  <si>
    <t>MRI (LGE)</t>
  </si>
  <si>
    <t>,mhd</t>
  </si>
  <si>
    <t>MRI (cine SSFP)</t>
  </si>
  <si>
    <t>M&amp;Ms-2</t>
  </si>
  <si>
    <t>Fundus color photography</t>
  </si>
  <si>
    <t>ocmr.tar.gz</t>
  </si>
  <si>
    <t>OCMR</t>
  </si>
  <si>
    <t>CT (non-contrast)</t>
  </si>
  <si>
    <t>no 2D+ numeric dataset found in HDF5</t>
  </si>
  <si>
    <t>SCD</t>
  </si>
  <si>
    <t>MRI (cine)</t>
  </si>
  <si>
    <t>SADSB</t>
  </si>
  <si>
    <t>Second Annual Data Science Bowl</t>
  </si>
  <si>
    <t>HerlevCervicalSmear</t>
  </si>
  <si>
    <t>Herlev-Cervical Smear</t>
  </si>
  <si>
    <t>Cell</t>
  </si>
  <si>
    <t>MLC</t>
  </si>
  <si>
    <t>Malignant Lymphoma Classification</t>
  </si>
  <si>
    <t>Pathological sections</t>
  </si>
  <si>
    <t>OCCISC</t>
  </si>
  <si>
    <t>Cervical cells</t>
  </si>
  <si>
    <t>Microscopic imaging</t>
  </si>
  <si>
    <t>BioMediTech</t>
  </si>
  <si>
    <t>GlaS</t>
  </si>
  <si>
    <t>Glands</t>
  </si>
  <si>
    <t>HuSHem</t>
  </si>
  <si>
    <t>HuSHeM</t>
  </si>
  <si>
    <t>Pelvic cavity</t>
  </si>
  <si>
    <t>Microscopy images</t>
  </si>
  <si>
    <t>MoNuSeg</t>
  </si>
  <si>
    <t>BACH</t>
  </si>
  <si>
    <t>ICIAR 2018 BACH Task1</t>
  </si>
  <si>
    <t>ICIAR 2018 BACH Task2</t>
  </si>
  <si>
    <t>in above one</t>
  </si>
  <si>
    <t>HEROHE</t>
  </si>
  <si>
    <t>.dat</t>
  </si>
  <si>
    <t>kidney-stone-images</t>
  </si>
  <si>
    <t>Kidney Stone Images with Bounding Box Annotations</t>
  </si>
  <si>
    <t>black</t>
  </si>
  <si>
    <t>Mouse Brain atlas</t>
  </si>
  <si>
    <t>Leukemia</t>
  </si>
  <si>
    <t>Microscopic image</t>
  </si>
  <si>
    <t>PanNuke</t>
  </si>
  <si>
    <t>ANHIR</t>
  </si>
  <si>
    <t>MitoEM2021</t>
  </si>
  <si>
    <t>CoCaHis.hdf5</t>
  </si>
  <si>
    <t>CoCaHis</t>
  </si>
  <si>
    <t>Colorectal</t>
  </si>
  <si>
    <t>.hdf5 black images</t>
  </si>
  <si>
    <t>ARCH</t>
  </si>
  <si>
    <t>MalariaCellImages</t>
  </si>
  <si>
    <t>Malaria Cell Images</t>
  </si>
  <si>
    <t>Digital pathology image</t>
  </si>
  <si>
    <t>SegPC21</t>
  </si>
  <si>
    <t>MHIST</t>
  </si>
  <si>
    <t>Bone Marrow Cytomorphology</t>
  </si>
  <si>
    <t>Marrow</t>
  </si>
  <si>
    <t>Pathology image</t>
  </si>
  <si>
    <t>SegPANDA200</t>
  </si>
  <si>
    <t>MIST</t>
  </si>
  <si>
    <t>KPIs</t>
  </si>
  <si>
    <t>Vertebrae</t>
  </si>
  <si>
    <t>RibFrac 2020</t>
  </si>
  <si>
    <t>KneeOsteoarthritis</t>
  </si>
  <si>
    <t>Knee Osteoarthritis Dataset with Severity Grading</t>
  </si>
  <si>
    <t>.h5 file</t>
  </si>
  <si>
    <t>Modalities</t>
  </si>
  <si>
    <t>Images</t>
  </si>
  <si>
    <t>Considered?</t>
  </si>
  <si>
    <t>totalsegmentator.zip</t>
  </si>
  <si>
    <t>Mixed</t>
  </si>
  <si>
    <t>duplicate</t>
  </si>
  <si>
    <t>BREAST-DIAGNOSIS</t>
  </si>
  <si>
    <t>Lumbosacral Spine MRI Dataset</t>
  </si>
  <si>
    <t>Spinal nerve roots</t>
  </si>
  <si>
    <t>Leg-3D-US</t>
  </si>
  <si>
    <t>hardly 50 images (partial not read)</t>
  </si>
  <si>
    <t>Dataset Name</t>
  </si>
  <si>
    <t>Size</t>
  </si>
  <si>
    <t>Ratio-800k</t>
  </si>
  <si>
    <t>Ratio-30M</t>
  </si>
  <si>
    <t>Unzipped</t>
  </si>
  <si>
    <t>Included in CSV</t>
  </si>
  <si>
    <t>Permission</t>
  </si>
  <si>
    <t>Label</t>
  </si>
  <si>
    <t>Mask</t>
  </si>
  <si>
    <t>OAISIS</t>
  </si>
  <si>
    <t>MRI, PET</t>
  </si>
  <si>
    <t>RSNACSF</t>
  </si>
  <si>
    <t>RSNA Cervical Spine Fracture</t>
  </si>
  <si>
    <t>MedFM</t>
  </si>
  <si>
    <t>contains others</t>
  </si>
  <si>
    <t>MediastinalLymphNode</t>
  </si>
  <si>
    <t>No</t>
  </si>
  <si>
    <t>2D-3D-GS</t>
  </si>
  <si>
    <t>only .mat</t>
  </si>
  <si>
    <t xml:space="preserve">  </t>
  </si>
  <si>
    <t>PASCAL</t>
  </si>
  <si>
    <t>.vtk - mesh files</t>
  </si>
  <si>
    <t>Yes in folders</t>
  </si>
  <si>
    <t xml:space="preserve">MedMNIST </t>
  </si>
  <si>
    <t>AOD, E-ophtha</t>
  </si>
  <si>
    <t>Classification, Segmentation</t>
  </si>
  <si>
    <t>MRI, Histopathology</t>
  </si>
  <si>
    <t xml:space="preserve">Yes in folders,Yes </t>
  </si>
  <si>
    <t>3D Lower Limb Musculoskeletal Geometry</t>
  </si>
  <si>
    <t>CRT-EPIGGY19</t>
  </si>
  <si>
    <t>.vtk mesh files</t>
  </si>
  <si>
    <t>TCGA-SARC</t>
  </si>
  <si>
    <t>CAMELYON</t>
  </si>
  <si>
    <t>CAMELYON16</t>
  </si>
  <si>
    <t>Lymph Nodes</t>
  </si>
  <si>
    <t>.xml</t>
  </si>
  <si>
    <t>PMC-VQA</t>
  </si>
  <si>
    <t>not usable images, VQA dataset</t>
  </si>
  <si>
    <t>train.csv</t>
  </si>
  <si>
    <t xml:space="preserve">segmentation.csv </t>
  </si>
  <si>
    <t>DONE</t>
  </si>
  <si>
    <t>Soft-tissue-Sarcoma</t>
  </si>
  <si>
    <t>OCT-A is the images which is not fundus</t>
  </si>
  <si>
    <t>CAMELYON17</t>
  </si>
  <si>
    <t>Histopathology -&gt; Microscopy</t>
  </si>
  <si>
    <t>Mammography -&gt; X-Ray</t>
  </si>
  <si>
    <t>Pathological -&gt; Microscopy</t>
  </si>
  <si>
    <t>MedIMeta1</t>
  </si>
  <si>
    <t>VisibleHuman</t>
  </si>
  <si>
    <t>Visible Human Project</t>
  </si>
  <si>
    <t>CT 13,712,038 46.11</t>
  </si>
  <si>
    <t>Mixed modalities</t>
  </si>
  <si>
    <t>CT; PT; MR; CR</t>
  </si>
  <si>
    <t>OCTA 1,535 0.01</t>
  </si>
  <si>
    <t>MRI 9,133,353 30.71</t>
  </si>
  <si>
    <t>Fundus 125,230 0.42</t>
  </si>
  <si>
    <t>Endoscopy 1,934,837 6.51</t>
  </si>
  <si>
    <t>Dermoscopy 967,195 3.25</t>
  </si>
  <si>
    <t>X-Ray 957,461 3.22</t>
  </si>
  <si>
    <t>Microscopy 1,115,234 3.75</t>
  </si>
  <si>
    <t>TCGA-OV</t>
  </si>
  <si>
    <t>Ultrasound 1,789,368 6.02</t>
  </si>
  <si>
    <t>CT; MR; OT</t>
  </si>
  <si>
    <t>CT; PET; MR; Ultrasound; Histopathology</t>
  </si>
  <si>
    <t>CMB-OV</t>
  </si>
  <si>
    <t>CT; PET; Histopathology WSI</t>
  </si>
  <si>
    <t>CT, MR, PT</t>
  </si>
  <si>
    <t>TCGA-KIRP</t>
  </si>
  <si>
    <t>Resting-state fMRI</t>
  </si>
  <si>
    <t>CT, MR, CR</t>
  </si>
  <si>
    <t>CT, MR, CR, PT, DX</t>
  </si>
  <si>
    <t>TCGA-READ</t>
  </si>
  <si>
    <t>Histopathology &amp; CT/MRI</t>
  </si>
  <si>
    <t>HARDI 2013</t>
  </si>
  <si>
    <t>Diffusion MRI (HARDI)</t>
  </si>
  <si>
    <t>MRI, US</t>
  </si>
  <si>
    <t>Covid19-IP-Estimation</t>
  </si>
  <si>
    <t>TADPOLE</t>
  </si>
  <si>
    <t>Covid-19 Infection Percentage Estimation</t>
  </si>
  <si>
    <t>Just csv files</t>
  </si>
  <si>
    <t>CTA, MRA</t>
  </si>
  <si>
    <t>EchoNet-LVH</t>
  </si>
  <si>
    <t>Ultrasound (Echo)</t>
  </si>
  <si>
    <t>MRI, CT, PET</t>
  </si>
  <si>
    <t>Thyroid_Dataset</t>
  </si>
  <si>
    <t>TN3K</t>
  </si>
  <si>
    <t>brain-tumor-detection</t>
  </si>
  <si>
    <t>covidctset-a-large-covid19-ct-scans-dataset</t>
  </si>
  <si>
    <t>ddti-thyroid-ultrasound-images</t>
  </si>
  <si>
    <t>DDTI</t>
  </si>
  <si>
    <t>drive-digital-retinal-images-for-vessel-extraction</t>
  </si>
  <si>
    <t>nuinsseg</t>
  </si>
  <si>
    <t>osfstorage-archive</t>
  </si>
  <si>
    <t>on images</t>
  </si>
  <si>
    <t>Total Images</t>
  </si>
  <si>
    <t>pc4mb3h8hz-1</t>
  </si>
  <si>
    <t>Multi-Label Retinal Diseases</t>
  </si>
  <si>
    <t>Processed Data</t>
  </si>
  <si>
    <t>Not processed for some reason</t>
  </si>
  <si>
    <t>pulmonary-chest-xray-abnormalities</t>
  </si>
  <si>
    <t>Pulmonary Chest X-Ray Abnormalities</t>
  </si>
  <si>
    <t>the-iqothnccd-lung-cancer-dataset</t>
  </si>
  <si>
    <t>Ultrasound (2D Echo)</t>
  </si>
  <si>
    <t>EchoNet-Pediatric</t>
  </si>
  <si>
    <t>fMRI, anatomical MRI</t>
  </si>
  <si>
    <t>NSD - not needed</t>
  </si>
  <si>
    <t xml:space="preserve">natural images are mixed </t>
  </si>
  <si>
    <t>https://physionet.org/content/mimic-iv-echo/1.0/</t>
  </si>
  <si>
    <t>BraTS2023-MEN</t>
  </si>
  <si>
    <t>done with the above</t>
  </si>
  <si>
    <t>http://kaggle.com/datasets/dasmehdixtr/ddti-thyroid-ultrasound-images</t>
  </si>
  <si>
    <t>NuInsSeg</t>
  </si>
  <si>
    <t>BraTS2023-PED</t>
  </si>
  <si>
    <t>BraTS2023-MET</t>
  </si>
  <si>
    <t>TN3K (Thyroid_Dataset)</t>
  </si>
  <si>
    <t>duplicates</t>
  </si>
  <si>
    <t>CrossMoDA2021</t>
  </si>
  <si>
    <t>Longitudinal Neuroimaging on Multisensory Lexical Processing</t>
  </si>
  <si>
    <t>fMRI, DWI, Structural MRI</t>
  </si>
  <si>
    <t>Longitudinal Neuroimaging on Arithmetic Processing</t>
  </si>
  <si>
    <t>fMRI, Structural MRI</t>
  </si>
  <si>
    <t>BraTS2023-SSA</t>
  </si>
  <si>
    <t>BRACS</t>
  </si>
  <si>
    <t>https://isles22.grand-challenge.org/</t>
  </si>
  <si>
    <t>Breast tissue</t>
  </si>
  <si>
    <t>AutoPET</t>
  </si>
  <si>
    <t>CT, PET</t>
  </si>
  <si>
    <t>WSI</t>
  </si>
  <si>
    <t>MITOS_WSI_CMC</t>
  </si>
  <si>
    <t>UNAM Hynosis</t>
  </si>
  <si>
    <t>sMRI, rs-fMRI</t>
  </si>
  <si>
    <t>TrackRAD2025</t>
  </si>
  <si>
    <t>2D cine-MRI</t>
  </si>
  <si>
    <t>StudyForrest</t>
  </si>
  <si>
    <t>fMRI, structural MRI, eye tracking</t>
  </si>
  <si>
    <t>Parkinson's Disease Datasets</t>
  </si>
  <si>
    <t>MRI (T1w, rs-fMRI)</t>
  </si>
  <si>
    <t>MRI (T1w, T2w, rs-fMRI, DWI, MRS)</t>
  </si>
  <si>
    <t>Hypothalamus Segmentation</t>
  </si>
  <si>
    <t>PPMI</t>
  </si>
  <si>
    <t>only .csv and .parquet</t>
  </si>
  <si>
    <t>Calgary-Campinas</t>
  </si>
  <si>
    <t>https://sites.google.com/view/calgary-campinas-dataset/home</t>
  </si>
  <si>
    <t>GBM</t>
  </si>
  <si>
    <t>CPTAC-GBM</t>
  </si>
  <si>
    <t>Histopathology, Whole Slide Image</t>
  </si>
  <si>
    <t>MRI (T1, T1-IR, T2-FLAIR)</t>
  </si>
  <si>
    <t>MPI-LEMON</t>
  </si>
  <si>
    <t>T1map, T1w, FLAIR, T2w, DWI, BOLD</t>
  </si>
  <si>
    <t>ACRIN-FLT-Breast (ACRIN 6688)</t>
  </si>
  <si>
    <t>M4Raw</t>
  </si>
  <si>
    <t xml:space="preserve">.h5 </t>
  </si>
  <si>
    <t>BrixIA</t>
  </si>
  <si>
    <t>CR, DX</t>
  </si>
  <si>
    <t>covid-chestxray-dataset</t>
  </si>
  <si>
    <t>COVID-ChestXRay</t>
  </si>
  <si>
    <t>X-ray, CT</t>
  </si>
  <si>
    <t>VesselSegmentation</t>
  </si>
  <si>
    <t>Vessel Segmentation</t>
  </si>
  <si>
    <t>CT + Pathology</t>
  </si>
  <si>
    <t>BigBrain</t>
  </si>
  <si>
    <t>corrupt + 2 images only</t>
  </si>
  <si>
    <t>OCT_Extracted</t>
  </si>
  <si>
    <t>OCT and Chest X-Ray images</t>
  </si>
  <si>
    <t>OCT &amp; X-ray</t>
  </si>
  <si>
    <t>Radiology &amp; Histopathology</t>
  </si>
  <si>
    <t>FOMO 50K</t>
  </si>
  <si>
    <t>https://fomo25.github.io/</t>
  </si>
  <si>
    <t>ToothFairy</t>
  </si>
  <si>
    <t>SegRap 2023</t>
  </si>
  <si>
    <t>DRiD</t>
  </si>
  <si>
    <t>DRiDB</t>
  </si>
  <si>
    <t>LDPOLYPVIDEO</t>
  </si>
  <si>
    <t>LDPolypVideo</t>
  </si>
  <si>
    <t>https://github.com/med-air/Endo-FM</t>
  </si>
  <si>
    <t>Phantom FDA</t>
  </si>
  <si>
    <t>ATLAS_r2</t>
  </si>
  <si>
    <t>ATLAS v2.0</t>
  </si>
  <si>
    <t>Needs Decrypt password</t>
  </si>
  <si>
    <t>RadImageNet (MRI)</t>
  </si>
  <si>
    <t>https://www.radimagenet.com/</t>
  </si>
  <si>
    <t>Dermoscopic images</t>
  </si>
  <si>
    <t>https://www.isic-archive.com/</t>
  </si>
  <si>
    <t>ULS</t>
  </si>
  <si>
    <t>Additonal Processed</t>
  </si>
  <si>
    <t>CPTAC-LSCC</t>
  </si>
  <si>
    <t>CT, PT, Histopathology</t>
  </si>
  <si>
    <t>OmniMed-30M</t>
  </si>
  <si>
    <t>Sum</t>
  </si>
  <si>
    <t>Ratio</t>
  </si>
  <si>
    <t>Single Modality Total Images</t>
  </si>
  <si>
    <t>ISIC 2024 Challenge: SLICE-3D</t>
  </si>
  <si>
    <t>Single Modality</t>
  </si>
  <si>
    <t>What_if_ajay_processed</t>
  </si>
  <si>
    <t>Mixed Modality</t>
  </si>
  <si>
    <t>What_if_omnimed_30M</t>
  </si>
  <si>
    <t>RadImageNet (US)</t>
  </si>
  <si>
    <t>ISPY1 - Trial</t>
  </si>
  <si>
    <t>Mixed Modality Total Images</t>
  </si>
  <si>
    <t>MIMIC-CXR-JPG</t>
  </si>
  <si>
    <t>What_if_multimodality</t>
  </si>
  <si>
    <t>Total Combined</t>
  </si>
  <si>
    <t>Processed earlier</t>
  </si>
  <si>
    <t>Total_what_if</t>
  </si>
  <si>
    <t>Yale Hires</t>
  </si>
  <si>
    <t>Final Total</t>
  </si>
  <si>
    <t>RadImageNet (CT)</t>
  </si>
  <si>
    <t>RSNA Brain Tumor</t>
  </si>
  <si>
    <t>Old Ratio</t>
  </si>
  <si>
    <t>Lung-PET-CT-Dx</t>
  </si>
  <si>
    <t>CheXpert</t>
  </si>
  <si>
    <t>TDSC-ABUS2023</t>
  </si>
  <si>
    <t>ChestX-ray14</t>
  </si>
  <si>
    <t>Potential Datasets (downloaded and unzipped)</t>
  </si>
  <si>
    <t>CT Lymph nodes</t>
  </si>
  <si>
    <t>Stomach</t>
  </si>
  <si>
    <t>DFCI-BCH-BWH-PEDs-HGG</t>
  </si>
  <si>
    <t>7-Tesla resting-state fMRI test-retest</t>
  </si>
  <si>
    <t>Mouth</t>
  </si>
  <si>
    <t>RIDER Lung CT</t>
  </si>
  <si>
    <t>BELOW DATASETS COULD MANUALLY BE REMOVED DUE TO OBVIOUS REASONS, REST PASS THROUGH FILTER</t>
  </si>
  <si>
    <t>Filter detected (95% black or white)</t>
  </si>
  <si>
    <t>majority black and masks convey less information</t>
  </si>
  <si>
    <t>grey images</t>
  </si>
  <si>
    <t>NSCLC-Radiomics</t>
  </si>
  <si>
    <t>/mnt/data-nas/medical_datasets/ajay_processed/siim-covid19-detection</t>
  </si>
  <si>
    <t>https://www.cancerimagingarchive.net/collection/nsclc-radiomics/</t>
  </si>
  <si>
    <t>majorly black and some mask like info</t>
  </si>
  <si>
    <t>/mnt/data-nas/medical_datasets/ajay_processed/INbreast</t>
  </si>
  <si>
    <t>/mnt/data-nas/medical_datasets/ajay_processed/AV_groundTruth</t>
  </si>
  <si>
    <t>1-image</t>
  </si>
  <si>
    <t>not informative</t>
  </si>
  <si>
    <t>/mnt/data-nas/medical_datasets/ajay_processed/3Dircadb1</t>
  </si>
  <si>
    <t>3D models</t>
  </si>
  <si>
    <t>not informative, just white annotations</t>
  </si>
  <si>
    <t>hyper-noisy</t>
  </si>
  <si>
    <t>/mnt/data-nas/medical_datasets/ajay_processed/nuinsseg</t>
  </si>
  <si>
    <t>Vestibular Schwannoma SEG</t>
  </si>
  <si>
    <t>only 1 in 10 folders in useful</t>
  </si>
  <si>
    <t>Just Noise, white strips in black</t>
  </si>
  <si>
    <t>very noisy</t>
  </si>
  <si>
    <t>looks like mask</t>
  </si>
  <si>
    <t>Too much pixelation</t>
  </si>
  <si>
    <t>/mnt/data-nas/medical_datasets/ajay_processed/SSBD</t>
  </si>
  <si>
    <t>only 1 irrelevant image</t>
  </si>
  <si>
    <t>/mnt/data-nas/medical_datasets/BIOVFM-PNG/LDCT-and-Projection-data</t>
  </si>
  <si>
    <t>just noise, majorly black with some info</t>
  </si>
  <si>
    <t>Masks</t>
  </si>
  <si>
    <t>all white</t>
  </si>
  <si>
    <t>SPIE-AAPM Lung CT Challenge</t>
  </si>
  <si>
    <t>https://physionet.org/content/vindr-cxr/1.0.0/</t>
  </si>
  <si>
    <t>Augemnted ocular diseases(AOD)</t>
  </si>
  <si>
    <t>VinDr-SpineXR</t>
  </si>
  <si>
    <t>https://physionet.org/content/vindr-spinexr/1.0.0/</t>
  </si>
  <si>
    <t>https://healthdata.gov/NIH/Open-i/83mv-vpsj/about_data</t>
  </si>
  <si>
    <t>https://openaccess.thecvf.com/content/ICCV2021/papers/Ma_Self-Supervised_Vessel_Segmentation_via_Adversarial_Learning_ICCV_2021_paper.pdf</t>
  </si>
  <si>
    <t>https://neurips22-cellseg.grand-challenge.org/dataset/</t>
  </si>
  <si>
    <t>iChallenge-DeepDRiD-Task1</t>
  </si>
  <si>
    <t>Osteosarcoma Tumor Assessment</t>
  </si>
  <si>
    <t>https://arxiv.org/pdf/2309.09483</t>
  </si>
  <si>
    <t>https://pmc.ncbi.nlm.nih.gov/articles/PMC8144280/</t>
  </si>
  <si>
    <t>Breast Ultrasound Images Dataset</t>
  </si>
  <si>
    <t>COVID-19 Ultrasound</t>
  </si>
  <si>
    <t>Complete Blood Count</t>
  </si>
  <si>
    <t>3D VoTEM</t>
  </si>
  <si>
    <t>Panoramic Dental X-rays</t>
  </si>
  <si>
    <t>DRISHTI-GS</t>
  </si>
  <si>
    <t>Prenatal brain</t>
  </si>
  <si>
    <t>https://github.com/vinbigdata-medical/MIDL2021-VinDr-RibCXR</t>
  </si>
  <si>
    <t>https://data.lhncbc.nlm.nih.gov/public/Tuberculosis-Chest-X-ray-Datasets/Montgomery-County-CXR-Set/MontgomerySet/index.html</t>
  </si>
  <si>
    <t>http://www.ia.uned.es/~ejcarmona/DRIONS-DB.html</t>
  </si>
  <si>
    <t>DRIVE</t>
  </si>
  <si>
    <t>https://drive.grand-challenge.org/DRIVE/</t>
  </si>
  <si>
    <t>Mammography, Ultrasound, MRI</t>
  </si>
  <si>
    <t>CT, X-ray, Fundus</t>
  </si>
  <si>
    <t>CT, PET, MRI</t>
  </si>
  <si>
    <t>CT, PET, MRI, Ultrasound, Histopathology</t>
  </si>
  <si>
    <t>CT, PET, Histopathology</t>
  </si>
  <si>
    <t>Histopathology, CT, MRI</t>
  </si>
  <si>
    <t>MRI, Ultrasound</t>
  </si>
  <si>
    <t>TopCoW23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</si>
</sst>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yyyy"/>
  </numFmts>
  <fonts count="3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sz val="11.0"/>
      <color rgb="FF000000"/>
      <name val="Calibri"/>
    </font>
    <font>
      <color rgb="FF000000"/>
      <name val="Arial"/>
      <scheme val="minor"/>
    </font>
    <font>
      <u/>
      <color rgb="FF0000FF"/>
    </font>
    <font>
      <u/>
      <sz val="11.0"/>
      <color rgb="FF000000"/>
      <name val="Calibri"/>
    </font>
    <font>
      <u/>
      <color rgb="FF0000FF"/>
    </font>
    <font>
      <color rgb="FF000000"/>
      <name val="Helvetica"/>
    </font>
    <font>
      <color rgb="FF000000"/>
      <name val="SFRM1000"/>
    </font>
    <font>
      <b/>
      <color rgb="FF000000"/>
      <name val="Arial"/>
    </font>
    <font>
      <sz val="10.0"/>
      <color rgb="FF000000"/>
      <name val="Arial"/>
    </font>
    <font>
      <sz val="10.0"/>
      <color rgb="FF000000"/>
      <name val="Menlo"/>
    </font>
    <font>
      <color theme="1"/>
      <name val="Arial"/>
    </font>
    <font>
      <sz val="9.0"/>
      <color rgb="FF000000"/>
      <name val="Menlo"/>
    </font>
    <font>
      <color theme="1"/>
      <name val="'SFRM1000'"/>
    </font>
    <font>
      <u/>
      <color rgb="FF000000"/>
    </font>
    <font>
      <color rgb="FF1F1F1F"/>
      <name val="Arial"/>
    </font>
    <font>
      <u/>
      <color rgb="FF1F2328"/>
      <name val="Ui-monospace"/>
    </font>
    <font>
      <color rgb="FF1F2328"/>
      <name val="Ui-monospace"/>
    </font>
    <font>
      <color rgb="FF1F1F1F"/>
      <name val="Arial"/>
      <scheme val="minor"/>
    </font>
    <font>
      <u/>
      <color rgb="FF000000"/>
    </font>
    <font>
      <u/>
      <color rgb="FF000000"/>
    </font>
    <font>
      <u/>
      <color rgb="FF0000FF"/>
    </font>
    <font>
      <u/>
      <color rgb="FF0000FF"/>
    </font>
    <font>
      <b/>
      <color rgb="FF000000"/>
      <name val="Helvetica Neue"/>
    </font>
    <font>
      <color rgb="FF000000"/>
      <name val="Helvetica Neue"/>
    </font>
    <font>
      <u/>
      <color rgb="FF0000FF"/>
    </font>
    <font>
      <b/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i/>
      <color theme="1"/>
      <name val="Arial"/>
    </font>
    <font>
      <color rgb="FFFFFFFF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93C47D"/>
        <bgColor rgb="FF93C47D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8093B3"/>
      </bottom>
    </border>
    <border>
      <right style="thin">
        <color rgb="FFFFFFFF"/>
      </right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vertical="bottom"/>
    </xf>
    <xf borderId="0" fillId="0" fontId="1" numFmtId="0" xfId="0" applyAlignment="1" applyFont="1">
      <alignment readingOrder="0" shrinkToFit="0" wrapText="1"/>
    </xf>
    <xf borderId="0" fillId="2" fontId="2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2" fontId="2" numFmtId="0" xfId="0" applyAlignment="1" applyFont="1">
      <alignment shrinkToFit="0" vertical="bottom" wrapText="1"/>
    </xf>
    <xf borderId="0" fillId="2" fontId="0" numFmtId="0" xfId="0" applyAlignment="1" applyFont="1">
      <alignment readingOrder="0"/>
    </xf>
    <xf borderId="0" fillId="2" fontId="4" numFmtId="0" xfId="0" applyAlignment="1" applyFont="1">
      <alignment readingOrder="0"/>
    </xf>
    <xf borderId="0" fillId="0" fontId="3" numFmtId="0" xfId="0" applyAlignment="1" applyFont="1">
      <alignment shrinkToFit="0" vertical="bottom" wrapText="0"/>
    </xf>
    <xf borderId="0" fillId="2" fontId="4" numFmtId="0" xfId="0" applyFont="1"/>
    <xf borderId="0" fillId="0" fontId="5" numFmtId="0" xfId="0" applyAlignment="1" applyFont="1">
      <alignment readingOrder="0"/>
    </xf>
    <xf borderId="0" fillId="2" fontId="2" numFmtId="0" xfId="0" applyAlignment="1" applyFont="1">
      <alignment readingOrder="0" shrinkToFit="0" vertical="bottom" wrapText="1"/>
    </xf>
    <xf borderId="0" fillId="0" fontId="6" numFmtId="0" xfId="0" applyAlignment="1" applyFont="1">
      <alignment readingOrder="0" shrinkToFit="0" vertical="bottom" wrapText="0"/>
    </xf>
    <xf borderId="0" fillId="2" fontId="2" numFmtId="0" xfId="0" applyAlignment="1" applyFont="1">
      <alignment readingOrder="0" vertical="bottom"/>
    </xf>
    <xf borderId="0" fillId="2" fontId="0" numFmtId="3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1" numFmtId="0" xfId="0" applyFont="1"/>
    <xf borderId="0" fillId="2" fontId="8" numFmtId="0" xfId="0" applyAlignment="1" applyFont="1">
      <alignment readingOrder="0"/>
    </xf>
    <xf borderId="0" fillId="2" fontId="9" numFmtId="0" xfId="0" applyAlignment="1" applyFont="1">
      <alignment vertical="bottom"/>
    </xf>
    <xf borderId="0" fillId="3" fontId="1" numFmtId="0" xfId="0" applyFill="1" applyFont="1"/>
    <xf borderId="0" fillId="2" fontId="10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11" numFmtId="0" xfId="0" applyAlignment="1" applyFont="1">
      <alignment readingOrder="0"/>
    </xf>
    <xf borderId="0" fillId="2" fontId="11" numFmtId="0" xfId="0" applyAlignment="1" applyFont="1">
      <alignment readingOrder="0"/>
    </xf>
    <xf borderId="0" fillId="2" fontId="12" numFmtId="0" xfId="0" applyAlignment="1" applyFont="1">
      <alignment readingOrder="0"/>
    </xf>
    <xf borderId="0" fillId="4" fontId="1" numFmtId="0" xfId="0" applyFill="1" applyFont="1"/>
    <xf borderId="0" fillId="0" fontId="2" numFmtId="0" xfId="0" applyAlignment="1" applyFont="1">
      <alignment readingOrder="0" shrinkToFit="0" vertical="bottom" wrapText="1"/>
    </xf>
    <xf borderId="0" fillId="0" fontId="0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0" numFmtId="3" xfId="0" applyAlignment="1" applyFont="1" applyNumberFormat="1">
      <alignment readingOrder="0"/>
    </xf>
    <xf borderId="0" fillId="0" fontId="1" numFmtId="3" xfId="0" applyFont="1" applyNumberFormat="1"/>
    <xf borderId="0" fillId="0" fontId="15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0" fontId="12" numFmtId="0" xfId="0" applyAlignment="1" applyFont="1">
      <alignment readingOrder="0"/>
    </xf>
    <xf borderId="0" fillId="5" fontId="1" numFmtId="0" xfId="0" applyFont="1"/>
    <xf borderId="0" fillId="6" fontId="1" numFmtId="0" xfId="0" applyFill="1" applyFont="1"/>
    <xf borderId="0" fillId="0" fontId="1" numFmtId="0" xfId="0" applyAlignment="1" applyFont="1">
      <alignment readingOrder="0"/>
    </xf>
    <xf borderId="0" fillId="7" fontId="1" numFmtId="0" xfId="0" applyFill="1" applyFont="1"/>
    <xf borderId="0" fillId="0" fontId="13" numFmtId="0" xfId="0" applyAlignment="1" applyFont="1">
      <alignment readingOrder="0" shrinkToFit="0" vertical="bottom" wrapText="1"/>
    </xf>
    <xf borderId="0" fillId="0" fontId="4" numFmtId="0" xfId="0" applyFont="1"/>
    <xf borderId="0" fillId="2" fontId="14" numFmtId="0" xfId="0" applyAlignment="1" applyFont="1">
      <alignment readingOrder="0"/>
    </xf>
    <xf borderId="0" fillId="2" fontId="0" numFmtId="0" xfId="0" applyFont="1"/>
    <xf borderId="0" fillId="0" fontId="2" numFmtId="0" xfId="0" applyAlignment="1" applyFont="1">
      <alignment vertical="bottom"/>
    </xf>
    <xf borderId="0" fillId="2" fontId="1" numFmtId="0" xfId="0" applyAlignment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16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4" numFmtId="0" xfId="0" applyFont="1"/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0" fillId="5" fontId="4" numFmtId="0" xfId="0" applyAlignment="1" applyFont="1">
      <alignment readingOrder="0"/>
    </xf>
    <xf borderId="0" fillId="5" fontId="4" numFmtId="0" xfId="0" applyAlignment="1" applyFont="1">
      <alignment readingOrder="0" shrinkToFit="0" wrapText="1"/>
    </xf>
    <xf borderId="0" fillId="5" fontId="21" numFmtId="0" xfId="0" applyAlignment="1" applyFont="1">
      <alignment readingOrder="0"/>
    </xf>
    <xf borderId="0" fillId="5" fontId="22" numFmtId="0" xfId="0" applyAlignment="1" applyFont="1">
      <alignment readingOrder="0"/>
    </xf>
    <xf borderId="0" fillId="5" fontId="4" numFmtId="0" xfId="0" applyFont="1"/>
    <xf borderId="0" fillId="5" fontId="1" numFmtId="0" xfId="0" applyAlignment="1" applyFont="1">
      <alignment readingOrder="0" shrinkToFit="0" wrapText="1"/>
    </xf>
    <xf borderId="0" fillId="5" fontId="23" numFmtId="0" xfId="0" applyAlignment="1" applyFont="1">
      <alignment readingOrder="0"/>
    </xf>
    <xf borderId="0" fillId="5" fontId="24" numFmtId="0" xfId="0" applyAlignment="1" applyFont="1">
      <alignment readingOrder="0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vertical="bottom"/>
    </xf>
    <xf borderId="0" fillId="5" fontId="13" numFmtId="0" xfId="0" applyAlignment="1" applyFont="1">
      <alignment readingOrder="0" vertical="bottom"/>
    </xf>
    <xf borderId="0" fillId="5" fontId="13" numFmtId="0" xfId="0" applyAlignment="1" applyFont="1">
      <alignment vertical="bottom"/>
    </xf>
    <xf borderId="0" fillId="8" fontId="1" numFmtId="0" xfId="0" applyFill="1" applyFont="1"/>
    <xf borderId="0" fillId="0" fontId="1" numFmtId="0" xfId="0" applyAlignment="1" applyFont="1">
      <alignment shrinkToFit="0" wrapText="1"/>
    </xf>
    <xf borderId="0" fillId="5" fontId="13" numFmtId="164" xfId="0" applyAlignment="1" applyFont="1" applyNumberFormat="1">
      <alignment horizontal="right" vertical="bottom"/>
    </xf>
    <xf borderId="1" fillId="9" fontId="25" numFmtId="0" xfId="0" applyAlignment="1" applyBorder="1" applyFill="1" applyFont="1">
      <alignment readingOrder="0" vertical="top"/>
    </xf>
    <xf borderId="1" fillId="10" fontId="25" numFmtId="0" xfId="0" applyAlignment="1" applyBorder="1" applyFill="1" applyFont="1">
      <alignment readingOrder="0" vertical="top"/>
    </xf>
    <xf borderId="1" fillId="0" fontId="26" numFmtId="0" xfId="0" applyAlignment="1" applyBorder="1" applyFont="1">
      <alignment readingOrder="0" vertical="top"/>
    </xf>
    <xf borderId="0" fillId="0" fontId="1" numFmtId="3" xfId="0" applyAlignment="1" applyFont="1" applyNumberFormat="1">
      <alignment readingOrder="0"/>
    </xf>
    <xf borderId="0" fillId="0" fontId="27" numFmtId="0" xfId="0" applyFont="1"/>
    <xf borderId="0" fillId="0" fontId="13" numFmtId="0" xfId="0" applyAlignment="1" applyFont="1">
      <alignment horizontal="right" vertical="bottom"/>
    </xf>
    <xf borderId="0" fillId="0" fontId="28" numFmtId="0" xfId="0" applyAlignment="1" applyFont="1">
      <alignment readingOrder="0"/>
    </xf>
    <xf borderId="0" fillId="0" fontId="1" numFmtId="0" xfId="0" applyFont="1"/>
    <xf borderId="0" fillId="0" fontId="28" numFmtId="0" xfId="0" applyFont="1"/>
    <xf borderId="0" fillId="2" fontId="13" numFmtId="0" xfId="0" applyAlignment="1" applyFont="1">
      <alignment readingOrder="0" vertical="bottom"/>
    </xf>
    <xf borderId="0" fillId="0" fontId="13" numFmtId="0" xfId="0" applyAlignment="1" applyFont="1">
      <alignment vertical="bottom"/>
    </xf>
    <xf borderId="0" fillId="5" fontId="13" numFmtId="0" xfId="0" applyAlignment="1" applyFont="1">
      <alignment horizontal="center" vertical="bottom"/>
    </xf>
    <xf borderId="0" fillId="5" fontId="13" numFmtId="0" xfId="0" applyAlignment="1" applyFont="1">
      <alignment horizontal="right" vertical="bottom"/>
    </xf>
    <xf borderId="0" fillId="5" fontId="29" numFmtId="0" xfId="0" applyAlignment="1" applyFont="1">
      <alignment vertical="bottom"/>
    </xf>
    <xf borderId="0" fillId="0" fontId="13" numFmtId="0" xfId="0" applyAlignment="1" applyFont="1">
      <alignment horizontal="center" vertical="bottom"/>
    </xf>
    <xf borderId="0" fillId="0" fontId="30" numFmtId="0" xfId="0" applyAlignment="1" applyFont="1">
      <alignment vertical="bottom"/>
    </xf>
    <xf borderId="2" fillId="3" fontId="31" numFmtId="0" xfId="0" applyAlignment="1" applyBorder="1" applyFont="1">
      <alignment vertical="bottom"/>
    </xf>
    <xf borderId="2" fillId="3" fontId="32" numFmtId="0" xfId="0" applyAlignment="1" applyBorder="1" applyFont="1">
      <alignment readingOrder="0" vertical="bottom"/>
    </xf>
    <xf borderId="0" fillId="3" fontId="1" numFmtId="0" xfId="0" applyAlignment="1" applyFont="1">
      <alignment readingOrder="0"/>
    </xf>
    <xf borderId="3" fillId="3" fontId="13" numFmtId="0" xfId="0" applyAlignment="1" applyBorder="1" applyFont="1">
      <alignment vertical="bottom"/>
    </xf>
    <xf borderId="0" fillId="3" fontId="13" numFmtId="0" xfId="0" applyAlignment="1" applyFont="1">
      <alignment horizontal="right" vertical="bottom"/>
    </xf>
    <xf borderId="3" fillId="3" fontId="13" numFmtId="0" xfId="0" applyAlignment="1" applyBorder="1" applyFont="1">
      <alignment vertical="bottom"/>
    </xf>
    <xf borderId="0" fillId="0" fontId="28" numFmtId="3" xfId="0" applyFont="1" applyNumberFormat="1"/>
    <xf borderId="0" fillId="3" fontId="13" numFmtId="0" xfId="0" applyAlignment="1" applyFont="1">
      <alignment horizontal="right" readingOrder="0" vertical="bottom"/>
    </xf>
    <xf borderId="0" fillId="3" fontId="28" numFmtId="0" xfId="0" applyAlignment="1" applyFont="1">
      <alignment readingOrder="0"/>
    </xf>
    <xf borderId="0" fillId="3" fontId="28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kaggle.com/c/diabetic-retinopathy-detection/" TargetMode="External"/><Relationship Id="rId42" Type="http://schemas.openxmlformats.org/officeDocument/2006/relationships/hyperlink" Target="https://zenodo.org/records/1214456" TargetMode="External"/><Relationship Id="rId41" Type="http://schemas.openxmlformats.org/officeDocument/2006/relationships/hyperlink" Target="https://zenodo.org/records/1214456" TargetMode="External"/><Relationship Id="rId44" Type="http://schemas.openxmlformats.org/officeDocument/2006/relationships/hyperlink" Target="https://github.com/openmedlab/Endo-FM" TargetMode="External"/><Relationship Id="rId43" Type="http://schemas.openxmlformats.org/officeDocument/2006/relationships/hyperlink" Target="https://arxiv.org/abs/2306.16741" TargetMode="External"/><Relationship Id="rId46" Type="http://schemas.openxmlformats.org/officeDocument/2006/relationships/hyperlink" Target="https://www.kaggle.com/datasets/nih-chest-xrays/data" TargetMode="External"/><Relationship Id="rId45" Type="http://schemas.openxmlformats.org/officeDocument/2006/relationships/hyperlink" Target="https://bio-protocol.org/exchange/minidetail?id=17520318&amp;type=30&amp;utm_source=chatgpt.com" TargetMode="External"/><Relationship Id="rId107" Type="http://schemas.openxmlformats.org/officeDocument/2006/relationships/hyperlink" Target="https://www.kaggle.com/datasets/raddar/tuberculosis-chest-xrays-shenzhen" TargetMode="External"/><Relationship Id="rId106" Type="http://schemas.openxmlformats.org/officeDocument/2006/relationships/hyperlink" Target="https://openi.nlm.nih.gov/faq" TargetMode="External"/><Relationship Id="rId105" Type="http://schemas.openxmlformats.org/officeDocument/2006/relationships/hyperlink" Target="https://github.com/openmedlab/Awesome-Medical-Dataset/blob/main/resources/Shenzhen_chest_X-ray.md" TargetMode="External"/><Relationship Id="rId104" Type="http://schemas.openxmlformats.org/officeDocument/2006/relationships/hyperlink" Target="https://saras-esad.grand-challenge.org/Dataset/" TargetMode="External"/><Relationship Id="rId109" Type="http://schemas.openxmlformats.org/officeDocument/2006/relationships/hyperlink" Target="https://www.nature.com/articles/s41597-022-01564-3" TargetMode="External"/><Relationship Id="rId108" Type="http://schemas.openxmlformats.org/officeDocument/2006/relationships/hyperlink" Target="https://figshare.com/articles/figure/FIVES_A_Fundus_Image_Dataset_for_AI-based_Vessel_Segmentation/19688169?file=34969398" TargetMode="External"/><Relationship Id="rId48" Type="http://schemas.openxmlformats.org/officeDocument/2006/relationships/hyperlink" Target="https://www.nature.com/articles/s41597-021-00920-z" TargetMode="External"/><Relationship Id="rId47" Type="http://schemas.openxmlformats.org/officeDocument/2006/relationships/hyperlink" Target="https://datasets.simula.no/kvasir-capsule/" TargetMode="External"/><Relationship Id="rId49" Type="http://schemas.openxmlformats.org/officeDocument/2006/relationships/hyperlink" Target="https://datasets.simula.no/kvasir-capsule/" TargetMode="External"/><Relationship Id="rId103" Type="http://schemas.openxmlformats.org/officeDocument/2006/relationships/hyperlink" Target="https://saras-esad.grand-challenge.org/Dataset/" TargetMode="External"/><Relationship Id="rId102" Type="http://schemas.openxmlformats.org/officeDocument/2006/relationships/hyperlink" Target="https://github.com/nhjydywd/OCTA-FRNet/tree/main/dataset" TargetMode="External"/><Relationship Id="rId101" Type="http://schemas.openxmlformats.org/officeDocument/2006/relationships/hyperlink" Target="https://github.com/nhjydywd/OCTA-FRNet" TargetMode="External"/><Relationship Id="rId100" Type="http://schemas.openxmlformats.org/officeDocument/2006/relationships/hyperlink" Target="https://arxiv.org/abs/2309.09483" TargetMode="External"/><Relationship Id="rId31" Type="http://schemas.openxmlformats.org/officeDocument/2006/relationships/hyperlink" Target="https://patchcamelyon.grand-challenge.org" TargetMode="External"/><Relationship Id="rId30" Type="http://schemas.openxmlformats.org/officeDocument/2006/relationships/hyperlink" Target="https://github.com/basveeling/pcam" TargetMode="External"/><Relationship Id="rId33" Type="http://schemas.openxmlformats.org/officeDocument/2006/relationships/hyperlink" Target="https://arxiv.org/abs/1901.07031" TargetMode="External"/><Relationship Id="rId32" Type="http://schemas.openxmlformats.org/officeDocument/2006/relationships/hyperlink" Target="https://stanfordmlgroup.github.io/competitions/chexpert/" TargetMode="External"/><Relationship Id="rId35" Type="http://schemas.openxmlformats.org/officeDocument/2006/relationships/hyperlink" Target="https://bimcv.cipf.es/bimcv-projects/padchest/" TargetMode="External"/><Relationship Id="rId34" Type="http://schemas.openxmlformats.org/officeDocument/2006/relationships/hyperlink" Target="https://stanfordmlgroup.github.io/competitions/chexpert/" TargetMode="External"/><Relationship Id="rId37" Type="http://schemas.openxmlformats.org/officeDocument/2006/relationships/hyperlink" Target="https://bimcv.cipf.es/bimcv-projects/padchest/" TargetMode="External"/><Relationship Id="rId36" Type="http://schemas.openxmlformats.org/officeDocument/2006/relationships/hyperlink" Target="https://www.sciencedirect.com/science/article/pii/S1361841520301614?via%3Dihub" TargetMode="External"/><Relationship Id="rId39" Type="http://schemas.openxmlformats.org/officeDocument/2006/relationships/hyperlink" Target="https://www.kaggle.com/c/diabetic-retinopathy-detection/" TargetMode="External"/><Relationship Id="rId38" Type="http://schemas.openxmlformats.org/officeDocument/2006/relationships/hyperlink" Target="https://b2drop.bsc.es/index.php/s/BIMCV-PadChest-FULL" TargetMode="External"/><Relationship Id="rId20" Type="http://schemas.openxmlformats.org/officeDocument/2006/relationships/hyperlink" Target="https://github.com/wisdomikezogwo/quilt1m?tab=readme-ov-file" TargetMode="External"/><Relationship Id="rId22" Type="http://schemas.openxmlformats.org/officeDocument/2006/relationships/hyperlink" Target="https://www.kaggle.com/competitions/isic-2024-challenge" TargetMode="External"/><Relationship Id="rId21" Type="http://schemas.openxmlformats.org/officeDocument/2006/relationships/hyperlink" Target="https://zenodo.org/records/8239942" TargetMode="External"/><Relationship Id="rId24" Type="http://schemas.openxmlformats.org/officeDocument/2006/relationships/hyperlink" Target="https://vindr.ai/datasets/abdomen-phases" TargetMode="External"/><Relationship Id="rId23" Type="http://schemas.openxmlformats.org/officeDocument/2006/relationships/hyperlink" Target="https://challenge2024.isic-archive.com" TargetMode="External"/><Relationship Id="rId129" Type="http://schemas.openxmlformats.org/officeDocument/2006/relationships/hyperlink" Target="https://ieeexplore.ieee.org/document/8003418" TargetMode="External"/><Relationship Id="rId128" Type="http://schemas.openxmlformats.org/officeDocument/2006/relationships/hyperlink" Target="https://helward.mmu.ac.uk/STAFF/M.Yap/dataset.php" TargetMode="External"/><Relationship Id="rId127" Type="http://schemas.openxmlformats.org/officeDocument/2006/relationships/hyperlink" Target="https://vindr.ai/ribcxr" TargetMode="External"/><Relationship Id="rId126" Type="http://schemas.openxmlformats.org/officeDocument/2006/relationships/hyperlink" Target="https://arxiv.org/abs/2107.01327" TargetMode="External"/><Relationship Id="rId26" Type="http://schemas.openxmlformats.org/officeDocument/2006/relationships/hyperlink" Target="https://vindr.ai/datasets/abdomen-phases" TargetMode="External"/><Relationship Id="rId121" Type="http://schemas.openxmlformats.org/officeDocument/2006/relationships/hyperlink" Target="https://ieee-dataport.org/open-access/octa-500" TargetMode="External"/><Relationship Id="rId25" Type="http://schemas.openxmlformats.org/officeDocument/2006/relationships/hyperlink" Target="https://pubmed.ncbi.nlm.nih.gov/35428990/" TargetMode="External"/><Relationship Id="rId120" Type="http://schemas.openxmlformats.org/officeDocument/2006/relationships/hyperlink" Target="https://github.com/miag-ull/rim-one-dl" TargetMode="External"/><Relationship Id="rId28" Type="http://schemas.openxmlformats.org/officeDocument/2006/relationships/hyperlink" Target="https://www.nature.com/articles/s41597-019-0322-0" TargetMode="External"/><Relationship Id="rId27" Type="http://schemas.openxmlformats.org/officeDocument/2006/relationships/hyperlink" Target="https://physionet.org/content/mimic-cxr/2.1.0/" TargetMode="External"/><Relationship Id="rId125" Type="http://schemas.openxmlformats.org/officeDocument/2006/relationships/hyperlink" Target="https://vindr.ai/ribcxr" TargetMode="External"/><Relationship Id="rId29" Type="http://schemas.openxmlformats.org/officeDocument/2006/relationships/hyperlink" Target="https://github.com/MIT-LCP/mimic-cxr" TargetMode="External"/><Relationship Id="rId124" Type="http://schemas.openxmlformats.org/officeDocument/2006/relationships/hyperlink" Target="https://github.com/nhjydywd/OCTA-FRNet/tree/main/dataset" TargetMode="External"/><Relationship Id="rId123" Type="http://schemas.openxmlformats.org/officeDocument/2006/relationships/hyperlink" Target="https://www.kaggle.com/datasets/xiefei/octa500" TargetMode="External"/><Relationship Id="rId122" Type="http://schemas.openxmlformats.org/officeDocument/2006/relationships/hyperlink" Target="https://ieee-dataport.org/open-access/octa-500" TargetMode="External"/><Relationship Id="rId95" Type="http://schemas.openxmlformats.org/officeDocument/2006/relationships/hyperlink" Target="https://www.adcis.net/en/third-party/messidor/" TargetMode="External"/><Relationship Id="rId94" Type="http://schemas.openxmlformats.org/officeDocument/2006/relationships/hyperlink" Target="https://openi.nlm.nih.gov/faq?download=true" TargetMode="External"/><Relationship Id="rId97" Type="http://schemas.openxmlformats.org/officeDocument/2006/relationships/hyperlink" Target="https://github.com/AISIGSJTU/SSVS" TargetMode="External"/><Relationship Id="rId96" Type="http://schemas.openxmlformats.org/officeDocument/2006/relationships/hyperlink" Target="https://www.adcis.net/en/third-party/messidor/" TargetMode="External"/><Relationship Id="rId11" Type="http://schemas.openxmlformats.org/officeDocument/2006/relationships/hyperlink" Target="https://fastmri.med.nyu.edu" TargetMode="External"/><Relationship Id="rId99" Type="http://schemas.openxmlformats.org/officeDocument/2006/relationships/hyperlink" Target="https://github.com/nhjydywd/OCTA-FRNet" TargetMode="External"/><Relationship Id="rId10" Type="http://schemas.openxmlformats.org/officeDocument/2006/relationships/hyperlink" Target="https://arxiv.org/pdf/1811.08839" TargetMode="External"/><Relationship Id="rId98" Type="http://schemas.openxmlformats.org/officeDocument/2006/relationships/hyperlink" Target="https://github.com/AISIGSJTU/SSVS" TargetMode="External"/><Relationship Id="rId13" Type="http://schemas.openxmlformats.org/officeDocument/2006/relationships/hyperlink" Target="https://www.humanconnectome.org/study/hcp-young-adult/data-releases" TargetMode="External"/><Relationship Id="rId12" Type="http://schemas.openxmlformats.org/officeDocument/2006/relationships/hyperlink" Target="https://www.humanconnectome.org/study/hcp-young-adult/document/hcp-young-adult-2025-release" TargetMode="External"/><Relationship Id="rId91" Type="http://schemas.openxmlformats.org/officeDocument/2006/relationships/hyperlink" Target="https://openi.nlm.nih.gov" TargetMode="External"/><Relationship Id="rId90" Type="http://schemas.openxmlformats.org/officeDocument/2006/relationships/hyperlink" Target="https://physionet.org/content/vindr-pcxr/1.0.0/" TargetMode="External"/><Relationship Id="rId93" Type="http://schemas.openxmlformats.org/officeDocument/2006/relationships/hyperlink" Target="https://pmc.ncbi.nlm.nih.gov/articles/PMC5009925/" TargetMode="External"/><Relationship Id="rId92" Type="http://schemas.openxmlformats.org/officeDocument/2006/relationships/hyperlink" Target="https://pmc.ncbi.nlm.nih.gov/articles/PMC5009925/" TargetMode="External"/><Relationship Id="rId118" Type="http://schemas.openxmlformats.org/officeDocument/2006/relationships/hyperlink" Target="https://github.com/miag-ull/rim-one-dl" TargetMode="External"/><Relationship Id="rId117" Type="http://schemas.openxmlformats.org/officeDocument/2006/relationships/hyperlink" Target="https://cecas.clemson.edu/~ahoover/stare/" TargetMode="External"/><Relationship Id="rId116" Type="http://schemas.openxmlformats.org/officeDocument/2006/relationships/hyperlink" Target="https://cecas.clemson.edu/~ahoover/stare/" TargetMode="External"/><Relationship Id="rId115" Type="http://schemas.openxmlformats.org/officeDocument/2006/relationships/hyperlink" Target="https://drive.google.com/file/d/1TjxEJUD4VC_SAPcqdNVybsKRb_xW-Bze/edit" TargetMode="External"/><Relationship Id="rId119" Type="http://schemas.openxmlformats.org/officeDocument/2006/relationships/hyperlink" Target="https://www.ias-iss.org/ojs/IAS/article/view/2346" TargetMode="External"/><Relationship Id="rId15" Type="http://schemas.openxmlformats.org/officeDocument/2006/relationships/hyperlink" Target="https://pubs.rsna.org/doi/full/10.1148/ryai.210315" TargetMode="External"/><Relationship Id="rId110" Type="http://schemas.openxmlformats.org/officeDocument/2006/relationships/hyperlink" Target="https://figshare.com/articles/figure/FIVES_A_Fundus_Image_Dataset_for_AI-based_Vessel_Segmentation/19688169?file=34969398" TargetMode="External"/><Relationship Id="rId14" Type="http://schemas.openxmlformats.org/officeDocument/2006/relationships/hyperlink" Target="https://www.radimagenet.com" TargetMode="External"/><Relationship Id="rId17" Type="http://schemas.openxmlformats.org/officeDocument/2006/relationships/hyperlink" Target="https://drive.google.com/file/d/1nQhybYZ7EBA886LaaR1vWm7BqKGEiHEf/view" TargetMode="External"/><Relationship Id="rId16" Type="http://schemas.openxmlformats.org/officeDocument/2006/relationships/hyperlink" Target="https://www.radimagenet.com" TargetMode="External"/><Relationship Id="rId19" Type="http://schemas.openxmlformats.org/officeDocument/2006/relationships/hyperlink" Target="https://arxiv.org/abs/2306.11207" TargetMode="External"/><Relationship Id="rId114" Type="http://schemas.openxmlformats.org/officeDocument/2006/relationships/hyperlink" Target="https://github.com/vazgenzohranyan/Dr.SAM" TargetMode="External"/><Relationship Id="rId18" Type="http://schemas.openxmlformats.org/officeDocument/2006/relationships/hyperlink" Target="https://quilt1m.github.io/" TargetMode="External"/><Relationship Id="rId113" Type="http://schemas.openxmlformats.org/officeDocument/2006/relationships/hyperlink" Target="https://www.adcis.net/en/third-party/e-ophtha/" TargetMode="External"/><Relationship Id="rId112" Type="http://schemas.openxmlformats.org/officeDocument/2006/relationships/hyperlink" Target="https://www.clinicalkey.com/" TargetMode="External"/><Relationship Id="rId111" Type="http://schemas.openxmlformats.org/officeDocument/2006/relationships/hyperlink" Target="https://www.adcis.net/en/third-party/e-ophtha/" TargetMode="External"/><Relationship Id="rId84" Type="http://schemas.openxmlformats.org/officeDocument/2006/relationships/hyperlink" Target="https://www.physionet.org/content/vindr-spinexr/1.0.0/" TargetMode="External"/><Relationship Id="rId83" Type="http://schemas.openxmlformats.org/officeDocument/2006/relationships/hyperlink" Target="https://vindr.ai/spinexr" TargetMode="External"/><Relationship Id="rId86" Type="http://schemas.openxmlformats.org/officeDocument/2006/relationships/hyperlink" Target="https://web.archive.org/web/20201127235812/https://jfhealthcare.github.io/object-CXR/" TargetMode="External"/><Relationship Id="rId85" Type="http://schemas.openxmlformats.org/officeDocument/2006/relationships/hyperlink" Target="https://web.archive.org/web/20201127235812/https://jfhealthcare.github.io/object-CXR/" TargetMode="External"/><Relationship Id="rId88" Type="http://schemas.openxmlformats.org/officeDocument/2006/relationships/hyperlink" Target="https://vindr.ai/datasets/pediatric-chest-x-ray" TargetMode="External"/><Relationship Id="rId150" Type="http://schemas.openxmlformats.org/officeDocument/2006/relationships/hyperlink" Target="http://www.varpa.es/research/ophtalmology.html" TargetMode="External"/><Relationship Id="rId87" Type="http://schemas.openxmlformats.org/officeDocument/2006/relationships/hyperlink" Target="https://www.kaggle.com/datasets/raddar/foreign-objects-in-chest-xrays" TargetMode="External"/><Relationship Id="rId89" Type="http://schemas.openxmlformats.org/officeDocument/2006/relationships/hyperlink" Target="https://vindr.ai/datasets/pediatric-chest-x-ray" TargetMode="External"/><Relationship Id="rId80" Type="http://schemas.openxmlformats.org/officeDocument/2006/relationships/hyperlink" Target="https://vindr.ai/datasets/bodypartxr" TargetMode="External"/><Relationship Id="rId82" Type="http://schemas.openxmlformats.org/officeDocument/2006/relationships/hyperlink" Target="https://arxiv.org/abs/2106.12930" TargetMode="External"/><Relationship Id="rId81" Type="http://schemas.openxmlformats.org/officeDocument/2006/relationships/hyperlink" Target="https://vindr.ai/spinexr" TargetMode="External"/><Relationship Id="rId1" Type="http://schemas.openxmlformats.org/officeDocument/2006/relationships/hyperlink" Target="https://github.com/qiaoyu-zheng/RP3D-Diag" TargetMode="External"/><Relationship Id="rId2" Type="http://schemas.openxmlformats.org/officeDocument/2006/relationships/hyperlink" Target="https://qiaoyu-zheng.github.io/RP3D-Diag/" TargetMode="External"/><Relationship Id="rId3" Type="http://schemas.openxmlformats.org/officeDocument/2006/relationships/hyperlink" Target="https://huggingface.co/datasets/QiaoyuZheng/RP3D-DiagDS" TargetMode="External"/><Relationship Id="rId149" Type="http://schemas.openxmlformats.org/officeDocument/2006/relationships/hyperlink" Target="https://pmc.ncbi.nlm.nih.gov/articles/PMC6841783/" TargetMode="External"/><Relationship Id="rId4" Type="http://schemas.openxmlformats.org/officeDocument/2006/relationships/hyperlink" Target="https://www.sciencedirect.com/science/article/pii/S1361841525000738?utm_source=chatgpt.com" TargetMode="External"/><Relationship Id="rId148" Type="http://schemas.openxmlformats.org/officeDocument/2006/relationships/hyperlink" Target="https://www.kaggle.com/datasets/bard2024/database-x-ray-coronary-angiograms-dca1" TargetMode="External"/><Relationship Id="rId9" Type="http://schemas.openxmlformats.org/officeDocument/2006/relationships/hyperlink" Target="https://fastmri.med.nyu.edu/" TargetMode="External"/><Relationship Id="rId143" Type="http://schemas.openxmlformats.org/officeDocument/2006/relationships/hyperlink" Target="http://www.researchgate.net/profile/Jayanthi_Sivaswamy2/publication/275964723_JSM_BIOMEDICAL_IMAGING_DATA_PAPERS_Keywords_BULLET_BULLET_BULLET_nerve_head_BULLET_BULLET_disk_A_Comprehensive_Retinal_Image_Dataset_for_the_Assessment_of_Glaucoma_from_the_Optic_Nerve_Head_Analysis/links/554c391d0cf29752ee7edb80.pdf" TargetMode="External"/><Relationship Id="rId142" Type="http://schemas.openxmlformats.org/officeDocument/2006/relationships/hyperlink" Target="https://cvit.iiit.ac.in/projects/mip/drishti-gs/mip-dataset2/Home.php" TargetMode="External"/><Relationship Id="rId141" Type="http://schemas.openxmlformats.org/officeDocument/2006/relationships/hyperlink" Target="https://www.kaggle.com/datasets/lucascunhadecarvalho/drionsdb-cunha" TargetMode="External"/><Relationship Id="rId140" Type="http://schemas.openxmlformats.org/officeDocument/2006/relationships/hyperlink" Target="https://www.idiap.ch/software/bob/docs/bob/bob.db.drionsdb/master/index.html" TargetMode="External"/><Relationship Id="rId5" Type="http://schemas.openxmlformats.org/officeDocument/2006/relationships/hyperlink" Target="https://uls23.grand-challenge.org/uls23/" TargetMode="External"/><Relationship Id="rId147" Type="http://schemas.openxmlformats.org/officeDocument/2006/relationships/hyperlink" Target="http://personal.cimat.mx:8181/~ivan.cruz/DB_Angiograms.html" TargetMode="External"/><Relationship Id="rId6" Type="http://schemas.openxmlformats.org/officeDocument/2006/relationships/hyperlink" Target="https://huggingface.co/datasets/OpenGVLab/SA-Med2D-20M" TargetMode="External"/><Relationship Id="rId146" Type="http://schemas.openxmlformats.org/officeDocument/2006/relationships/hyperlink" Target="https://www.mdpi.com/2076-3417/9/24/5507" TargetMode="External"/><Relationship Id="rId7" Type="http://schemas.openxmlformats.org/officeDocument/2006/relationships/hyperlink" Target="https://arxiv.org/abs/2311.11969" TargetMode="External"/><Relationship Id="rId145" Type="http://schemas.openxmlformats.org/officeDocument/2006/relationships/hyperlink" Target="http://personal.cimat.mx:8181/~ivan.cruz/DB_Angiograms.html" TargetMode="External"/><Relationship Id="rId8" Type="http://schemas.openxmlformats.org/officeDocument/2006/relationships/hyperlink" Target="https://huggingface.co/datasets/OpenGVLab/SA-Med2D-20M" TargetMode="External"/><Relationship Id="rId144" Type="http://schemas.openxmlformats.org/officeDocument/2006/relationships/hyperlink" Target="https://cvit.iiit.ac.in/projects/mip/drishti-gs/mip-dataset2/Home.php" TargetMode="External"/><Relationship Id="rId73" Type="http://schemas.openxmlformats.org/officeDocument/2006/relationships/hyperlink" Target="https://www.kaggle.com/c/vinbigdata-chest-xray-abnormalities-detection/data" TargetMode="External"/><Relationship Id="rId72" Type="http://schemas.openxmlformats.org/officeDocument/2006/relationships/hyperlink" Target="https://vindr.ai/cxr" TargetMode="External"/><Relationship Id="rId75" Type="http://schemas.openxmlformats.org/officeDocument/2006/relationships/hyperlink" Target="https://www.kaggle.com/datasets/nurmukhammed7/augemnted-ocular-diseases" TargetMode="External"/><Relationship Id="rId74" Type="http://schemas.openxmlformats.org/officeDocument/2006/relationships/hyperlink" Target="https://www.kaggle.com/datasets/nurmukhammed7/augemnted-ocular-diseases" TargetMode="External"/><Relationship Id="rId77" Type="http://schemas.openxmlformats.org/officeDocument/2006/relationships/hyperlink" Target="http://www.sciencedirect.com/science/article/pii/S0020025519305377" TargetMode="External"/><Relationship Id="rId76" Type="http://schemas.openxmlformats.org/officeDocument/2006/relationships/hyperlink" Target="https://github.com/nkicsl/DDR-dataset" TargetMode="External"/><Relationship Id="rId79" Type="http://schemas.openxmlformats.org/officeDocument/2006/relationships/hyperlink" Target="https://vindr.ai/datasets/bodypartxr" TargetMode="External"/><Relationship Id="rId78" Type="http://schemas.openxmlformats.org/officeDocument/2006/relationships/hyperlink" Target="https://github.com/nkicsl/DDR-dataset" TargetMode="External"/><Relationship Id="rId71" Type="http://schemas.openxmlformats.org/officeDocument/2006/relationships/hyperlink" Target="https://vindr.ai/cxr" TargetMode="External"/><Relationship Id="rId70" Type="http://schemas.openxmlformats.org/officeDocument/2006/relationships/hyperlink" Target="https://www.physionet.org/content/vindr-mammo/1.0.0/" TargetMode="External"/><Relationship Id="rId139" Type="http://schemas.openxmlformats.org/officeDocument/2006/relationships/hyperlink" Target="https://sourceforge.net/projects/aria-vessels/" TargetMode="External"/><Relationship Id="rId138" Type="http://schemas.openxmlformats.org/officeDocument/2006/relationships/hyperlink" Target="https://journals.plos.org/plosone/article?id=10.1371/journal.pone.0032435" TargetMode="External"/><Relationship Id="rId137" Type="http://schemas.openxmlformats.org/officeDocument/2006/relationships/hyperlink" Target="https://petebankhead.github.io/ARIA/" TargetMode="External"/><Relationship Id="rId132" Type="http://schemas.openxmlformats.org/officeDocument/2006/relationships/hyperlink" Target="https://openi.nlm.nih.gov/faq" TargetMode="External"/><Relationship Id="rId131" Type="http://schemas.openxmlformats.org/officeDocument/2006/relationships/hyperlink" Target="https://github.com/openmedlab/Awesome-Medical-Dataset/blob/main/resources/MontgomeryCounty.md" TargetMode="External"/><Relationship Id="rId130" Type="http://schemas.openxmlformats.org/officeDocument/2006/relationships/hyperlink" Target="https://helward.mmu.ac.uk/STAFF/M.Yap/dataset.php" TargetMode="External"/><Relationship Id="rId136" Type="http://schemas.openxmlformats.org/officeDocument/2006/relationships/hyperlink" Target="https://www.kaggle.com/datasets/nguyenhung1903/diaretdb1-standard-diabetic-retinopathy-database" TargetMode="External"/><Relationship Id="rId135" Type="http://schemas.openxmlformats.org/officeDocument/2006/relationships/hyperlink" Target="https://www.kaggle.com/datasets/nguyenhung1903/diaretdb1-standard-diabetic-retinopathy-database" TargetMode="External"/><Relationship Id="rId134" Type="http://schemas.openxmlformats.org/officeDocument/2006/relationships/hyperlink" Target="https://www.kaggle.com/datasets/nguyenhung1903/diaretdb1-standard-diabetic-retinopathy-database" TargetMode="External"/><Relationship Id="rId133" Type="http://schemas.openxmlformats.org/officeDocument/2006/relationships/hyperlink" Target="https://www.kaggle.com/datasets/raddar/tuberculosis-chest-xrays-montgomery" TargetMode="External"/><Relationship Id="rId62" Type="http://schemas.openxmlformats.org/officeDocument/2006/relationships/hyperlink" Target="https://www.kaggle.com/datasets/javaidahmadwani/lc25000" TargetMode="External"/><Relationship Id="rId61" Type="http://schemas.openxmlformats.org/officeDocument/2006/relationships/hyperlink" Target="https://github.com/tampapath/lung_colon_image_set" TargetMode="External"/><Relationship Id="rId64" Type="http://schemas.openxmlformats.org/officeDocument/2006/relationships/hyperlink" Target="https://arxiv.org/abs/2104.09957" TargetMode="External"/><Relationship Id="rId63" Type="http://schemas.openxmlformats.org/officeDocument/2006/relationships/hyperlink" Target="https://github.com/mattgroh/fitzpatrick17k/tree/main" TargetMode="External"/><Relationship Id="rId66" Type="http://schemas.openxmlformats.org/officeDocument/2006/relationships/hyperlink" Target="https://drive.google.com/file/d/1B_dHew_vLq3h8QH6ufzA1Eh9N7guB8uj/view" TargetMode="External"/><Relationship Id="rId65" Type="http://schemas.openxmlformats.org/officeDocument/2006/relationships/hyperlink" Target="https://github.com/mattgroh/fitzpatrick17k/tree/main" TargetMode="External"/><Relationship Id="rId68" Type="http://schemas.openxmlformats.org/officeDocument/2006/relationships/hyperlink" Target="https://www.medrxiv.org/content/10.1101/2022.03.07.22272009v1" TargetMode="External"/><Relationship Id="rId67" Type="http://schemas.openxmlformats.org/officeDocument/2006/relationships/hyperlink" Target="https://vindr.ai/datasets/mammo" TargetMode="External"/><Relationship Id="rId60" Type="http://schemas.openxmlformats.org/officeDocument/2006/relationships/hyperlink" Target="https://github.com/tampapath/lung_colon_image_set" TargetMode="External"/><Relationship Id="rId165" Type="http://schemas.openxmlformats.org/officeDocument/2006/relationships/hyperlink" Target="https://arxiv.org/abs/1805.10273" TargetMode="External"/><Relationship Id="rId69" Type="http://schemas.openxmlformats.org/officeDocument/2006/relationships/hyperlink" Target="https://vindr.ai/datasets/mammo" TargetMode="External"/><Relationship Id="rId164" Type="http://schemas.openxmlformats.org/officeDocument/2006/relationships/hyperlink" Target="https://figshare.com/articles/dataset/LES-AV_dataset/11857698?file=21732282" TargetMode="External"/><Relationship Id="rId163" Type="http://schemas.openxmlformats.org/officeDocument/2006/relationships/hyperlink" Target="https://drive.grand-challenge.org" TargetMode="External"/><Relationship Id="rId162" Type="http://schemas.openxmlformats.org/officeDocument/2006/relationships/hyperlink" Target="https://drive.grand-challenge.org" TargetMode="External"/><Relationship Id="rId167" Type="http://schemas.openxmlformats.org/officeDocument/2006/relationships/drawing" Target="../drawings/drawing1.xml"/><Relationship Id="rId166" Type="http://schemas.openxmlformats.org/officeDocument/2006/relationships/hyperlink" Target="https://figshare.com/articles/dataset/LES-AV_dataset/11857698?file=21732282" TargetMode="External"/><Relationship Id="rId51" Type="http://schemas.openxmlformats.org/officeDocument/2006/relationships/hyperlink" Target="https://api.isic-archive.com/images/" TargetMode="External"/><Relationship Id="rId50" Type="http://schemas.openxmlformats.org/officeDocument/2006/relationships/hyperlink" Target="https://api.isic-archive.com/images/" TargetMode="External"/><Relationship Id="rId53" Type="http://schemas.openxmlformats.org/officeDocument/2006/relationships/hyperlink" Target="https://www.kaggle.com/competitions/uw-madison-gi-tract-image-segmentation/overview" TargetMode="External"/><Relationship Id="rId52" Type="http://schemas.openxmlformats.org/officeDocument/2006/relationships/hyperlink" Target="https://www.kaggle.com/competitions/uw-madison-gi-tract-image-segmentation" TargetMode="External"/><Relationship Id="rId55" Type="http://schemas.openxmlformats.org/officeDocument/2006/relationships/hyperlink" Target="https://arxiv.org/abs/2501.15588" TargetMode="External"/><Relationship Id="rId161" Type="http://schemas.openxmlformats.org/officeDocument/2006/relationships/hyperlink" Target="https://pubmed.ncbi.nlm.nih.gov/28217714/" TargetMode="External"/><Relationship Id="rId54" Type="http://schemas.openxmlformats.org/officeDocument/2006/relationships/hyperlink" Target="https://tdsc-abus2023.grand-challenge.org/TDSC-ABUS2023/" TargetMode="External"/><Relationship Id="rId160" Type="http://schemas.openxmlformats.org/officeDocument/2006/relationships/hyperlink" Target="https://datasetninja.com/chase-db1" TargetMode="External"/><Relationship Id="rId57" Type="http://schemas.openxmlformats.org/officeDocument/2006/relationships/hyperlink" Target="https://echonet.github.io/dynamic/" TargetMode="External"/><Relationship Id="rId56" Type="http://schemas.openxmlformats.org/officeDocument/2006/relationships/hyperlink" Target="https://tdsc-abus2023.grand-challenge.org/Dataset/" TargetMode="External"/><Relationship Id="rId159" Type="http://schemas.openxmlformats.org/officeDocument/2006/relationships/hyperlink" Target="https://ieeexplore.ieee.org/document/6224174" TargetMode="External"/><Relationship Id="rId59" Type="http://schemas.openxmlformats.org/officeDocument/2006/relationships/hyperlink" Target="https://echonet.github.io/dynamic/" TargetMode="External"/><Relationship Id="rId154" Type="http://schemas.openxmlformats.org/officeDocument/2006/relationships/hyperlink" Target="https://imed.nimte.ac.cn/dataofrose.html" TargetMode="External"/><Relationship Id="rId58" Type="http://schemas.openxmlformats.org/officeDocument/2006/relationships/hyperlink" Target="https://www.nature.com/articles/s41586-020-2145-8" TargetMode="External"/><Relationship Id="rId153" Type="http://schemas.openxmlformats.org/officeDocument/2006/relationships/hyperlink" Target="https://www5.cs.fau.de/research/data/fundus-images/" TargetMode="External"/><Relationship Id="rId152" Type="http://schemas.openxmlformats.org/officeDocument/2006/relationships/hyperlink" Target="https://www5.cs.fau.de/research/data/fundus-images/" TargetMode="External"/><Relationship Id="rId151" Type="http://schemas.openxmlformats.org/officeDocument/2006/relationships/hyperlink" Target="https://github.com/openmedlab/Awesome-Medical-Dataset/blob/main/resources/ORVS.md" TargetMode="External"/><Relationship Id="rId158" Type="http://schemas.openxmlformats.org/officeDocument/2006/relationships/hyperlink" Target="https://datasetninja.com/chase-db1" TargetMode="External"/><Relationship Id="rId157" Type="http://schemas.openxmlformats.org/officeDocument/2006/relationships/hyperlink" Target="https://ieeexplore.ieee.org/document/7530915" TargetMode="External"/><Relationship Id="rId156" Type="http://schemas.openxmlformats.org/officeDocument/2006/relationships/hyperlink" Target="https://www.retinacheck.org/download-iostar-retinal-vessel-segmentation-dataset" TargetMode="External"/><Relationship Id="rId155" Type="http://schemas.openxmlformats.org/officeDocument/2006/relationships/hyperlink" Target="https://zenodo.org/records/12775880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zenodo.org/records/19241555" TargetMode="External"/><Relationship Id="rId10" Type="http://schemas.openxmlformats.org/officeDocument/2006/relationships/hyperlink" Target="https://zenodo.org/records/19169587" TargetMode="External"/><Relationship Id="rId13" Type="http://schemas.openxmlformats.org/officeDocument/2006/relationships/hyperlink" Target="https://zenodo.org/records/18827019" TargetMode="External"/><Relationship Id="rId12" Type="http://schemas.openxmlformats.org/officeDocument/2006/relationships/hyperlink" Target="https://zenodo.org/records/18799656" TargetMode="External"/><Relationship Id="rId14" Type="http://schemas.openxmlformats.org/officeDocument/2006/relationships/drawing" Target="../drawings/drawing2.xml"/><Relationship Id="rId1" Type="http://schemas.openxmlformats.org/officeDocument/2006/relationships/hyperlink" Target="https://zenodo.org/records/21457212" TargetMode="External"/><Relationship Id="rId2" Type="http://schemas.openxmlformats.org/officeDocument/2006/relationships/hyperlink" Target="https://zenodo.org/records/21445496" TargetMode="External"/><Relationship Id="rId3" Type="http://schemas.openxmlformats.org/officeDocument/2006/relationships/hyperlink" Target="https://zenodo.org/records/20124496" TargetMode="External"/><Relationship Id="rId4" Type="http://schemas.openxmlformats.org/officeDocument/2006/relationships/hyperlink" Target="https://zenodo.org/records/21781842" TargetMode="External"/><Relationship Id="rId9" Type="http://schemas.openxmlformats.org/officeDocument/2006/relationships/hyperlink" Target="https://zenodo.org/records/20707267" TargetMode="External"/><Relationship Id="rId5" Type="http://schemas.openxmlformats.org/officeDocument/2006/relationships/hyperlink" Target="https://zenodo.org/records/21470632" TargetMode="External"/><Relationship Id="rId6" Type="http://schemas.openxmlformats.org/officeDocument/2006/relationships/hyperlink" Target="https://zenodo.org/records/21497156" TargetMode="External"/><Relationship Id="rId7" Type="http://schemas.openxmlformats.org/officeDocument/2006/relationships/hyperlink" Target="https://zenodo.org/records/21493260" TargetMode="External"/><Relationship Id="rId8" Type="http://schemas.openxmlformats.org/officeDocument/2006/relationships/hyperlink" Target="https://zenodo.org/records/21416759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datasets/javaidahmadwani/lc25000" TargetMode="External"/><Relationship Id="rId2" Type="http://schemas.openxmlformats.org/officeDocument/2006/relationships/hyperlink" Target="https://www.kaggle.com/competitions/rsna-pneumonia-detection-challenge" TargetMode="External"/><Relationship Id="rId3" Type="http://schemas.openxmlformats.org/officeDocument/2006/relationships/hyperlink" Target="https://www.kaggle.com/datasets/tanjemahamed/odir5k-classification" TargetMode="External"/><Relationship Id="rId4" Type="http://schemas.openxmlformats.org/officeDocument/2006/relationships/hyperlink" Target="https://www.kaggle.com/datasets/obulisainaren/retinal-oct-c8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zenodo.org/records/20707267" TargetMode="External"/><Relationship Id="rId2" Type="http://schemas.openxmlformats.org/officeDocument/2006/relationships/hyperlink" Target="https://zenodo.org/records/19169587" TargetMode="External"/><Relationship Id="rId3" Type="http://schemas.openxmlformats.org/officeDocument/2006/relationships/hyperlink" Target="https://zenodo.org/records/19241555" TargetMode="External"/><Relationship Id="rId4" Type="http://schemas.openxmlformats.org/officeDocument/2006/relationships/hyperlink" Target="https://zenodo.org/records/18799656" TargetMode="External"/><Relationship Id="rId5" Type="http://schemas.openxmlformats.org/officeDocument/2006/relationships/hyperlink" Target="https://zenodo.org/records/18827019" TargetMode="External"/><Relationship Id="rId6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31" Type="http://schemas.openxmlformats.org/officeDocument/2006/relationships/hyperlink" Target="https://zenodo.org/records/12775880" TargetMode="External"/><Relationship Id="rId30" Type="http://schemas.openxmlformats.org/officeDocument/2006/relationships/hyperlink" Target="https://data.lhncbc.nlm.nih.gov/public/Tuberculosis-Chest-X-ray-Datasets/Montgomery-County-CXR-Set/MontgomerySet/index.html" TargetMode="External"/><Relationship Id="rId33" Type="http://schemas.openxmlformats.org/officeDocument/2006/relationships/hyperlink" Target="https://drive.grand-challenge.org/DRIVE/" TargetMode="External"/><Relationship Id="rId32" Type="http://schemas.openxmlformats.org/officeDocument/2006/relationships/hyperlink" Target="http://www.ia.uned.es/~ejcarmona/DRIONS-DB.html" TargetMode="External"/><Relationship Id="rId34" Type="http://schemas.openxmlformats.org/officeDocument/2006/relationships/drawing" Target="../drawings/drawing9.xml"/><Relationship Id="rId20" Type="http://schemas.openxmlformats.org/officeDocument/2006/relationships/hyperlink" Target="https://healthdata.gov/NIH/Open-i/83mv-vpsj/about_data" TargetMode="External"/><Relationship Id="rId22" Type="http://schemas.openxmlformats.org/officeDocument/2006/relationships/hyperlink" Target="https://neurips22-cellseg.grand-challenge.org/dataset/" TargetMode="External"/><Relationship Id="rId21" Type="http://schemas.openxmlformats.org/officeDocument/2006/relationships/hyperlink" Target="https://openaccess.thecvf.com/content/ICCV2021/papers/Ma_Self-Supervised_Vessel_Segmentation_via_Adversarial_Learning_ICCV_2021_paper.pdf" TargetMode="External"/><Relationship Id="rId24" Type="http://schemas.openxmlformats.org/officeDocument/2006/relationships/hyperlink" Target="https://pmc.ncbi.nlm.nih.gov/articles/PMC8144280/" TargetMode="External"/><Relationship Id="rId23" Type="http://schemas.openxmlformats.org/officeDocument/2006/relationships/hyperlink" Target="https://arxiv.org/pdf/2309.09483" TargetMode="External"/><Relationship Id="rId26" Type="http://schemas.openxmlformats.org/officeDocument/2006/relationships/hyperlink" Target="https://www.kaggle.com/datasets/nguyenhung1903/diaretdb1-standard-diabetic-retinopathy-database" TargetMode="External"/><Relationship Id="rId25" Type="http://schemas.openxmlformats.org/officeDocument/2006/relationships/hyperlink" Target="https://github.com/vazgenzohranyan/Dr.SAM" TargetMode="External"/><Relationship Id="rId28" Type="http://schemas.openxmlformats.org/officeDocument/2006/relationships/hyperlink" Target="https://pmc.ncbi.nlm.nih.gov/articles/PMC6841783/" TargetMode="External"/><Relationship Id="rId27" Type="http://schemas.openxmlformats.org/officeDocument/2006/relationships/hyperlink" Target="https://github.com/vinbigdata-medical/MIDL2021-VinDr-RibCXR" TargetMode="External"/><Relationship Id="rId29" Type="http://schemas.openxmlformats.org/officeDocument/2006/relationships/hyperlink" Target="http://personal.cimat.mx:8181/~ivan.cruz/DB_Angiograms.html" TargetMode="External"/><Relationship Id="rId11" Type="http://schemas.openxmlformats.org/officeDocument/2006/relationships/hyperlink" Target="https://quilt1m.github.io/" TargetMode="External"/><Relationship Id="rId10" Type="http://schemas.openxmlformats.org/officeDocument/2006/relationships/hyperlink" Target="https://www.radimagenet.com/" TargetMode="External"/><Relationship Id="rId13" Type="http://schemas.openxmlformats.org/officeDocument/2006/relationships/hyperlink" Target="https://www.radimagenet.com/" TargetMode="External"/><Relationship Id="rId12" Type="http://schemas.openxmlformats.org/officeDocument/2006/relationships/hyperlink" Target="https://www.isic-archive.com/" TargetMode="External"/><Relationship Id="rId15" Type="http://schemas.openxmlformats.org/officeDocument/2006/relationships/hyperlink" Target="https://www.cancerimagingarchive.net/collection/nsclc-radiomics/" TargetMode="External"/><Relationship Id="rId14" Type="http://schemas.openxmlformats.org/officeDocument/2006/relationships/hyperlink" Target="https://www.radimagenet.com/" TargetMode="External"/><Relationship Id="rId17" Type="http://schemas.openxmlformats.org/officeDocument/2006/relationships/hyperlink" Target="https://physionet.org/content/vindr-pcxr/1.0.0/" TargetMode="External"/><Relationship Id="rId16" Type="http://schemas.openxmlformats.org/officeDocument/2006/relationships/hyperlink" Target="https://physionet.org/content/vindr-cxr/1.0.0/" TargetMode="External"/><Relationship Id="rId19" Type="http://schemas.openxmlformats.org/officeDocument/2006/relationships/hyperlink" Target="https://www.kaggle.com/datasets/raddar/foreign-objects-in-chest-xrays" TargetMode="External"/><Relationship Id="rId18" Type="http://schemas.openxmlformats.org/officeDocument/2006/relationships/hyperlink" Target="https://physionet.org/content/vindr-spinexr/1.0.0/" TargetMode="External"/><Relationship Id="rId1" Type="http://schemas.openxmlformats.org/officeDocument/2006/relationships/hyperlink" Target="https://www.kaggle.com/datasets/mahdieh002/colonoscopy-cp-child?resource=download" TargetMode="External"/><Relationship Id="rId2" Type="http://schemas.openxmlformats.org/officeDocument/2006/relationships/hyperlink" Target="https://fetachallenge.github.io/pages/Data_download" TargetMode="External"/><Relationship Id="rId3" Type="http://schemas.openxmlformats.org/officeDocument/2006/relationships/hyperlink" Target="https://mmis2024.vercel.app/" TargetMode="External"/><Relationship Id="rId4" Type="http://schemas.openxmlformats.org/officeDocument/2006/relationships/hyperlink" Target="https://physionet.org/content/mimic-iv-echo/1.0/" TargetMode="External"/><Relationship Id="rId9" Type="http://schemas.openxmlformats.org/officeDocument/2006/relationships/hyperlink" Target="https://github.com/med-air/Endo-FM" TargetMode="External"/><Relationship Id="rId5" Type="http://schemas.openxmlformats.org/officeDocument/2006/relationships/hyperlink" Target="http://kaggle.com/datasets/dasmehdixtr/ddti-thyroid-ultrasound-images" TargetMode="External"/><Relationship Id="rId6" Type="http://schemas.openxmlformats.org/officeDocument/2006/relationships/hyperlink" Target="https://isles22.grand-challenge.org/" TargetMode="External"/><Relationship Id="rId7" Type="http://schemas.openxmlformats.org/officeDocument/2006/relationships/hyperlink" Target="https://sites.google.com/view/calgary-campinas-dataset/home" TargetMode="External"/><Relationship Id="rId8" Type="http://schemas.openxmlformats.org/officeDocument/2006/relationships/hyperlink" Target="https://fomo25.github.io/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1.63"/>
    <col customWidth="1" min="2" max="3" width="75.13"/>
    <col customWidth="1" min="4" max="4" width="27.88"/>
    <col customWidth="1" min="5" max="5" width="18.75"/>
    <col customWidth="1" min="6" max="6" width="21.63"/>
    <col customWidth="1" min="7" max="8" width="31.38"/>
    <col customWidth="1" min="9" max="9" width="25.0"/>
    <col customWidth="1" min="10" max="10" width="40.5"/>
    <col customWidth="1" min="11" max="13" width="27.13"/>
    <col customWidth="1" min="14" max="15" width="16.88"/>
    <col customWidth="1" min="16" max="16" width="19.0"/>
    <col customWidth="1" min="17" max="17" width="25.38"/>
    <col customWidth="1" min="18" max="18" width="14.5"/>
    <col customWidth="1" min="20" max="20" width="20.0"/>
    <col customWidth="1" min="21" max="21" width="12.5"/>
    <col customWidth="1" min="33" max="33" width="82.63"/>
  </cols>
  <sheetData>
    <row r="1">
      <c r="A1" s="1" t="s">
        <v>0</v>
      </c>
      <c r="B1" s="1" t="s">
        <v>3</v>
      </c>
      <c r="C1" s="1" t="s">
        <v>6</v>
      </c>
      <c r="D1" s="3" t="s">
        <v>4</v>
      </c>
      <c r="E1" s="3" t="s">
        <v>9</v>
      </c>
      <c r="F1" s="1" t="s">
        <v>10</v>
      </c>
      <c r="G1" s="3" t="s">
        <v>11</v>
      </c>
      <c r="H1" s="3" t="s">
        <v>12</v>
      </c>
      <c r="I1" s="3" t="s">
        <v>15</v>
      </c>
      <c r="J1" s="3" t="s">
        <v>16</v>
      </c>
      <c r="K1" s="1" t="s">
        <v>19</v>
      </c>
      <c r="L1" s="1" t="s">
        <v>21</v>
      </c>
      <c r="M1" s="1"/>
      <c r="N1" s="1" t="s">
        <v>23</v>
      </c>
      <c r="O1" s="1" t="s">
        <v>10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30</v>
      </c>
      <c r="U1" s="1" t="s">
        <v>32</v>
      </c>
      <c r="V1" s="1" t="s">
        <v>33</v>
      </c>
      <c r="W1" s="1" t="s">
        <v>34</v>
      </c>
      <c r="X1" s="1" t="s">
        <v>7</v>
      </c>
      <c r="Y1" s="1" t="s">
        <v>35</v>
      </c>
      <c r="AA1" s="1" t="s">
        <v>36</v>
      </c>
      <c r="AG1" s="1" t="s">
        <v>3</v>
      </c>
    </row>
    <row r="2">
      <c r="A2" s="1" t="s">
        <v>41</v>
      </c>
      <c r="B2" s="11" t="s">
        <v>42</v>
      </c>
      <c r="C2" s="1" t="s">
        <v>66</v>
      </c>
      <c r="D2" s="3" t="s">
        <v>68</v>
      </c>
      <c r="E2" s="3" t="s">
        <v>69</v>
      </c>
      <c r="F2" s="1"/>
      <c r="G2" s="3"/>
      <c r="H2" s="3"/>
      <c r="I2" s="3" t="s">
        <v>70</v>
      </c>
      <c r="J2" s="3" t="s">
        <v>72</v>
      </c>
      <c r="K2" s="11" t="s">
        <v>74</v>
      </c>
      <c r="L2" s="1"/>
      <c r="M2" s="1"/>
      <c r="N2" s="1">
        <v>5274618.0</v>
      </c>
      <c r="O2" s="1"/>
      <c r="R2" s="17" t="b">
        <v>0</v>
      </c>
      <c r="T2" s="1" t="b">
        <v>1</v>
      </c>
      <c r="U2" s="1" t="b">
        <v>1</v>
      </c>
      <c r="V2" s="1" t="b">
        <v>0</v>
      </c>
      <c r="W2" s="1" t="b">
        <v>0</v>
      </c>
      <c r="X2" s="11" t="s">
        <v>97</v>
      </c>
    </row>
    <row r="3">
      <c r="A3" s="1" t="s">
        <v>28</v>
      </c>
      <c r="B3" s="1" t="s">
        <v>29</v>
      </c>
      <c r="C3" s="1" t="s">
        <v>118</v>
      </c>
      <c r="D3" s="3" t="s">
        <v>31</v>
      </c>
      <c r="E3" s="3" t="s">
        <v>120</v>
      </c>
      <c r="F3" s="1" t="s">
        <v>121</v>
      </c>
      <c r="G3" s="3"/>
      <c r="H3" s="3" t="s">
        <v>122</v>
      </c>
      <c r="I3" s="3" t="s">
        <v>123</v>
      </c>
      <c r="J3" s="3" t="s">
        <v>124</v>
      </c>
      <c r="K3" s="11" t="s">
        <v>127</v>
      </c>
      <c r="L3" s="1"/>
      <c r="M3" s="1"/>
      <c r="N3" s="1">
        <v>4240609.0</v>
      </c>
      <c r="O3" s="1"/>
      <c r="P3" s="1" t="s">
        <v>151</v>
      </c>
      <c r="Q3" s="1" t="s">
        <v>154</v>
      </c>
      <c r="R3" s="1" t="b">
        <v>1</v>
      </c>
      <c r="S3" s="1" t="b">
        <v>1</v>
      </c>
      <c r="X3" s="11" t="s">
        <v>157</v>
      </c>
    </row>
    <row r="4">
      <c r="A4" s="1" t="s">
        <v>174</v>
      </c>
      <c r="B4" s="1" t="s">
        <v>175</v>
      </c>
      <c r="C4" s="1" t="s">
        <v>118</v>
      </c>
      <c r="D4" s="3" t="s">
        <v>176</v>
      </c>
      <c r="E4" s="3" t="s">
        <v>177</v>
      </c>
      <c r="F4" s="1" t="s">
        <v>180</v>
      </c>
      <c r="G4" s="3"/>
      <c r="H4" s="3" t="s">
        <v>181</v>
      </c>
      <c r="I4" s="3" t="s">
        <v>123</v>
      </c>
      <c r="J4" s="3" t="s">
        <v>182</v>
      </c>
      <c r="K4" s="16" t="s">
        <v>183</v>
      </c>
      <c r="L4" s="11" t="s">
        <v>195</v>
      </c>
      <c r="M4" s="1"/>
      <c r="N4" s="1">
        <v>3769486.0</v>
      </c>
      <c r="O4" s="1"/>
      <c r="P4" s="1" t="s">
        <v>151</v>
      </c>
      <c r="Q4" s="1" t="s">
        <v>207</v>
      </c>
      <c r="R4" s="1" t="b">
        <v>1</v>
      </c>
      <c r="S4" s="1" t="b">
        <v>0</v>
      </c>
      <c r="X4" s="11" t="s">
        <v>183</v>
      </c>
    </row>
    <row r="5">
      <c r="A5" s="1" t="s">
        <v>210</v>
      </c>
      <c r="B5" s="1" t="s">
        <v>211</v>
      </c>
      <c r="C5" s="1" t="s">
        <v>118</v>
      </c>
      <c r="D5" s="3" t="s">
        <v>17</v>
      </c>
      <c r="E5" s="3" t="s">
        <v>214</v>
      </c>
      <c r="F5" s="1" t="s">
        <v>215</v>
      </c>
      <c r="G5" s="3"/>
      <c r="H5" s="3"/>
      <c r="I5" s="3" t="s">
        <v>216</v>
      </c>
      <c r="J5" s="3" t="s">
        <v>217</v>
      </c>
      <c r="K5" s="11" t="s">
        <v>218</v>
      </c>
      <c r="L5" s="11" t="s">
        <v>227</v>
      </c>
      <c r="M5" s="1"/>
      <c r="N5" s="1">
        <v>2453909.0</v>
      </c>
      <c r="O5" s="1"/>
      <c r="P5" s="1" t="s">
        <v>151</v>
      </c>
      <c r="Q5" s="1" t="s">
        <v>234</v>
      </c>
      <c r="R5" s="1" t="b">
        <v>1</v>
      </c>
      <c r="S5" s="1" t="b">
        <v>0</v>
      </c>
      <c r="T5" s="1" t="b">
        <v>1</v>
      </c>
      <c r="U5" s="1" t="b">
        <v>1</v>
      </c>
      <c r="X5" s="11" t="s">
        <v>235</v>
      </c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</row>
    <row r="6">
      <c r="A6" s="1" t="s">
        <v>37</v>
      </c>
      <c r="B6" s="1" t="s">
        <v>38</v>
      </c>
      <c r="C6" s="1" t="s">
        <v>118</v>
      </c>
      <c r="D6" s="3" t="s">
        <v>244</v>
      </c>
      <c r="E6" s="3" t="s">
        <v>246</v>
      </c>
      <c r="F6" s="1"/>
      <c r="G6" s="3"/>
      <c r="H6" s="3" t="s">
        <v>248</v>
      </c>
      <c r="I6" s="3" t="s">
        <v>70</v>
      </c>
      <c r="J6" s="3"/>
      <c r="K6" s="11" t="s">
        <v>252</v>
      </c>
      <c r="L6" s="1"/>
      <c r="M6" s="1"/>
      <c r="N6" s="1">
        <v>1424290.0</v>
      </c>
      <c r="O6" s="1"/>
      <c r="R6" s="17" t="b">
        <v>0</v>
      </c>
      <c r="T6" s="1" t="b">
        <v>1</v>
      </c>
      <c r="X6" s="11" t="s">
        <v>264</v>
      </c>
      <c r="AA6" s="1" t="s">
        <v>272</v>
      </c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</row>
    <row r="7">
      <c r="A7" s="29" t="s">
        <v>47</v>
      </c>
      <c r="B7" s="29" t="s">
        <v>276</v>
      </c>
      <c r="C7" s="29" t="s">
        <v>118</v>
      </c>
      <c r="D7" s="3" t="s">
        <v>279</v>
      </c>
      <c r="E7" s="3" t="s">
        <v>280</v>
      </c>
      <c r="F7" s="29" t="s">
        <v>180</v>
      </c>
      <c r="G7" s="3" t="s">
        <v>281</v>
      </c>
      <c r="H7" s="3" t="s">
        <v>283</v>
      </c>
      <c r="I7" s="3" t="s">
        <v>70</v>
      </c>
      <c r="J7" s="3" t="s">
        <v>285</v>
      </c>
      <c r="K7" s="11" t="s">
        <v>286</v>
      </c>
      <c r="L7" s="11" t="s">
        <v>304</v>
      </c>
      <c r="M7" s="1"/>
      <c r="N7" s="1">
        <v>1078477.0</v>
      </c>
      <c r="O7" s="1"/>
      <c r="P7" s="1" t="s">
        <v>151</v>
      </c>
      <c r="Q7" s="1" t="s">
        <v>307</v>
      </c>
      <c r="R7" s="1" t="b">
        <v>1</v>
      </c>
      <c r="S7" s="1" t="b">
        <v>1</v>
      </c>
      <c r="T7" s="1" t="b">
        <v>1</v>
      </c>
      <c r="U7" s="1" t="b">
        <v>1</v>
      </c>
      <c r="V7" s="1" t="b">
        <v>1</v>
      </c>
      <c r="W7" s="1" t="b">
        <v>0</v>
      </c>
      <c r="X7" s="11" t="s">
        <v>286</v>
      </c>
      <c r="Y7" s="11" t="s">
        <v>312</v>
      </c>
      <c r="AA7" s="1" t="s">
        <v>320</v>
      </c>
    </row>
    <row r="8">
      <c r="A8" s="34" t="s">
        <v>59</v>
      </c>
      <c r="B8" s="29" t="s">
        <v>60</v>
      </c>
      <c r="C8" s="29" t="s">
        <v>118</v>
      </c>
      <c r="D8" s="3" t="s">
        <v>61</v>
      </c>
      <c r="E8" s="3" t="s">
        <v>120</v>
      </c>
      <c r="F8" s="29" t="s">
        <v>325</v>
      </c>
      <c r="G8" s="3"/>
      <c r="H8" s="3" t="s">
        <v>326</v>
      </c>
      <c r="I8" s="3" t="s">
        <v>327</v>
      </c>
      <c r="J8" s="3" t="s">
        <v>328</v>
      </c>
      <c r="K8" s="11" t="s">
        <v>329</v>
      </c>
      <c r="L8" s="11" t="s">
        <v>338</v>
      </c>
      <c r="M8" s="1"/>
      <c r="N8" s="1">
        <v>643526.0</v>
      </c>
      <c r="O8" s="1"/>
      <c r="P8" s="1" t="s">
        <v>151</v>
      </c>
      <c r="Q8" s="1" t="s">
        <v>342</v>
      </c>
      <c r="R8" s="1" t="b">
        <v>1</v>
      </c>
      <c r="S8" s="1" t="b">
        <v>1</v>
      </c>
      <c r="T8" s="1" t="b">
        <v>1</v>
      </c>
      <c r="U8" s="1" t="b">
        <v>1</v>
      </c>
      <c r="V8" s="1" t="b">
        <v>1</v>
      </c>
      <c r="W8" s="1" t="b">
        <v>1</v>
      </c>
      <c r="X8" s="11" t="s">
        <v>349</v>
      </c>
      <c r="Y8" s="11" t="s">
        <v>357</v>
      </c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</row>
    <row r="9">
      <c r="A9" s="1" t="s">
        <v>62</v>
      </c>
      <c r="B9" s="1" t="s">
        <v>63</v>
      </c>
      <c r="C9" s="1" t="s">
        <v>118</v>
      </c>
      <c r="D9" s="3" t="s">
        <v>64</v>
      </c>
      <c r="E9" s="3" t="s">
        <v>366</v>
      </c>
      <c r="F9" s="1" t="s">
        <v>367</v>
      </c>
      <c r="G9" s="3" t="s">
        <v>368</v>
      </c>
      <c r="H9" s="3" t="s">
        <v>369</v>
      </c>
      <c r="I9" s="3" t="s">
        <v>70</v>
      </c>
      <c r="J9" s="3" t="s">
        <v>370</v>
      </c>
      <c r="K9" s="11" t="s">
        <v>371</v>
      </c>
      <c r="L9" s="1"/>
      <c r="M9" s="1"/>
      <c r="N9" s="1">
        <v>401059.0</v>
      </c>
      <c r="O9" s="1"/>
      <c r="P9" s="1" t="s">
        <v>151</v>
      </c>
      <c r="Q9" s="1" t="s">
        <v>376</v>
      </c>
      <c r="R9" s="1" t="b">
        <v>1</v>
      </c>
      <c r="S9" s="1" t="b">
        <v>1</v>
      </c>
      <c r="W9" s="1" t="b">
        <v>1</v>
      </c>
      <c r="X9" s="11" t="s">
        <v>381</v>
      </c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</row>
    <row r="10">
      <c r="A10" s="29" t="s">
        <v>76</v>
      </c>
      <c r="B10" s="29" t="s">
        <v>77</v>
      </c>
      <c r="C10" s="29" t="s">
        <v>118</v>
      </c>
      <c r="D10" s="3" t="s">
        <v>31</v>
      </c>
      <c r="E10" s="3" t="s">
        <v>280</v>
      </c>
      <c r="F10" s="29" t="s">
        <v>391</v>
      </c>
      <c r="G10" s="3" t="s">
        <v>392</v>
      </c>
      <c r="H10" s="3" t="s">
        <v>393</v>
      </c>
      <c r="I10" s="3" t="s">
        <v>70</v>
      </c>
      <c r="J10" s="3" t="s">
        <v>394</v>
      </c>
      <c r="K10" s="11" t="s">
        <v>395</v>
      </c>
      <c r="L10" s="11" t="s">
        <v>399</v>
      </c>
      <c r="M10" s="1"/>
      <c r="N10" s="1">
        <v>392559.0</v>
      </c>
      <c r="O10" s="1"/>
      <c r="P10" s="1" t="s">
        <v>151</v>
      </c>
      <c r="Q10" s="1" t="s">
        <v>406</v>
      </c>
      <c r="R10" s="1" t="b">
        <v>1</v>
      </c>
      <c r="T10" s="1" t="b">
        <v>1</v>
      </c>
      <c r="U10" s="1" t="b">
        <v>1</v>
      </c>
      <c r="V10" s="1" t="b">
        <v>1</v>
      </c>
      <c r="W10" s="1" t="b">
        <v>1</v>
      </c>
      <c r="X10" s="11" t="s">
        <v>395</v>
      </c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</row>
    <row r="11">
      <c r="A11" s="1" t="s">
        <v>79</v>
      </c>
      <c r="B11" s="1" t="s">
        <v>80</v>
      </c>
      <c r="C11" s="1" t="s">
        <v>118</v>
      </c>
      <c r="D11" s="3" t="s">
        <v>81</v>
      </c>
      <c r="E11" s="3" t="s">
        <v>301</v>
      </c>
      <c r="F11" s="1" t="s">
        <v>367</v>
      </c>
      <c r="G11" s="3" t="s">
        <v>415</v>
      </c>
      <c r="H11" s="3" t="s">
        <v>417</v>
      </c>
      <c r="I11" s="3" t="s">
        <v>419</v>
      </c>
      <c r="J11" s="3" t="s">
        <v>421</v>
      </c>
      <c r="K11" s="11" t="s">
        <v>422</v>
      </c>
      <c r="L11" s="11" t="s">
        <v>426</v>
      </c>
      <c r="M11" s="1"/>
      <c r="N11" s="1">
        <v>377100.0</v>
      </c>
      <c r="O11" s="1"/>
      <c r="P11" s="1" t="s">
        <v>151</v>
      </c>
      <c r="Q11" s="1" t="s">
        <v>430</v>
      </c>
      <c r="R11" s="1" t="b">
        <v>1</v>
      </c>
      <c r="S11" s="1" t="b">
        <v>1</v>
      </c>
      <c r="W11" s="1" t="b">
        <v>1</v>
      </c>
      <c r="X11" s="11" t="s">
        <v>432</v>
      </c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</row>
    <row r="12">
      <c r="A12" s="29" t="s">
        <v>84</v>
      </c>
      <c r="B12" s="29" t="s">
        <v>85</v>
      </c>
      <c r="C12" s="29" t="s">
        <v>118</v>
      </c>
      <c r="D12" s="3" t="s">
        <v>61</v>
      </c>
      <c r="E12" s="3" t="s">
        <v>61</v>
      </c>
      <c r="F12" s="29" t="s">
        <v>180</v>
      </c>
      <c r="G12" s="3"/>
      <c r="H12" s="3" t="s">
        <v>439</v>
      </c>
      <c r="I12" s="3" t="s">
        <v>70</v>
      </c>
      <c r="J12" s="3" t="s">
        <v>440</v>
      </c>
      <c r="K12" s="16" t="s">
        <v>441</v>
      </c>
      <c r="L12" s="39"/>
      <c r="M12" s="39"/>
      <c r="N12" s="1">
        <v>262144.0</v>
      </c>
      <c r="O12" s="1"/>
      <c r="P12" s="1" t="s">
        <v>151</v>
      </c>
      <c r="Q12" s="1" t="s">
        <v>446</v>
      </c>
      <c r="R12" s="1" t="b">
        <v>1</v>
      </c>
      <c r="S12" s="1" t="b">
        <v>1</v>
      </c>
      <c r="X12" s="11" t="s">
        <v>449</v>
      </c>
    </row>
    <row r="13">
      <c r="A13" s="1" t="s">
        <v>87</v>
      </c>
      <c r="B13" s="1" t="s">
        <v>88</v>
      </c>
      <c r="C13" s="1" t="s">
        <v>118</v>
      </c>
      <c r="D13" s="3" t="s">
        <v>81</v>
      </c>
      <c r="E13" s="3" t="s">
        <v>301</v>
      </c>
      <c r="F13" s="1" t="s">
        <v>180</v>
      </c>
      <c r="G13" s="3"/>
      <c r="H13" s="3" t="s">
        <v>458</v>
      </c>
      <c r="I13" s="3" t="s">
        <v>70</v>
      </c>
      <c r="J13" s="3" t="s">
        <v>285</v>
      </c>
      <c r="K13" s="11" t="s">
        <v>459</v>
      </c>
      <c r="L13" s="11" t="s">
        <v>468</v>
      </c>
      <c r="M13" s="1"/>
      <c r="N13" s="1">
        <v>223414.0</v>
      </c>
      <c r="O13" s="1"/>
      <c r="P13" s="1" t="s">
        <v>151</v>
      </c>
      <c r="Q13" s="1" t="s">
        <v>471</v>
      </c>
      <c r="R13" s="1" t="b">
        <v>1</v>
      </c>
      <c r="S13" s="1" t="b">
        <v>1</v>
      </c>
      <c r="W13" s="1" t="b">
        <v>0</v>
      </c>
      <c r="X13" s="11" t="s">
        <v>459</v>
      </c>
      <c r="AA13" s="1" t="s">
        <v>476</v>
      </c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</row>
    <row r="14">
      <c r="A14" s="29" t="s">
        <v>93</v>
      </c>
      <c r="B14" s="29" t="s">
        <v>94</v>
      </c>
      <c r="C14" s="29" t="s">
        <v>118</v>
      </c>
      <c r="D14" s="3" t="s">
        <v>81</v>
      </c>
      <c r="E14" s="3" t="s">
        <v>301</v>
      </c>
      <c r="F14" s="29" t="s">
        <v>180</v>
      </c>
      <c r="G14" s="3"/>
      <c r="H14" s="3" t="s">
        <v>480</v>
      </c>
      <c r="I14" s="3" t="s">
        <v>70</v>
      </c>
      <c r="J14" s="3" t="s">
        <v>481</v>
      </c>
      <c r="K14" s="11" t="s">
        <v>482</v>
      </c>
      <c r="L14" s="11" t="s">
        <v>489</v>
      </c>
      <c r="M14" s="1"/>
      <c r="N14" s="1">
        <v>160828.0</v>
      </c>
      <c r="O14" s="1"/>
      <c r="P14" s="1" t="s">
        <v>151</v>
      </c>
      <c r="Q14" s="1" t="s">
        <v>494</v>
      </c>
      <c r="R14" s="1" t="b">
        <v>1</v>
      </c>
      <c r="T14" s="1" t="b">
        <v>1</v>
      </c>
      <c r="U14" s="1" t="b">
        <v>1</v>
      </c>
      <c r="X14" s="11" t="s">
        <v>482</v>
      </c>
      <c r="Y14" s="11" t="s">
        <v>495</v>
      </c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</row>
    <row r="15">
      <c r="A15" s="1" t="s">
        <v>96</v>
      </c>
      <c r="B15" s="1" t="s">
        <v>99</v>
      </c>
      <c r="C15" s="1" t="s">
        <v>118</v>
      </c>
      <c r="D15" s="41" t="s">
        <v>188</v>
      </c>
      <c r="E15" s="3" t="s">
        <v>100</v>
      </c>
      <c r="F15" s="1" t="s">
        <v>504</v>
      </c>
      <c r="G15" s="3" t="s">
        <v>505</v>
      </c>
      <c r="H15" s="3" t="s">
        <v>506</v>
      </c>
      <c r="I15" s="3" t="s">
        <v>70</v>
      </c>
      <c r="J15" s="3" t="s">
        <v>507</v>
      </c>
      <c r="K15" s="11" t="s">
        <v>508</v>
      </c>
      <c r="L15" s="1"/>
      <c r="M15" s="1"/>
      <c r="N15" s="1">
        <v>101400.0</v>
      </c>
      <c r="O15" s="1"/>
      <c r="P15" s="1" t="s">
        <v>151</v>
      </c>
      <c r="Q15" s="1" t="s">
        <v>514</v>
      </c>
      <c r="R15" s="1" t="b">
        <v>1</v>
      </c>
      <c r="S15" s="1" t="b">
        <v>1</v>
      </c>
      <c r="T15" s="1" t="b">
        <v>1</v>
      </c>
      <c r="U15" s="1" t="b">
        <v>1</v>
      </c>
      <c r="W15" s="1" t="b">
        <v>1</v>
      </c>
      <c r="X15" s="11" t="s">
        <v>508</v>
      </c>
    </row>
    <row r="16">
      <c r="A16" s="29" t="s">
        <v>103</v>
      </c>
      <c r="B16" s="29" t="s">
        <v>104</v>
      </c>
      <c r="C16" s="29" t="s">
        <v>118</v>
      </c>
      <c r="D16" s="3" t="s">
        <v>61</v>
      </c>
      <c r="E16" s="3" t="s">
        <v>280</v>
      </c>
      <c r="F16" s="29" t="s">
        <v>515</v>
      </c>
      <c r="G16" s="3" t="s">
        <v>281</v>
      </c>
      <c r="H16" s="3" t="s">
        <v>283</v>
      </c>
      <c r="I16" s="3" t="s">
        <v>70</v>
      </c>
      <c r="J16" s="3" t="s">
        <v>285</v>
      </c>
      <c r="K16" s="11" t="s">
        <v>518</v>
      </c>
      <c r="L16" s="1"/>
      <c r="M16" s="1"/>
      <c r="N16" s="1">
        <v>100000.0</v>
      </c>
      <c r="O16" s="1"/>
      <c r="P16" s="1" t="s">
        <v>151</v>
      </c>
      <c r="Q16" s="1" t="s">
        <v>520</v>
      </c>
      <c r="R16" s="1" t="b">
        <v>1</v>
      </c>
      <c r="S16" s="1" t="b">
        <v>1</v>
      </c>
      <c r="W16" s="1" t="b">
        <v>1</v>
      </c>
      <c r="X16" s="11" t="s">
        <v>518</v>
      </c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</row>
    <row r="17">
      <c r="A17" s="1" t="s">
        <v>105</v>
      </c>
      <c r="B17" s="1" t="s">
        <v>106</v>
      </c>
      <c r="C17" s="1" t="s">
        <v>118</v>
      </c>
      <c r="D17" s="3" t="s">
        <v>107</v>
      </c>
      <c r="E17" s="1" t="s">
        <v>525</v>
      </c>
      <c r="F17" s="1" t="s">
        <v>526</v>
      </c>
      <c r="G17" s="3"/>
      <c r="H17" s="3"/>
      <c r="I17" s="3" t="s">
        <v>527</v>
      </c>
      <c r="J17" s="3"/>
      <c r="K17" s="11" t="s">
        <v>528</v>
      </c>
      <c r="L17" s="1"/>
      <c r="M17" s="1"/>
      <c r="N17" s="1">
        <v>93015.0</v>
      </c>
      <c r="O17" s="1"/>
      <c r="P17" s="1" t="s">
        <v>151</v>
      </c>
      <c r="Q17" s="1" t="s">
        <v>531</v>
      </c>
      <c r="R17" s="1" t="b">
        <v>1</v>
      </c>
      <c r="S17" s="17" t="b">
        <v>0</v>
      </c>
      <c r="W17" s="17" t="b">
        <v>0</v>
      </c>
      <c r="X17" s="11" t="s">
        <v>534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</row>
    <row r="18">
      <c r="A18" s="1" t="s">
        <v>111</v>
      </c>
      <c r="B18" s="1" t="s">
        <v>112</v>
      </c>
      <c r="C18" s="1" t="s">
        <v>118</v>
      </c>
      <c r="D18" s="3" t="s">
        <v>81</v>
      </c>
      <c r="E18" s="3" t="s">
        <v>301</v>
      </c>
      <c r="F18" s="1" t="s">
        <v>180</v>
      </c>
      <c r="G18" s="3" t="s">
        <v>538</v>
      </c>
      <c r="H18" s="3" t="s">
        <v>539</v>
      </c>
      <c r="I18" s="3" t="s">
        <v>70</v>
      </c>
      <c r="J18" s="3" t="s">
        <v>540</v>
      </c>
      <c r="K18" s="11" t="s">
        <v>541</v>
      </c>
      <c r="L18" s="1"/>
      <c r="M18" s="1"/>
      <c r="N18" s="1">
        <v>86524.0</v>
      </c>
      <c r="O18" s="1"/>
      <c r="P18" s="1" t="s">
        <v>151</v>
      </c>
      <c r="Q18" s="1" t="s">
        <v>545</v>
      </c>
      <c r="R18" s="1" t="b">
        <v>1</v>
      </c>
      <c r="S18" s="1" t="b">
        <v>1</v>
      </c>
      <c r="W18" s="1" t="b">
        <v>1</v>
      </c>
      <c r="X18" s="11" t="s">
        <v>546</v>
      </c>
    </row>
    <row r="19">
      <c r="A19" s="29" t="s">
        <v>113</v>
      </c>
      <c r="B19" s="29" t="s">
        <v>114</v>
      </c>
      <c r="C19" s="29" t="s">
        <v>118</v>
      </c>
      <c r="D19" s="3" t="s">
        <v>107</v>
      </c>
      <c r="E19" s="3" t="s">
        <v>280</v>
      </c>
      <c r="F19" s="29" t="s">
        <v>367</v>
      </c>
      <c r="G19" s="3" t="s">
        <v>548</v>
      </c>
      <c r="H19" s="3" t="s">
        <v>549</v>
      </c>
      <c r="I19" s="3" t="s">
        <v>70</v>
      </c>
      <c r="J19" s="3" t="s">
        <v>285</v>
      </c>
      <c r="K19" s="11" t="s">
        <v>550</v>
      </c>
      <c r="L19" s="11" t="s">
        <v>553</v>
      </c>
      <c r="M19" s="1"/>
      <c r="N19" s="1">
        <v>79473.0</v>
      </c>
      <c r="O19" s="1"/>
      <c r="P19" s="1" t="s">
        <v>151</v>
      </c>
      <c r="Q19" s="1" t="s">
        <v>554</v>
      </c>
      <c r="R19" s="1" t="b">
        <v>1</v>
      </c>
      <c r="S19" s="1" t="b">
        <v>1</v>
      </c>
      <c r="W19" s="1" t="b">
        <v>1</v>
      </c>
      <c r="X19" s="11" t="s">
        <v>550</v>
      </c>
    </row>
    <row r="20">
      <c r="A20" s="1" t="s">
        <v>116</v>
      </c>
      <c r="B20" s="1" t="s">
        <v>117</v>
      </c>
      <c r="C20" s="1" t="s">
        <v>118</v>
      </c>
      <c r="D20" s="34" t="s">
        <v>64</v>
      </c>
      <c r="E20" s="3" t="s">
        <v>366</v>
      </c>
      <c r="F20" s="1" t="s">
        <v>559</v>
      </c>
      <c r="G20" s="3" t="s">
        <v>560</v>
      </c>
      <c r="H20" s="3"/>
      <c r="I20" s="3"/>
      <c r="J20" s="3"/>
      <c r="K20" s="11" t="s">
        <v>561</v>
      </c>
      <c r="L20" s="1"/>
      <c r="M20" s="1"/>
      <c r="N20" s="1">
        <v>58551.0</v>
      </c>
      <c r="O20" s="1"/>
      <c r="P20" s="1" t="s">
        <v>151</v>
      </c>
      <c r="Q20" s="1" t="s">
        <v>562</v>
      </c>
      <c r="R20" s="1" t="b">
        <v>1</v>
      </c>
      <c r="S20" s="1" t="b">
        <v>1</v>
      </c>
      <c r="W20" s="1" t="b">
        <v>1</v>
      </c>
      <c r="X20" s="11" t="s">
        <v>561</v>
      </c>
    </row>
    <row r="21">
      <c r="A21" s="29" t="s">
        <v>564</v>
      </c>
      <c r="B21" s="29" t="s">
        <v>565</v>
      </c>
      <c r="C21" s="29" t="s">
        <v>118</v>
      </c>
      <c r="D21" s="3" t="s">
        <v>17</v>
      </c>
      <c r="E21" s="3" t="s">
        <v>566</v>
      </c>
      <c r="F21" s="29" t="s">
        <v>180</v>
      </c>
      <c r="G21" s="3"/>
      <c r="H21" s="3" t="s">
        <v>567</v>
      </c>
      <c r="I21" s="3" t="s">
        <v>123</v>
      </c>
      <c r="J21" s="3" t="s">
        <v>568</v>
      </c>
      <c r="K21" s="11" t="s">
        <v>569</v>
      </c>
      <c r="L21" s="1"/>
      <c r="M21" s="1"/>
      <c r="N21" s="1">
        <v>38496.0</v>
      </c>
      <c r="O21" s="1"/>
      <c r="P21" s="1" t="s">
        <v>151</v>
      </c>
      <c r="Q21" s="1" t="s">
        <v>570</v>
      </c>
      <c r="R21" s="1" t="b">
        <v>1</v>
      </c>
      <c r="S21" s="1" t="b">
        <v>1</v>
      </c>
      <c r="T21" s="1" t="b">
        <v>1</v>
      </c>
      <c r="U21" s="1" t="b">
        <v>1</v>
      </c>
      <c r="X21" s="11" t="s">
        <v>571</v>
      </c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</row>
    <row r="22">
      <c r="A22" s="1" t="s">
        <v>125</v>
      </c>
      <c r="B22" s="1" t="s">
        <v>126</v>
      </c>
      <c r="C22" s="1" t="s">
        <v>118</v>
      </c>
      <c r="D22" s="3" t="s">
        <v>168</v>
      </c>
      <c r="E22" s="3" t="s">
        <v>301</v>
      </c>
      <c r="F22" s="1" t="s">
        <v>573</v>
      </c>
      <c r="G22" s="3" t="s">
        <v>574</v>
      </c>
      <c r="H22" s="3" t="s">
        <v>575</v>
      </c>
      <c r="I22" s="3" t="s">
        <v>576</v>
      </c>
      <c r="J22" s="3" t="s">
        <v>578</v>
      </c>
      <c r="K22" s="16" t="s">
        <v>580</v>
      </c>
      <c r="L22" s="11" t="s">
        <v>582</v>
      </c>
      <c r="M22" s="1"/>
      <c r="N22" s="1">
        <v>34210.0</v>
      </c>
      <c r="O22" s="1"/>
      <c r="P22" s="1" t="s">
        <v>151</v>
      </c>
      <c r="Q22" s="1" t="s">
        <v>583</v>
      </c>
      <c r="R22" s="1" t="b">
        <v>1</v>
      </c>
      <c r="S22" s="1" t="b">
        <v>1</v>
      </c>
      <c r="T22" s="1" t="b">
        <v>1</v>
      </c>
      <c r="U22" s="1" t="b">
        <v>1</v>
      </c>
      <c r="V22" s="1" t="b">
        <v>0</v>
      </c>
      <c r="W22" s="1" t="b">
        <v>0</v>
      </c>
      <c r="X22" s="11" t="s">
        <v>584</v>
      </c>
      <c r="AA22" s="1" t="s">
        <v>586</v>
      </c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</row>
    <row r="23">
      <c r="A23" s="1" t="s">
        <v>131</v>
      </c>
      <c r="B23" s="1" t="s">
        <v>132</v>
      </c>
      <c r="C23" s="1" t="s">
        <v>118</v>
      </c>
      <c r="D23" s="3" t="s">
        <v>168</v>
      </c>
      <c r="E23" s="3" t="s">
        <v>301</v>
      </c>
      <c r="F23" s="1" t="s">
        <v>526</v>
      </c>
      <c r="G23" s="3"/>
      <c r="H23" s="3" t="s">
        <v>587</v>
      </c>
      <c r="I23" s="3" t="s">
        <v>588</v>
      </c>
      <c r="J23" s="3" t="s">
        <v>589</v>
      </c>
      <c r="K23" s="11" t="s">
        <v>590</v>
      </c>
      <c r="L23" s="11" t="s">
        <v>591</v>
      </c>
      <c r="M23" s="1"/>
      <c r="N23" s="1">
        <v>25608.0</v>
      </c>
      <c r="O23" s="1"/>
      <c r="P23" s="1" t="s">
        <v>151</v>
      </c>
      <c r="Q23" s="1" t="s">
        <v>594</v>
      </c>
      <c r="R23" s="1" t="b">
        <v>1</v>
      </c>
      <c r="S23" s="1" t="b">
        <v>1</v>
      </c>
      <c r="T23" s="1" t="b">
        <v>1</v>
      </c>
      <c r="U23" s="1" t="b">
        <v>1</v>
      </c>
      <c r="W23" s="17" t="b">
        <v>0</v>
      </c>
      <c r="X23" s="11" t="s">
        <v>590</v>
      </c>
      <c r="AA23" s="1" t="s">
        <v>320</v>
      </c>
    </row>
    <row r="24">
      <c r="A24" s="48" t="s">
        <v>1</v>
      </c>
      <c r="B24" s="48" t="s">
        <v>133</v>
      </c>
      <c r="C24" s="48" t="s">
        <v>118</v>
      </c>
      <c r="D24" s="49" t="s">
        <v>61</v>
      </c>
      <c r="E24" s="49" t="s">
        <v>596</v>
      </c>
      <c r="F24" s="48" t="s">
        <v>504</v>
      </c>
      <c r="G24" s="49" t="s">
        <v>597</v>
      </c>
      <c r="H24" s="49" t="s">
        <v>599</v>
      </c>
      <c r="I24" s="49" t="s">
        <v>70</v>
      </c>
      <c r="J24" s="49" t="s">
        <v>600</v>
      </c>
      <c r="K24" s="50" t="s">
        <v>601</v>
      </c>
      <c r="L24" s="51"/>
      <c r="M24" s="51"/>
      <c r="N24" s="51">
        <v>25000.0</v>
      </c>
      <c r="O24" s="51"/>
      <c r="P24" s="51" t="s">
        <v>151</v>
      </c>
      <c r="Q24" s="51" t="s">
        <v>604</v>
      </c>
      <c r="R24" s="51" t="b">
        <v>1</v>
      </c>
      <c r="S24" s="51" t="b">
        <v>1</v>
      </c>
      <c r="T24" s="42"/>
      <c r="U24" s="42"/>
      <c r="V24" s="42"/>
      <c r="W24" s="51" t="b">
        <v>0</v>
      </c>
      <c r="X24" s="50" t="s">
        <v>601</v>
      </c>
      <c r="Y24" s="50" t="s">
        <v>5</v>
      </c>
      <c r="Z24" s="42"/>
      <c r="AA24" s="4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</row>
    <row r="25">
      <c r="A25" s="1" t="s">
        <v>136</v>
      </c>
      <c r="B25" s="1" t="s">
        <v>137</v>
      </c>
      <c r="C25" s="1" t="s">
        <v>118</v>
      </c>
      <c r="D25" s="29" t="s">
        <v>64</v>
      </c>
      <c r="E25" s="3" t="s">
        <v>366</v>
      </c>
      <c r="F25" s="1" t="s">
        <v>367</v>
      </c>
      <c r="G25" s="3" t="s">
        <v>608</v>
      </c>
      <c r="H25" s="3" t="s">
        <v>609</v>
      </c>
      <c r="I25" s="3" t="s">
        <v>70</v>
      </c>
      <c r="J25" s="3" t="s">
        <v>610</v>
      </c>
      <c r="K25" s="11" t="s">
        <v>611</v>
      </c>
      <c r="L25" s="11" t="s">
        <v>614</v>
      </c>
      <c r="M25" s="1"/>
      <c r="N25" s="1">
        <v>16577.0</v>
      </c>
      <c r="O25" s="1"/>
      <c r="P25" s="1" t="s">
        <v>151</v>
      </c>
      <c r="Q25" s="1" t="s">
        <v>618</v>
      </c>
      <c r="R25" s="1" t="b">
        <v>1</v>
      </c>
      <c r="S25" s="1" t="b">
        <v>1</v>
      </c>
      <c r="T25" s="1" t="b">
        <v>1</v>
      </c>
      <c r="U25" s="1" t="b">
        <v>1</v>
      </c>
      <c r="V25" s="1" t="b">
        <v>1</v>
      </c>
      <c r="W25" s="1" t="b">
        <v>1</v>
      </c>
      <c r="X25" s="11" t="s">
        <v>611</v>
      </c>
      <c r="Y25" s="11" t="s">
        <v>620</v>
      </c>
    </row>
    <row r="26">
      <c r="A26" s="29" t="s">
        <v>625</v>
      </c>
      <c r="B26" s="51" t="s">
        <v>626</v>
      </c>
      <c r="C26" s="29" t="s">
        <v>118</v>
      </c>
      <c r="D26" s="3" t="s">
        <v>81</v>
      </c>
      <c r="E26" s="3" t="s">
        <v>544</v>
      </c>
      <c r="F26" s="29" t="s">
        <v>627</v>
      </c>
      <c r="G26" s="3"/>
      <c r="H26" s="3"/>
      <c r="I26" s="3" t="s">
        <v>628</v>
      </c>
      <c r="J26" s="1" t="s">
        <v>629</v>
      </c>
      <c r="K26" s="11" t="s">
        <v>630</v>
      </c>
      <c r="L26" s="11" t="s">
        <v>634</v>
      </c>
      <c r="M26" s="1"/>
      <c r="N26" s="1">
        <v>16000.0</v>
      </c>
      <c r="O26" s="1"/>
      <c r="P26" s="1" t="s">
        <v>151</v>
      </c>
      <c r="Q26" s="1" t="s">
        <v>471</v>
      </c>
      <c r="R26" s="1" t="b">
        <v>1</v>
      </c>
      <c r="S26" s="1" t="b">
        <v>0</v>
      </c>
      <c r="T26" s="1" t="b">
        <v>1</v>
      </c>
      <c r="U26" s="1" t="b">
        <v>1</v>
      </c>
      <c r="W26" s="17" t="b">
        <v>0</v>
      </c>
      <c r="X26" s="11" t="s">
        <v>630</v>
      </c>
      <c r="Y26" s="11" t="s">
        <v>637</v>
      </c>
    </row>
    <row r="27">
      <c r="A27" s="29" t="s">
        <v>140</v>
      </c>
      <c r="B27" s="53" t="s">
        <v>141</v>
      </c>
      <c r="C27" s="29" t="s">
        <v>118</v>
      </c>
      <c r="D27" s="3" t="s">
        <v>81</v>
      </c>
      <c r="E27" s="3" t="s">
        <v>301</v>
      </c>
      <c r="F27" s="29" t="s">
        <v>391</v>
      </c>
      <c r="G27" s="3"/>
      <c r="H27" s="3" t="s">
        <v>641</v>
      </c>
      <c r="I27" s="3" t="s">
        <v>70</v>
      </c>
      <c r="J27" s="3"/>
      <c r="K27" s="11" t="s">
        <v>642</v>
      </c>
      <c r="L27" s="1"/>
      <c r="M27" s="1"/>
      <c r="N27" s="1">
        <v>15000.0</v>
      </c>
      <c r="O27" s="1"/>
      <c r="R27" s="17" t="b">
        <v>0</v>
      </c>
      <c r="T27" s="1" t="b">
        <v>1</v>
      </c>
      <c r="U27" s="1" t="b">
        <v>1</v>
      </c>
      <c r="V27" s="1" t="b">
        <v>0</v>
      </c>
      <c r="W27" s="1" t="b">
        <v>0</v>
      </c>
      <c r="X27" s="11" t="s">
        <v>642</v>
      </c>
      <c r="Y27" s="11" t="s">
        <v>647</v>
      </c>
    </row>
    <row r="28">
      <c r="A28" s="1" t="s">
        <v>143</v>
      </c>
      <c r="B28" s="1" t="s">
        <v>144</v>
      </c>
      <c r="C28" s="1" t="s">
        <v>118</v>
      </c>
      <c r="D28" s="3" t="s">
        <v>188</v>
      </c>
      <c r="E28" s="3" t="s">
        <v>100</v>
      </c>
      <c r="F28" s="1" t="s">
        <v>367</v>
      </c>
      <c r="G28" s="3" t="s">
        <v>652</v>
      </c>
      <c r="H28" s="3" t="s">
        <v>653</v>
      </c>
      <c r="I28" s="3" t="s">
        <v>70</v>
      </c>
      <c r="J28" s="3" t="s">
        <v>285</v>
      </c>
      <c r="K28" s="16" t="s">
        <v>654</v>
      </c>
      <c r="L28" s="1"/>
      <c r="M28" s="1"/>
      <c r="N28" s="1">
        <v>14813.0</v>
      </c>
      <c r="O28" s="1"/>
      <c r="P28" s="1" t="s">
        <v>151</v>
      </c>
      <c r="Q28" s="1" t="s">
        <v>659</v>
      </c>
      <c r="R28" s="1" t="b">
        <v>1</v>
      </c>
      <c r="S28" s="1" t="b">
        <v>1</v>
      </c>
      <c r="W28" s="1" t="b">
        <v>1</v>
      </c>
      <c r="X28" s="11" t="s">
        <v>654</v>
      </c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</row>
    <row r="29">
      <c r="A29" s="1" t="s">
        <v>149</v>
      </c>
      <c r="B29" s="1" t="s">
        <v>150</v>
      </c>
      <c r="C29" s="1" t="s">
        <v>118</v>
      </c>
      <c r="D29" s="3" t="s">
        <v>188</v>
      </c>
      <c r="E29" s="3" t="s">
        <v>100</v>
      </c>
      <c r="F29" s="1" t="s">
        <v>367</v>
      </c>
      <c r="G29" s="3"/>
      <c r="H29" s="3" t="s">
        <v>663</v>
      </c>
      <c r="I29" s="3" t="s">
        <v>664</v>
      </c>
      <c r="J29" s="3" t="s">
        <v>665</v>
      </c>
      <c r="K29" s="11" t="s">
        <v>666</v>
      </c>
      <c r="L29" s="54" t="s">
        <v>667</v>
      </c>
      <c r="M29" s="55"/>
      <c r="N29" s="1">
        <v>13671.0</v>
      </c>
      <c r="O29" s="1"/>
      <c r="P29" s="1" t="s">
        <v>151</v>
      </c>
      <c r="Q29" s="1" t="s">
        <v>673</v>
      </c>
      <c r="R29" s="1" t="b">
        <v>1</v>
      </c>
      <c r="S29" s="1" t="b">
        <v>1</v>
      </c>
      <c r="X29" s="11" t="s">
        <v>666</v>
      </c>
    </row>
    <row r="30">
      <c r="A30" s="29" t="s">
        <v>152</v>
      </c>
      <c r="B30" s="29" t="s">
        <v>153</v>
      </c>
      <c r="C30" s="29" t="s">
        <v>118</v>
      </c>
      <c r="D30" s="3" t="s">
        <v>81</v>
      </c>
      <c r="E30" s="3" t="s">
        <v>677</v>
      </c>
      <c r="F30" s="29" t="s">
        <v>678</v>
      </c>
      <c r="G30" s="3"/>
      <c r="H30" s="3" t="s">
        <v>680</v>
      </c>
      <c r="I30" s="3" t="s">
        <v>70</v>
      </c>
      <c r="J30" s="3" t="s">
        <v>681</v>
      </c>
      <c r="K30" s="16" t="s">
        <v>682</v>
      </c>
      <c r="L30" s="39"/>
      <c r="M30" s="39"/>
      <c r="N30" s="1">
        <v>11258.0</v>
      </c>
      <c r="O30" s="1"/>
      <c r="P30" s="1" t="s">
        <v>151</v>
      </c>
      <c r="Q30" s="1" t="s">
        <v>685</v>
      </c>
      <c r="R30" s="1" t="b">
        <v>1</v>
      </c>
      <c r="T30" s="1" t="b">
        <v>1</v>
      </c>
      <c r="U30" s="1" t="b">
        <v>1</v>
      </c>
      <c r="V30" s="1" t="b">
        <v>0</v>
      </c>
      <c r="W30" s="1" t="b">
        <v>0</v>
      </c>
      <c r="X30" s="11" t="s">
        <v>682</v>
      </c>
    </row>
    <row r="31">
      <c r="A31" s="29" t="s">
        <v>155</v>
      </c>
      <c r="B31" s="29" t="s">
        <v>156</v>
      </c>
      <c r="C31" s="29" t="s">
        <v>118</v>
      </c>
      <c r="D31" s="3" t="s">
        <v>81</v>
      </c>
      <c r="E31" s="3" t="s">
        <v>640</v>
      </c>
      <c r="F31" s="29" t="s">
        <v>215</v>
      </c>
      <c r="G31" s="3"/>
      <c r="H31" s="3" t="s">
        <v>687</v>
      </c>
      <c r="I31" s="3" t="s">
        <v>70</v>
      </c>
      <c r="J31" s="3" t="s">
        <v>285</v>
      </c>
      <c r="K31" s="11" t="s">
        <v>688</v>
      </c>
      <c r="L31" s="11" t="s">
        <v>689</v>
      </c>
      <c r="M31" s="1"/>
      <c r="N31" s="1">
        <v>8389.0</v>
      </c>
      <c r="O31" s="1"/>
      <c r="P31" s="1" t="s">
        <v>151</v>
      </c>
      <c r="Q31" s="1" t="s">
        <v>693</v>
      </c>
      <c r="R31" s="1" t="b">
        <v>1</v>
      </c>
      <c r="S31" s="1" t="b">
        <v>0</v>
      </c>
      <c r="T31" s="1" t="b">
        <v>1</v>
      </c>
      <c r="U31" s="1" t="b">
        <v>1</v>
      </c>
      <c r="X31" s="11" t="s">
        <v>688</v>
      </c>
      <c r="Y31" s="11" t="s">
        <v>696</v>
      </c>
    </row>
    <row r="32">
      <c r="A32" s="29" t="s">
        <v>158</v>
      </c>
      <c r="B32" s="29" t="s">
        <v>159</v>
      </c>
      <c r="C32" s="29" t="s">
        <v>118</v>
      </c>
      <c r="D32" s="3" t="s">
        <v>81</v>
      </c>
      <c r="E32" s="3" t="s">
        <v>301</v>
      </c>
      <c r="F32" s="29" t="s">
        <v>367</v>
      </c>
      <c r="G32" s="3" t="s">
        <v>700</v>
      </c>
      <c r="H32" s="3"/>
      <c r="I32" s="3" t="s">
        <v>701</v>
      </c>
      <c r="J32" s="3" t="s">
        <v>702</v>
      </c>
      <c r="K32" s="11" t="s">
        <v>704</v>
      </c>
      <c r="L32" s="1"/>
      <c r="M32" s="1"/>
      <c r="N32" s="1">
        <v>8000.0</v>
      </c>
      <c r="O32" s="1"/>
      <c r="P32" s="1" t="s">
        <v>151</v>
      </c>
      <c r="Q32" s="1" t="s">
        <v>707</v>
      </c>
      <c r="R32" s="1" t="b">
        <v>1</v>
      </c>
      <c r="S32" s="1" t="b">
        <v>1</v>
      </c>
      <c r="W32" s="17" t="b">
        <v>0</v>
      </c>
      <c r="X32" s="11" t="s">
        <v>704</v>
      </c>
      <c r="Y32" s="11" t="s">
        <v>708</v>
      </c>
    </row>
    <row r="33">
      <c r="A33" s="29" t="s">
        <v>160</v>
      </c>
      <c r="B33" s="29" t="s">
        <v>161</v>
      </c>
      <c r="C33" s="29" t="s">
        <v>118</v>
      </c>
      <c r="D33" s="3" t="s">
        <v>81</v>
      </c>
      <c r="E33" s="3" t="s">
        <v>301</v>
      </c>
      <c r="F33" s="29" t="s">
        <v>215</v>
      </c>
      <c r="G33" s="3"/>
      <c r="H33" s="3" t="s">
        <v>680</v>
      </c>
      <c r="I33" s="3" t="s">
        <v>70</v>
      </c>
      <c r="J33" s="3" t="s">
        <v>710</v>
      </c>
      <c r="K33" s="16" t="s">
        <v>711</v>
      </c>
      <c r="L33" s="39"/>
      <c r="M33" s="39"/>
      <c r="N33" s="1">
        <v>7728.0</v>
      </c>
      <c r="O33" s="1"/>
      <c r="P33" s="1" t="s">
        <v>151</v>
      </c>
      <c r="Q33" s="1" t="s">
        <v>714</v>
      </c>
      <c r="R33" s="1" t="b">
        <v>1</v>
      </c>
      <c r="S33" s="1" t="b">
        <v>0</v>
      </c>
      <c r="T33" s="1" t="b">
        <v>1</v>
      </c>
      <c r="U33" s="1" t="b">
        <v>1</v>
      </c>
      <c r="X33" s="11" t="s">
        <v>711</v>
      </c>
      <c r="Y33" s="11" t="s">
        <v>715</v>
      </c>
    </row>
    <row r="34">
      <c r="A34" s="29" t="s">
        <v>162</v>
      </c>
      <c r="B34" s="29" t="s">
        <v>163</v>
      </c>
      <c r="C34" s="29" t="s">
        <v>118</v>
      </c>
      <c r="D34" s="3" t="s">
        <v>81</v>
      </c>
      <c r="E34" s="3" t="s">
        <v>301</v>
      </c>
      <c r="F34" s="29" t="s">
        <v>180</v>
      </c>
      <c r="G34" s="3" t="s">
        <v>719</v>
      </c>
      <c r="H34" s="3" t="s">
        <v>720</v>
      </c>
      <c r="I34" s="3" t="s">
        <v>721</v>
      </c>
      <c r="J34" s="3"/>
      <c r="K34" s="11" t="s">
        <v>722</v>
      </c>
      <c r="L34" s="11" t="s">
        <v>726</v>
      </c>
      <c r="M34" s="1"/>
      <c r="N34" s="1">
        <v>7470.0</v>
      </c>
      <c r="O34" s="1"/>
      <c r="P34" s="1" t="s">
        <v>151</v>
      </c>
      <c r="Q34" s="1" t="s">
        <v>730</v>
      </c>
      <c r="R34" s="1" t="b">
        <v>1</v>
      </c>
      <c r="S34" s="1" t="b">
        <v>1</v>
      </c>
      <c r="W34" s="17" t="b">
        <v>0</v>
      </c>
      <c r="X34" s="11" t="s">
        <v>726</v>
      </c>
      <c r="Y34" s="11" t="s">
        <v>732</v>
      </c>
    </row>
    <row r="35">
      <c r="A35" s="1" t="s">
        <v>164</v>
      </c>
      <c r="B35" s="1" t="s">
        <v>165</v>
      </c>
      <c r="C35" s="1" t="s">
        <v>118</v>
      </c>
      <c r="D35" s="3" t="s">
        <v>188</v>
      </c>
      <c r="E35" s="3" t="s">
        <v>100</v>
      </c>
      <c r="F35" s="1" t="s">
        <v>515</v>
      </c>
      <c r="G35" s="3" t="s">
        <v>734</v>
      </c>
      <c r="H35" s="3" t="s">
        <v>735</v>
      </c>
      <c r="I35" s="3" t="s">
        <v>736</v>
      </c>
      <c r="J35" s="3" t="s">
        <v>737</v>
      </c>
      <c r="K35" s="11" t="s">
        <v>738</v>
      </c>
      <c r="L35" s="1"/>
      <c r="M35" s="1"/>
      <c r="N35" s="1">
        <v>1744.0</v>
      </c>
      <c r="O35" s="1"/>
      <c r="P35" s="1" t="s">
        <v>151</v>
      </c>
      <c r="Q35" s="1" t="s">
        <v>741</v>
      </c>
      <c r="R35" s="1" t="b">
        <v>1</v>
      </c>
      <c r="S35" s="1" t="b">
        <v>1</v>
      </c>
      <c r="T35" s="1" t="b">
        <v>1</v>
      </c>
      <c r="U35" s="1" t="b">
        <v>1</v>
      </c>
      <c r="W35" s="17" t="b">
        <v>0</v>
      </c>
      <c r="X35" s="11" t="s">
        <v>738</v>
      </c>
    </row>
    <row r="36">
      <c r="A36" s="1" t="s">
        <v>166</v>
      </c>
      <c r="B36" s="1" t="s">
        <v>167</v>
      </c>
      <c r="C36" s="1" t="s">
        <v>118</v>
      </c>
      <c r="D36" s="3" t="s">
        <v>81</v>
      </c>
      <c r="E36" s="3" t="s">
        <v>744</v>
      </c>
      <c r="F36" s="1" t="s">
        <v>745</v>
      </c>
      <c r="G36" s="3" t="s">
        <v>392</v>
      </c>
      <c r="H36" s="3" t="s">
        <v>746</v>
      </c>
      <c r="I36" s="3" t="s">
        <v>123</v>
      </c>
      <c r="J36" s="3" t="s">
        <v>747</v>
      </c>
      <c r="K36" s="16" t="s">
        <v>748</v>
      </c>
      <c r="L36" s="39"/>
      <c r="M36" s="39"/>
      <c r="N36" s="1">
        <v>1705.0</v>
      </c>
      <c r="O36" s="1"/>
      <c r="P36" s="1" t="s">
        <v>151</v>
      </c>
      <c r="Q36" s="1" t="s">
        <v>749</v>
      </c>
      <c r="R36" s="1" t="b">
        <v>1</v>
      </c>
      <c r="S36" s="1" t="b">
        <v>1</v>
      </c>
      <c r="W36" s="17" t="b">
        <v>0</v>
      </c>
      <c r="X36" s="11" t="s">
        <v>748</v>
      </c>
    </row>
    <row r="37">
      <c r="A37" s="1" t="s">
        <v>169</v>
      </c>
      <c r="B37" s="1" t="s">
        <v>170</v>
      </c>
      <c r="C37" s="1" t="s">
        <v>118</v>
      </c>
      <c r="D37" s="3" t="s">
        <v>188</v>
      </c>
      <c r="E37" s="3" t="s">
        <v>100</v>
      </c>
      <c r="F37" s="1" t="s">
        <v>180</v>
      </c>
      <c r="G37" s="3" t="s">
        <v>751</v>
      </c>
      <c r="H37" s="3" t="s">
        <v>752</v>
      </c>
      <c r="I37" s="3" t="s">
        <v>123</v>
      </c>
      <c r="J37" s="3" t="s">
        <v>753</v>
      </c>
      <c r="K37" s="11" t="s">
        <v>754</v>
      </c>
      <c r="L37" s="11" t="s">
        <v>756</v>
      </c>
      <c r="M37" s="1"/>
      <c r="N37" s="1">
        <v>818.0</v>
      </c>
      <c r="O37" s="1"/>
      <c r="P37" s="1" t="s">
        <v>151</v>
      </c>
      <c r="Q37" s="1" t="s">
        <v>757</v>
      </c>
      <c r="R37" s="1" t="b">
        <v>1</v>
      </c>
      <c r="S37" s="1" t="b">
        <v>1</v>
      </c>
      <c r="W37" s="1" t="b">
        <v>1</v>
      </c>
      <c r="X37" s="11" t="s">
        <v>754</v>
      </c>
      <c r="Y37" s="11" t="s">
        <v>760</v>
      </c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</row>
    <row r="38">
      <c r="A38" s="1" t="s">
        <v>172</v>
      </c>
      <c r="B38" s="1" t="s">
        <v>173</v>
      </c>
      <c r="C38" s="1" t="s">
        <v>118</v>
      </c>
      <c r="D38" s="3" t="s">
        <v>107</v>
      </c>
      <c r="E38" s="3" t="s">
        <v>763</v>
      </c>
      <c r="F38" s="1" t="s">
        <v>367</v>
      </c>
      <c r="G38" s="3" t="s">
        <v>764</v>
      </c>
      <c r="H38" s="3"/>
      <c r="I38" s="3" t="s">
        <v>766</v>
      </c>
      <c r="J38" s="3" t="s">
        <v>767</v>
      </c>
      <c r="K38" s="11" t="s">
        <v>768</v>
      </c>
      <c r="L38" s="1"/>
      <c r="M38" s="1"/>
      <c r="N38" s="1">
        <v>670.0</v>
      </c>
      <c r="O38" s="1"/>
      <c r="P38" s="1" t="s">
        <v>151</v>
      </c>
      <c r="Q38" s="1" t="s">
        <v>773</v>
      </c>
      <c r="R38" s="1" t="b">
        <v>1</v>
      </c>
      <c r="S38" s="1" t="b">
        <v>1</v>
      </c>
      <c r="W38" s="17" t="b">
        <v>0</v>
      </c>
      <c r="X38" s="11" t="s">
        <v>768</v>
      </c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</row>
    <row r="39">
      <c r="A39" s="29" t="s">
        <v>178</v>
      </c>
      <c r="B39" s="29" t="s">
        <v>179</v>
      </c>
      <c r="C39" s="29" t="s">
        <v>118</v>
      </c>
      <c r="D39" s="3" t="s">
        <v>81</v>
      </c>
      <c r="E39" s="3" t="s">
        <v>301</v>
      </c>
      <c r="F39" s="29" t="s">
        <v>180</v>
      </c>
      <c r="G39" s="3" t="s">
        <v>505</v>
      </c>
      <c r="H39" s="3" t="s">
        <v>774</v>
      </c>
      <c r="I39" s="3" t="s">
        <v>70</v>
      </c>
      <c r="J39" s="3" t="s">
        <v>775</v>
      </c>
      <c r="K39" s="11" t="s">
        <v>777</v>
      </c>
      <c r="L39" s="1"/>
      <c r="M39" s="1"/>
      <c r="N39" s="1">
        <v>662.0</v>
      </c>
      <c r="O39" s="1"/>
      <c r="P39" s="1" t="s">
        <v>151</v>
      </c>
      <c r="Q39" s="1" t="s">
        <v>779</v>
      </c>
      <c r="R39" s="1" t="b">
        <v>1</v>
      </c>
      <c r="S39" s="1" t="b">
        <v>1</v>
      </c>
      <c r="W39" s="1" t="b">
        <v>0</v>
      </c>
      <c r="X39" s="11" t="s">
        <v>780</v>
      </c>
      <c r="Y39" s="11" t="s">
        <v>783</v>
      </c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</row>
    <row r="40">
      <c r="A40" s="1" t="s">
        <v>184</v>
      </c>
      <c r="B40" s="1" t="s">
        <v>185</v>
      </c>
      <c r="C40" s="1" t="s">
        <v>118</v>
      </c>
      <c r="D40" s="3" t="s">
        <v>188</v>
      </c>
      <c r="E40" s="3" t="s">
        <v>100</v>
      </c>
      <c r="F40" s="1" t="s">
        <v>180</v>
      </c>
      <c r="G40" s="3" t="s">
        <v>784</v>
      </c>
      <c r="H40" s="3" t="s">
        <v>785</v>
      </c>
      <c r="I40" s="3" t="s">
        <v>123</v>
      </c>
      <c r="J40" s="3" t="s">
        <v>753</v>
      </c>
      <c r="K40" s="11" t="s">
        <v>786</v>
      </c>
      <c r="L40" s="11" t="s">
        <v>790</v>
      </c>
      <c r="M40" s="1"/>
      <c r="N40" s="1">
        <v>598.0</v>
      </c>
      <c r="O40" s="1"/>
      <c r="P40" s="1" t="s">
        <v>151</v>
      </c>
      <c r="Q40" s="1" t="s">
        <v>794</v>
      </c>
      <c r="R40" s="1" t="b">
        <v>1</v>
      </c>
      <c r="S40" s="1" t="b">
        <v>1</v>
      </c>
      <c r="W40" s="17" t="b">
        <v>0</v>
      </c>
      <c r="X40" s="11" t="s">
        <v>786</v>
      </c>
    </row>
    <row r="41">
      <c r="A41" s="1" t="s">
        <v>186</v>
      </c>
      <c r="B41" s="1" t="s">
        <v>187</v>
      </c>
      <c r="C41" s="1" t="s">
        <v>118</v>
      </c>
      <c r="D41" s="3" t="s">
        <v>188</v>
      </c>
      <c r="E41" s="3" t="s">
        <v>100</v>
      </c>
      <c r="F41" s="1" t="s">
        <v>559</v>
      </c>
      <c r="G41" s="3" t="s">
        <v>560</v>
      </c>
      <c r="H41" s="3"/>
      <c r="I41" s="3" t="s">
        <v>797</v>
      </c>
      <c r="J41" s="3" t="s">
        <v>798</v>
      </c>
      <c r="K41" s="11" t="s">
        <v>799</v>
      </c>
      <c r="L41" s="11" t="s">
        <v>801</v>
      </c>
      <c r="M41" s="1"/>
      <c r="N41" s="1">
        <v>463.0</v>
      </c>
      <c r="O41" s="1"/>
      <c r="P41" s="1" t="s">
        <v>151</v>
      </c>
      <c r="Q41" s="1" t="s">
        <v>804</v>
      </c>
      <c r="R41" s="1" t="b">
        <v>1</v>
      </c>
      <c r="S41" s="1" t="b">
        <v>1</v>
      </c>
      <c r="T41" s="1" t="b">
        <v>1</v>
      </c>
      <c r="U41" s="1" t="b">
        <v>1</v>
      </c>
      <c r="W41" s="1" t="b">
        <v>1</v>
      </c>
      <c r="X41" s="11" t="s">
        <v>799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</row>
    <row r="42">
      <c r="A42" s="1" t="s">
        <v>189</v>
      </c>
      <c r="B42" s="1" t="s">
        <v>190</v>
      </c>
      <c r="C42" s="1" t="s">
        <v>118</v>
      </c>
      <c r="D42" s="3" t="s">
        <v>81</v>
      </c>
      <c r="E42" s="3" t="s">
        <v>280</v>
      </c>
      <c r="F42" s="1" t="s">
        <v>559</v>
      </c>
      <c r="G42" s="3" t="s">
        <v>560</v>
      </c>
      <c r="H42" s="3" t="s">
        <v>805</v>
      </c>
      <c r="I42" s="3" t="s">
        <v>123</v>
      </c>
      <c r="J42" s="3" t="s">
        <v>807</v>
      </c>
      <c r="K42" s="16" t="s">
        <v>809</v>
      </c>
      <c r="L42" s="1"/>
      <c r="M42" s="1"/>
      <c r="N42" s="1">
        <v>400.0</v>
      </c>
      <c r="O42" s="1"/>
      <c r="P42" s="1" t="s">
        <v>151</v>
      </c>
      <c r="Q42" s="1" t="s">
        <v>810</v>
      </c>
      <c r="R42" s="1" t="b">
        <v>1</v>
      </c>
      <c r="S42" s="1" t="b">
        <v>1</v>
      </c>
      <c r="W42" s="1" t="b">
        <v>1</v>
      </c>
      <c r="X42" s="11" t="s">
        <v>814</v>
      </c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</row>
    <row r="43">
      <c r="A43" s="1" t="s">
        <v>191</v>
      </c>
      <c r="B43" s="1" t="s">
        <v>192</v>
      </c>
      <c r="C43" s="1" t="s">
        <v>118</v>
      </c>
      <c r="D43" s="3" t="s">
        <v>188</v>
      </c>
      <c r="E43" s="3" t="s">
        <v>100</v>
      </c>
      <c r="F43" s="1" t="s">
        <v>818</v>
      </c>
      <c r="G43" s="3"/>
      <c r="H43" s="3" t="s">
        <v>819</v>
      </c>
      <c r="I43" s="3" t="s">
        <v>721</v>
      </c>
      <c r="J43" s="3"/>
      <c r="K43" s="11" t="s">
        <v>820</v>
      </c>
      <c r="L43" s="1"/>
      <c r="M43" s="1"/>
      <c r="N43" s="1">
        <v>393.0</v>
      </c>
      <c r="O43" s="1"/>
      <c r="P43" s="1" t="s">
        <v>151</v>
      </c>
      <c r="Q43" s="1" t="s">
        <v>823</v>
      </c>
      <c r="R43" s="1" t="b">
        <v>1</v>
      </c>
      <c r="S43" s="1" t="b">
        <v>1</v>
      </c>
      <c r="W43" s="17" t="b">
        <v>0</v>
      </c>
      <c r="X43" s="11" t="s">
        <v>820</v>
      </c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</row>
    <row r="44">
      <c r="A44" s="1" t="s">
        <v>193</v>
      </c>
      <c r="B44" s="1" t="s">
        <v>194</v>
      </c>
      <c r="C44" s="1" t="s">
        <v>118</v>
      </c>
      <c r="D44" s="3" t="s">
        <v>188</v>
      </c>
      <c r="E44" s="3" t="s">
        <v>100</v>
      </c>
      <c r="F44" s="1" t="s">
        <v>180</v>
      </c>
      <c r="G44" s="3" t="s">
        <v>505</v>
      </c>
      <c r="H44" s="3" t="s">
        <v>826</v>
      </c>
      <c r="I44" s="3" t="s">
        <v>70</v>
      </c>
      <c r="J44" s="3" t="s">
        <v>827</v>
      </c>
      <c r="K44" s="11" t="s">
        <v>828</v>
      </c>
      <c r="L44" s="11" t="s">
        <v>830</v>
      </c>
      <c r="M44" s="1" t="s">
        <v>831</v>
      </c>
      <c r="N44" s="1">
        <v>377.0</v>
      </c>
      <c r="O44" s="1"/>
      <c r="P44" s="1" t="s">
        <v>151</v>
      </c>
      <c r="Q44" s="1" t="s">
        <v>834</v>
      </c>
      <c r="R44" s="1" t="b">
        <v>1</v>
      </c>
      <c r="S44" s="1" t="b">
        <v>1</v>
      </c>
      <c r="W44" s="17" t="b">
        <v>0</v>
      </c>
      <c r="X44" s="11" t="s">
        <v>828</v>
      </c>
    </row>
    <row r="45">
      <c r="A45" s="1" t="s">
        <v>197</v>
      </c>
      <c r="B45" s="1" t="s">
        <v>198</v>
      </c>
      <c r="C45" s="1" t="s">
        <v>118</v>
      </c>
      <c r="D45" s="3" t="s">
        <v>188</v>
      </c>
      <c r="E45" s="3" t="s">
        <v>100</v>
      </c>
      <c r="F45" s="1" t="s">
        <v>837</v>
      </c>
      <c r="G45" s="3"/>
      <c r="H45" s="3" t="s">
        <v>838</v>
      </c>
      <c r="I45" s="3" t="s">
        <v>123</v>
      </c>
      <c r="J45" s="3" t="s">
        <v>839</v>
      </c>
      <c r="K45" s="11" t="s">
        <v>840</v>
      </c>
      <c r="L45" s="1"/>
      <c r="M45" s="1"/>
      <c r="N45" s="1">
        <v>350.0</v>
      </c>
      <c r="O45" s="1"/>
      <c r="P45" s="1" t="s">
        <v>151</v>
      </c>
      <c r="Q45" s="1" t="s">
        <v>844</v>
      </c>
      <c r="R45" s="1" t="b">
        <v>1</v>
      </c>
      <c r="S45" s="1" t="b">
        <v>1</v>
      </c>
      <c r="U45" s="1" t="b">
        <v>1</v>
      </c>
      <c r="W45" s="17" t="b">
        <v>0</v>
      </c>
      <c r="X45" s="11" t="s">
        <v>840</v>
      </c>
      <c r="Y45" s="11" t="s">
        <v>845</v>
      </c>
      <c r="Z45" s="11" t="s">
        <v>760</v>
      </c>
    </row>
    <row r="46">
      <c r="A46" s="29" t="s">
        <v>199</v>
      </c>
      <c r="B46" s="29" t="s">
        <v>200</v>
      </c>
      <c r="C46" s="29" t="s">
        <v>118</v>
      </c>
      <c r="D46" s="3" t="s">
        <v>81</v>
      </c>
      <c r="E46" s="3" t="s">
        <v>301</v>
      </c>
      <c r="F46" s="29" t="s">
        <v>180</v>
      </c>
      <c r="G46" s="3"/>
      <c r="H46" s="3"/>
      <c r="I46" s="3" t="s">
        <v>123</v>
      </c>
      <c r="J46" s="3" t="s">
        <v>847</v>
      </c>
      <c r="K46" s="11" t="s">
        <v>848</v>
      </c>
      <c r="L46" s="11" t="s">
        <v>849</v>
      </c>
      <c r="M46" s="1"/>
      <c r="N46" s="1">
        <v>196.0</v>
      </c>
      <c r="O46" s="1"/>
      <c r="P46" s="1" t="s">
        <v>151</v>
      </c>
      <c r="Q46" s="1" t="s">
        <v>850</v>
      </c>
      <c r="R46" s="1" t="b">
        <v>1</v>
      </c>
      <c r="T46" s="1" t="b">
        <v>1</v>
      </c>
      <c r="U46" s="1" t="b">
        <v>1</v>
      </c>
      <c r="V46" s="1" t="b">
        <v>1</v>
      </c>
      <c r="W46" s="1" t="b">
        <v>0</v>
      </c>
      <c r="X46" s="11" t="s">
        <v>848</v>
      </c>
    </row>
    <row r="47">
      <c r="A47" s="1" t="s">
        <v>201</v>
      </c>
      <c r="B47" s="56" t="s">
        <v>202</v>
      </c>
      <c r="C47" s="1" t="s">
        <v>118</v>
      </c>
      <c r="D47" s="3" t="s">
        <v>168</v>
      </c>
      <c r="E47" s="3" t="s">
        <v>544</v>
      </c>
      <c r="F47" s="1" t="s">
        <v>573</v>
      </c>
      <c r="G47" s="3"/>
      <c r="H47" s="3" t="s">
        <v>853</v>
      </c>
      <c r="I47" s="3" t="s">
        <v>797</v>
      </c>
      <c r="J47" s="3" t="s">
        <v>854</v>
      </c>
      <c r="K47" s="11" t="s">
        <v>855</v>
      </c>
      <c r="L47" s="11" t="s">
        <v>858</v>
      </c>
      <c r="M47" s="1"/>
      <c r="N47" s="1">
        <v>163.0</v>
      </c>
      <c r="O47" s="1"/>
      <c r="R47" s="17" t="b">
        <v>0</v>
      </c>
      <c r="T47" s="1" t="b">
        <v>1</v>
      </c>
      <c r="U47" s="1" t="b">
        <v>1</v>
      </c>
      <c r="V47" s="1" t="b">
        <v>0</v>
      </c>
      <c r="W47" s="1" t="b">
        <v>0</v>
      </c>
      <c r="X47" s="11" t="s">
        <v>855</v>
      </c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</row>
    <row r="48">
      <c r="A48" s="29" t="s">
        <v>203</v>
      </c>
      <c r="B48" s="29" t="s">
        <v>204</v>
      </c>
      <c r="C48" s="29" t="s">
        <v>118</v>
      </c>
      <c r="D48" s="3" t="s">
        <v>81</v>
      </c>
      <c r="E48" s="3" t="s">
        <v>301</v>
      </c>
      <c r="F48" s="29" t="s">
        <v>180</v>
      </c>
      <c r="G48" s="3"/>
      <c r="H48" s="3" t="s">
        <v>861</v>
      </c>
      <c r="I48" s="3" t="s">
        <v>123</v>
      </c>
      <c r="J48" s="3"/>
      <c r="K48" s="16" t="s">
        <v>863</v>
      </c>
      <c r="L48" s="39"/>
      <c r="M48" s="39"/>
      <c r="N48" s="1">
        <v>138.0</v>
      </c>
      <c r="O48" s="1"/>
      <c r="P48" s="1" t="s">
        <v>151</v>
      </c>
      <c r="Q48" s="1" t="s">
        <v>868</v>
      </c>
      <c r="R48" s="1" t="b">
        <v>1</v>
      </c>
      <c r="S48" s="1" t="b">
        <v>1</v>
      </c>
      <c r="X48" s="11" t="s">
        <v>780</v>
      </c>
      <c r="Y48" s="11" t="s">
        <v>871</v>
      </c>
    </row>
    <row r="49">
      <c r="A49" s="1" t="s">
        <v>205</v>
      </c>
      <c r="B49" s="1" t="s">
        <v>206</v>
      </c>
      <c r="C49" s="1" t="s">
        <v>118</v>
      </c>
      <c r="D49" s="3" t="s">
        <v>188</v>
      </c>
      <c r="E49" s="3" t="s">
        <v>100</v>
      </c>
      <c r="F49" s="1" t="s">
        <v>180</v>
      </c>
      <c r="G49" s="3" t="s">
        <v>505</v>
      </c>
      <c r="H49" s="3" t="s">
        <v>875</v>
      </c>
      <c r="I49" s="3" t="s">
        <v>70</v>
      </c>
      <c r="J49" s="3" t="s">
        <v>876</v>
      </c>
      <c r="K49" s="11" t="s">
        <v>877</v>
      </c>
      <c r="L49" s="11" t="s">
        <v>877</v>
      </c>
      <c r="M49" s="1"/>
      <c r="N49" s="1">
        <v>130.0</v>
      </c>
      <c r="O49" s="1"/>
      <c r="P49" s="1" t="s">
        <v>151</v>
      </c>
      <c r="Q49" s="1" t="s">
        <v>881</v>
      </c>
      <c r="R49" s="1" t="b">
        <v>1</v>
      </c>
      <c r="S49" s="1" t="b">
        <v>1</v>
      </c>
      <c r="W49" s="17" t="b">
        <v>0</v>
      </c>
      <c r="X49" s="11" t="s">
        <v>877</v>
      </c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</row>
    <row r="50">
      <c r="A50" s="57" t="s">
        <v>882</v>
      </c>
      <c r="B50" s="57" t="s">
        <v>885</v>
      </c>
      <c r="C50" s="57" t="s">
        <v>721</v>
      </c>
      <c r="D50" s="58" t="s">
        <v>188</v>
      </c>
      <c r="E50" s="58" t="s">
        <v>100</v>
      </c>
      <c r="F50" s="57" t="s">
        <v>886</v>
      </c>
      <c r="G50" s="58"/>
      <c r="H50" s="58" t="s">
        <v>887</v>
      </c>
      <c r="I50" s="58" t="s">
        <v>123</v>
      </c>
      <c r="J50" s="58"/>
      <c r="K50" s="59" t="s">
        <v>888</v>
      </c>
      <c r="L50" s="60" t="s">
        <v>890</v>
      </c>
      <c r="M50" s="57" t="s">
        <v>892</v>
      </c>
      <c r="N50" s="57">
        <v>120.0</v>
      </c>
      <c r="O50" s="57" t="s">
        <v>893</v>
      </c>
      <c r="P50" s="57" t="s">
        <v>151</v>
      </c>
      <c r="Q50" s="57" t="s">
        <v>894</v>
      </c>
      <c r="R50" s="57" t="b">
        <v>1</v>
      </c>
      <c r="S50" s="57" t="b">
        <v>1</v>
      </c>
      <c r="T50" s="61"/>
      <c r="U50" s="61"/>
      <c r="V50" s="61"/>
      <c r="W50" s="61" t="b">
        <v>0</v>
      </c>
      <c r="X50" s="60" t="s">
        <v>895</v>
      </c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</row>
    <row r="51">
      <c r="A51" s="1" t="s">
        <v>208</v>
      </c>
      <c r="B51" s="1" t="s">
        <v>209</v>
      </c>
      <c r="C51" s="1" t="s">
        <v>118</v>
      </c>
      <c r="D51" s="3" t="s">
        <v>188</v>
      </c>
      <c r="E51" s="3" t="s">
        <v>100</v>
      </c>
      <c r="F51" s="1" t="s">
        <v>367</v>
      </c>
      <c r="G51" s="3" t="s">
        <v>899</v>
      </c>
      <c r="H51" s="3" t="s">
        <v>900</v>
      </c>
      <c r="I51" s="3" t="s">
        <v>123</v>
      </c>
      <c r="J51" s="3" t="s">
        <v>901</v>
      </c>
      <c r="K51" s="11" t="s">
        <v>902</v>
      </c>
      <c r="L51" s="1"/>
      <c r="M51" s="1"/>
      <c r="N51" s="1">
        <v>110.0</v>
      </c>
      <c r="O51" s="1"/>
      <c r="P51" s="1" t="s">
        <v>151</v>
      </c>
      <c r="Q51" s="1" t="s">
        <v>904</v>
      </c>
      <c r="R51" s="1" t="b">
        <v>1</v>
      </c>
      <c r="S51" s="1" t="b">
        <v>1</v>
      </c>
      <c r="W51" s="17" t="b">
        <v>0</v>
      </c>
      <c r="Y51" s="11" t="s">
        <v>905</v>
      </c>
    </row>
    <row r="52">
      <c r="A52" s="1" t="s">
        <v>212</v>
      </c>
      <c r="B52" s="1" t="s">
        <v>213</v>
      </c>
      <c r="C52" s="1" t="s">
        <v>118</v>
      </c>
      <c r="D52" s="3" t="s">
        <v>188</v>
      </c>
      <c r="E52" s="3" t="s">
        <v>100</v>
      </c>
      <c r="F52" s="1" t="s">
        <v>180</v>
      </c>
      <c r="G52" s="3" t="s">
        <v>908</v>
      </c>
      <c r="H52" s="3" t="s">
        <v>909</v>
      </c>
      <c r="I52" s="3" t="s">
        <v>123</v>
      </c>
      <c r="J52" s="3" t="s">
        <v>910</v>
      </c>
      <c r="K52" s="11" t="s">
        <v>911</v>
      </c>
      <c r="L52" s="11" t="s">
        <v>914</v>
      </c>
      <c r="M52" s="1"/>
      <c r="N52" s="1">
        <v>101.0</v>
      </c>
      <c r="O52" s="1"/>
      <c r="P52" s="1" t="s">
        <v>151</v>
      </c>
      <c r="Q52" s="1" t="s">
        <v>924</v>
      </c>
      <c r="R52" s="1" t="b">
        <v>1</v>
      </c>
      <c r="S52" s="1" t="b">
        <v>1</v>
      </c>
      <c r="T52" s="1" t="b">
        <v>1</v>
      </c>
      <c r="U52" s="1" t="b">
        <v>1</v>
      </c>
      <c r="W52" s="17" t="b">
        <v>0</v>
      </c>
      <c r="X52" s="11" t="s">
        <v>911</v>
      </c>
    </row>
    <row r="53">
      <c r="A53" s="29" t="s">
        <v>219</v>
      </c>
      <c r="B53" s="29" t="s">
        <v>220</v>
      </c>
      <c r="C53" s="29" t="s">
        <v>118</v>
      </c>
      <c r="D53" s="3" t="s">
        <v>81</v>
      </c>
      <c r="E53" s="3" t="s">
        <v>927</v>
      </c>
      <c r="F53" s="29" t="s">
        <v>928</v>
      </c>
      <c r="G53" s="3"/>
      <c r="H53" s="3" t="s">
        <v>929</v>
      </c>
      <c r="I53" s="3" t="s">
        <v>123</v>
      </c>
      <c r="J53" s="3" t="s">
        <v>930</v>
      </c>
      <c r="K53" s="11" t="s">
        <v>931</v>
      </c>
      <c r="L53" s="11" t="s">
        <v>938</v>
      </c>
      <c r="M53" s="1"/>
      <c r="N53" s="1">
        <v>100.0</v>
      </c>
      <c r="O53" s="51" t="s">
        <v>928</v>
      </c>
      <c r="P53" s="1" t="s">
        <v>151</v>
      </c>
      <c r="Q53" s="1" t="s">
        <v>943</v>
      </c>
      <c r="R53" s="1" t="b">
        <v>1</v>
      </c>
      <c r="S53" s="1" t="b">
        <v>1</v>
      </c>
      <c r="W53" s="17" t="b">
        <v>0</v>
      </c>
      <c r="X53" s="11" t="s">
        <v>931</v>
      </c>
      <c r="Y53" s="11" t="s">
        <v>947</v>
      </c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</row>
    <row r="54">
      <c r="A54" s="1" t="s">
        <v>221</v>
      </c>
      <c r="B54" s="1" t="s">
        <v>222</v>
      </c>
      <c r="C54" s="1" t="s">
        <v>118</v>
      </c>
      <c r="D54" s="3" t="s">
        <v>188</v>
      </c>
      <c r="E54" s="3" t="s">
        <v>100</v>
      </c>
      <c r="F54" s="1" t="s">
        <v>180</v>
      </c>
      <c r="G54" s="3"/>
      <c r="H54" s="3" t="s">
        <v>953</v>
      </c>
      <c r="I54" s="3" t="s">
        <v>123</v>
      </c>
      <c r="J54" s="3" t="s">
        <v>954</v>
      </c>
      <c r="K54" s="11" t="s">
        <v>956</v>
      </c>
      <c r="L54" s="1"/>
      <c r="M54" s="1"/>
      <c r="N54" s="1">
        <v>58.0</v>
      </c>
      <c r="O54" s="1"/>
      <c r="P54" s="1" t="s">
        <v>151</v>
      </c>
      <c r="Q54" s="1" t="s">
        <v>960</v>
      </c>
      <c r="R54" s="1" t="b">
        <v>1</v>
      </c>
      <c r="S54" s="1" t="b">
        <v>1</v>
      </c>
      <c r="U54" s="1" t="b">
        <v>1</v>
      </c>
      <c r="X54" s="11" t="s">
        <v>961</v>
      </c>
    </row>
    <row r="55">
      <c r="A55" s="35" t="s">
        <v>963</v>
      </c>
      <c r="B55" s="35" t="s">
        <v>721</v>
      </c>
      <c r="C55" s="35" t="s">
        <v>721</v>
      </c>
      <c r="D55" s="62" t="s">
        <v>188</v>
      </c>
      <c r="E55" s="62" t="s">
        <v>100</v>
      </c>
      <c r="F55" s="35" t="s">
        <v>504</v>
      </c>
      <c r="G55" s="62"/>
      <c r="H55" s="62" t="s">
        <v>965</v>
      </c>
      <c r="I55" s="62" t="s">
        <v>123</v>
      </c>
      <c r="J55" s="62" t="s">
        <v>753</v>
      </c>
      <c r="K55" s="63" t="s">
        <v>966</v>
      </c>
      <c r="L55" s="35"/>
      <c r="M55" s="35"/>
      <c r="N55" s="35">
        <v>42.0</v>
      </c>
      <c r="O55" s="35"/>
      <c r="P55" s="37"/>
      <c r="Q55" s="37"/>
      <c r="R55" s="35" t="s">
        <v>970</v>
      </c>
      <c r="S55" s="35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</row>
    <row r="56">
      <c r="A56" s="1" t="s">
        <v>223</v>
      </c>
      <c r="B56" s="1" t="s">
        <v>224</v>
      </c>
      <c r="C56" s="1" t="s">
        <v>118</v>
      </c>
      <c r="D56" s="3" t="s">
        <v>188</v>
      </c>
      <c r="E56" s="3" t="s">
        <v>100</v>
      </c>
      <c r="F56" s="1" t="s">
        <v>515</v>
      </c>
      <c r="G56" s="3" t="s">
        <v>971</v>
      </c>
      <c r="H56" s="3" t="s">
        <v>972</v>
      </c>
      <c r="I56" s="3" t="s">
        <v>123</v>
      </c>
      <c r="J56" s="3" t="s">
        <v>973</v>
      </c>
      <c r="K56" s="11" t="s">
        <v>974</v>
      </c>
      <c r="L56" s="1"/>
      <c r="M56" s="1"/>
      <c r="N56" s="1">
        <v>30.0</v>
      </c>
      <c r="O56" s="1"/>
      <c r="P56" s="1" t="s">
        <v>151</v>
      </c>
      <c r="Q56" s="1" t="s">
        <v>979</v>
      </c>
      <c r="R56" s="1" t="b">
        <v>1</v>
      </c>
      <c r="S56" s="1" t="b">
        <v>1</v>
      </c>
      <c r="W56" s="17" t="b">
        <v>0</v>
      </c>
      <c r="X56" s="11" t="s">
        <v>974</v>
      </c>
    </row>
    <row r="57">
      <c r="A57" s="1" t="s">
        <v>225</v>
      </c>
      <c r="B57" s="1" t="s">
        <v>226</v>
      </c>
      <c r="C57" s="1" t="s">
        <v>118</v>
      </c>
      <c r="D57" s="3" t="s">
        <v>188</v>
      </c>
      <c r="E57" s="3" t="s">
        <v>100</v>
      </c>
      <c r="F57" s="1" t="s">
        <v>980</v>
      </c>
      <c r="G57" s="3"/>
      <c r="H57" s="3" t="s">
        <v>981</v>
      </c>
      <c r="I57" s="3" t="s">
        <v>123</v>
      </c>
      <c r="J57" s="3" t="s">
        <v>982</v>
      </c>
      <c r="K57" s="16" t="s">
        <v>983</v>
      </c>
      <c r="L57" s="39"/>
      <c r="M57" s="39"/>
      <c r="N57" s="1">
        <v>30.0</v>
      </c>
      <c r="O57" s="1"/>
      <c r="P57" s="1" t="s">
        <v>151</v>
      </c>
      <c r="Q57" s="1" t="s">
        <v>986</v>
      </c>
      <c r="R57" s="1" t="b">
        <v>1</v>
      </c>
      <c r="S57" s="1" t="b">
        <v>1</v>
      </c>
      <c r="U57" s="1" t="b">
        <v>1</v>
      </c>
      <c r="X57" s="11" t="s">
        <v>987</v>
      </c>
    </row>
    <row r="58">
      <c r="A58" s="35" t="s">
        <v>990</v>
      </c>
      <c r="B58" s="35" t="s">
        <v>721</v>
      </c>
      <c r="C58" s="35" t="s">
        <v>721</v>
      </c>
      <c r="D58" s="62" t="s">
        <v>188</v>
      </c>
      <c r="E58" s="62" t="s">
        <v>100</v>
      </c>
      <c r="F58" s="35" t="s">
        <v>180</v>
      </c>
      <c r="G58" s="62"/>
      <c r="H58" s="62" t="s">
        <v>539</v>
      </c>
      <c r="I58" s="62" t="s">
        <v>123</v>
      </c>
      <c r="J58" s="62" t="s">
        <v>753</v>
      </c>
      <c r="K58" s="63" t="s">
        <v>991</v>
      </c>
      <c r="L58" s="64" t="s">
        <v>995</v>
      </c>
      <c r="M58" s="35"/>
      <c r="N58" s="35">
        <v>25.0</v>
      </c>
      <c r="O58" s="35"/>
      <c r="P58" s="37"/>
      <c r="Q58" s="37"/>
      <c r="R58" s="35" t="s">
        <v>970</v>
      </c>
      <c r="S58" s="35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</row>
    <row r="59">
      <c r="A59" s="1" t="s">
        <v>228</v>
      </c>
      <c r="B59" s="1" t="s">
        <v>229</v>
      </c>
      <c r="C59" s="1" t="s">
        <v>118</v>
      </c>
      <c r="D59" s="3" t="s">
        <v>188</v>
      </c>
      <c r="E59" s="3" t="s">
        <v>100</v>
      </c>
      <c r="F59" s="1" t="s">
        <v>367</v>
      </c>
      <c r="G59" s="3" t="s">
        <v>998</v>
      </c>
      <c r="H59" s="3" t="s">
        <v>999</v>
      </c>
      <c r="I59" s="3" t="s">
        <v>123</v>
      </c>
      <c r="J59" s="3" t="s">
        <v>1000</v>
      </c>
      <c r="K59" s="11" t="s">
        <v>1001</v>
      </c>
      <c r="L59" s="11" t="s">
        <v>1004</v>
      </c>
      <c r="M59" s="1"/>
      <c r="N59" s="1">
        <v>20.0</v>
      </c>
      <c r="O59" s="1"/>
      <c r="P59" s="1" t="s">
        <v>151</v>
      </c>
      <c r="Q59" s="1" t="s">
        <v>1005</v>
      </c>
      <c r="R59" s="1" t="b">
        <v>1</v>
      </c>
      <c r="S59" s="1" t="b">
        <v>1</v>
      </c>
      <c r="W59" s="17" t="b">
        <v>0</v>
      </c>
      <c r="X59" s="11" t="s">
        <v>1001</v>
      </c>
    </row>
    <row r="60">
      <c r="A60" s="35" t="s">
        <v>1006</v>
      </c>
      <c r="B60" s="35" t="s">
        <v>721</v>
      </c>
      <c r="C60" s="35" t="s">
        <v>721</v>
      </c>
      <c r="D60" s="62" t="s">
        <v>188</v>
      </c>
      <c r="E60" s="62" t="s">
        <v>100</v>
      </c>
      <c r="F60" s="35" t="s">
        <v>180</v>
      </c>
      <c r="G60" s="62"/>
      <c r="H60" s="62" t="s">
        <v>1007</v>
      </c>
      <c r="I60" s="62" t="s">
        <v>123</v>
      </c>
      <c r="J60" s="62" t="s">
        <v>1008</v>
      </c>
      <c r="K60" s="64" t="s">
        <v>1009</v>
      </c>
      <c r="L60" s="35"/>
      <c r="M60" s="35"/>
      <c r="N60" s="35">
        <v>20.0</v>
      </c>
      <c r="O60" s="35"/>
      <c r="P60" s="37"/>
      <c r="Q60" s="37"/>
      <c r="R60" s="35" t="s">
        <v>970</v>
      </c>
      <c r="S60" s="35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</row>
    <row r="61">
      <c r="A61" s="1" t="s">
        <v>230</v>
      </c>
      <c r="B61" s="1" t="s">
        <v>231</v>
      </c>
      <c r="C61" s="1" t="s">
        <v>118</v>
      </c>
      <c r="D61" s="3" t="s">
        <v>188</v>
      </c>
      <c r="E61" s="3" t="s">
        <v>100</v>
      </c>
      <c r="F61" s="1" t="s">
        <v>1013</v>
      </c>
      <c r="G61" s="3"/>
      <c r="H61" s="3" t="s">
        <v>1014</v>
      </c>
      <c r="I61" s="3" t="s">
        <v>123</v>
      </c>
      <c r="J61" s="3" t="s">
        <v>753</v>
      </c>
      <c r="K61" s="11" t="s">
        <v>1015</v>
      </c>
      <c r="L61" s="1"/>
      <c r="M61" s="1"/>
      <c r="N61" s="1">
        <v>20.0</v>
      </c>
      <c r="O61" s="1"/>
      <c r="P61" s="1" t="s">
        <v>151</v>
      </c>
      <c r="Q61" s="1" t="s">
        <v>1019</v>
      </c>
      <c r="R61" s="1" t="b">
        <v>1</v>
      </c>
      <c r="S61" s="1" t="b">
        <v>1</v>
      </c>
      <c r="W61" s="17" t="b">
        <v>0</v>
      </c>
      <c r="X61" s="11" t="s">
        <v>1015</v>
      </c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</row>
    <row r="62">
      <c r="A62" s="1" t="s">
        <v>232</v>
      </c>
      <c r="B62" s="51" t="s">
        <v>233</v>
      </c>
      <c r="C62" s="1" t="s">
        <v>118</v>
      </c>
      <c r="D62" s="3" t="s">
        <v>188</v>
      </c>
      <c r="E62" s="3" t="s">
        <v>100</v>
      </c>
      <c r="F62" s="1" t="s">
        <v>1022</v>
      </c>
      <c r="G62" s="3"/>
      <c r="H62" s="3" t="s">
        <v>1023</v>
      </c>
      <c r="I62" s="3"/>
      <c r="J62" s="3" t="s">
        <v>1024</v>
      </c>
      <c r="K62" s="16" t="s">
        <v>1025</v>
      </c>
      <c r="L62" s="11" t="s">
        <v>1026</v>
      </c>
      <c r="M62" s="1"/>
      <c r="N62" s="1">
        <v>20.0</v>
      </c>
      <c r="O62" s="1"/>
      <c r="P62" s="1" t="s">
        <v>151</v>
      </c>
      <c r="Q62" s="1" t="s">
        <v>1028</v>
      </c>
      <c r="R62" s="1" t="b">
        <v>1</v>
      </c>
      <c r="S62" s="1" t="b">
        <v>1</v>
      </c>
      <c r="W62" s="17" t="b">
        <v>0</v>
      </c>
      <c r="X62" s="11" t="s">
        <v>1025</v>
      </c>
      <c r="AB62" s="69"/>
      <c r="AC62" s="69"/>
      <c r="AD62" s="69"/>
      <c r="AE62" s="69"/>
      <c r="AF62" s="69"/>
      <c r="AG62" s="69"/>
      <c r="AH62" s="69"/>
      <c r="AI62" s="69"/>
      <c r="AJ62" s="69"/>
      <c r="AK62" s="69"/>
      <c r="AL62" s="69"/>
      <c r="AM62" s="69"/>
      <c r="AN62" s="69"/>
      <c r="AO62" s="69"/>
      <c r="AP62" s="69"/>
      <c r="AQ62" s="69"/>
      <c r="AR62" s="69"/>
      <c r="AS62" s="69"/>
      <c r="AT62" s="69"/>
    </row>
    <row r="63">
      <c r="D63" s="70"/>
      <c r="E63" s="70"/>
      <c r="G63" s="70"/>
      <c r="H63" s="70"/>
      <c r="I63" s="70"/>
      <c r="J63" s="70"/>
    </row>
    <row r="64">
      <c r="D64" s="70"/>
      <c r="E64" s="70"/>
      <c r="G64" s="70"/>
      <c r="H64" s="70"/>
      <c r="I64" s="70"/>
      <c r="J64" s="70"/>
    </row>
    <row r="65">
      <c r="A65" s="1" t="s">
        <v>26</v>
      </c>
      <c r="B65" s="1"/>
      <c r="C65" s="1"/>
      <c r="D65" s="70"/>
      <c r="E65" s="70"/>
      <c r="F65" s="1"/>
      <c r="G65" s="70"/>
      <c r="H65" s="70"/>
      <c r="I65" s="70"/>
      <c r="J65" s="70"/>
      <c r="N65" s="17">
        <f>SUMIF(R2:R62, "TRUE", N2:N62)</f>
        <v>14758547</v>
      </c>
      <c r="R65" s="17">
        <f>COUNTIF(R2:R62, "TRUE")</f>
        <v>54</v>
      </c>
    </row>
    <row r="66">
      <c r="A66" s="1" t="s">
        <v>1033</v>
      </c>
      <c r="B66" s="1"/>
      <c r="C66" s="1"/>
      <c r="D66" s="70"/>
      <c r="E66" s="70"/>
      <c r="F66" s="1"/>
      <c r="G66" s="70"/>
      <c r="H66" s="70"/>
      <c r="I66" s="70"/>
      <c r="J66" s="70"/>
      <c r="N66" s="17">
        <f>SUMIF(V2:V62, "FALSE", N2:N62)</f>
        <v>5335249</v>
      </c>
      <c r="R66" s="17">
        <f>COUNTIF(V2:V62, "FALSE")</f>
        <v>5</v>
      </c>
    </row>
    <row r="67">
      <c r="A67" s="1" t="s">
        <v>1036</v>
      </c>
      <c r="B67" s="1"/>
      <c r="C67" s="1"/>
      <c r="D67" s="70"/>
      <c r="E67" s="70"/>
      <c r="F67" s="1"/>
      <c r="G67" s="70"/>
      <c r="H67" s="70"/>
      <c r="I67" s="70"/>
      <c r="J67" s="70"/>
      <c r="N67" s="17">
        <f>SUMIF(R2:R62, "unavailable", N2:N62)</f>
        <v>87</v>
      </c>
      <c r="R67" s="17">
        <f>COUNTIF(R2:R62, "unavailable")</f>
        <v>3</v>
      </c>
    </row>
    <row r="68">
      <c r="A68" s="1" t="s">
        <v>1038</v>
      </c>
      <c r="B68" s="1"/>
      <c r="C68" s="1"/>
      <c r="D68" s="70"/>
      <c r="E68" s="70"/>
      <c r="F68" s="1"/>
      <c r="G68" s="70"/>
      <c r="H68" s="70"/>
      <c r="I68" s="70"/>
      <c r="J68" s="70"/>
      <c r="N68" s="17">
        <f>N69 - SUM(N65:N67)</f>
        <v>1378822</v>
      </c>
      <c r="R68" s="17">
        <f>R69 - SUM(R65:R67)</f>
        <v>-1</v>
      </c>
    </row>
    <row r="69">
      <c r="A69" s="1" t="s">
        <v>1040</v>
      </c>
      <c r="B69" s="1"/>
      <c r="C69" s="1"/>
      <c r="D69" s="3" t="s">
        <v>1041</v>
      </c>
      <c r="E69" s="70"/>
      <c r="F69" s="1"/>
      <c r="G69" s="70"/>
      <c r="H69" s="70"/>
      <c r="I69" s="70"/>
      <c r="J69" s="70"/>
      <c r="N69" s="17">
        <f>SUM(N2:N62)</f>
        <v>21472705</v>
      </c>
      <c r="R69" s="17">
        <f>COUNTA(R2:R62)+COUNTBLANK(R2:R62)</f>
        <v>61</v>
      </c>
    </row>
    <row r="70">
      <c r="D70" s="70"/>
      <c r="E70" s="70"/>
      <c r="G70" s="70"/>
      <c r="H70" s="70"/>
      <c r="I70" s="70"/>
      <c r="J70" s="70"/>
    </row>
    <row r="71">
      <c r="D71" s="70"/>
      <c r="E71" s="70"/>
      <c r="G71" s="70"/>
      <c r="H71" s="70"/>
      <c r="I71" s="70"/>
      <c r="J71" s="70"/>
    </row>
    <row r="72">
      <c r="D72" s="70"/>
      <c r="E72" s="70"/>
      <c r="G72" s="70"/>
      <c r="H72" s="70"/>
      <c r="I72" s="70"/>
      <c r="J72" s="70"/>
    </row>
    <row r="73">
      <c r="A73" s="1" t="s">
        <v>1045</v>
      </c>
      <c r="B73" s="1"/>
      <c r="C73" s="1"/>
      <c r="D73" s="3" t="s">
        <v>1046</v>
      </c>
      <c r="E73" s="1"/>
      <c r="F73" s="1"/>
      <c r="G73" s="65"/>
      <c r="H73" s="65" t="s">
        <v>1047</v>
      </c>
      <c r="I73" s="3" t="s">
        <v>24</v>
      </c>
      <c r="J73" s="70"/>
    </row>
    <row r="74">
      <c r="A74" s="1"/>
      <c r="B74" s="1"/>
      <c r="C74" s="1"/>
      <c r="D74" s="3" t="s">
        <v>37</v>
      </c>
      <c r="E74" s="1"/>
      <c r="F74" s="1"/>
      <c r="G74" s="65"/>
      <c r="H74" s="65" t="s">
        <v>1048</v>
      </c>
      <c r="I74" s="3" t="s">
        <v>1049</v>
      </c>
      <c r="J74" s="70"/>
    </row>
    <row r="75">
      <c r="A75" s="1" t="s">
        <v>41</v>
      </c>
      <c r="B75" s="1"/>
      <c r="C75" s="1"/>
      <c r="D75" s="70"/>
      <c r="E75" s="70"/>
      <c r="F75" s="1"/>
      <c r="G75" s="3"/>
      <c r="H75" s="3" t="s">
        <v>1050</v>
      </c>
      <c r="I75" s="3" t="s">
        <v>1051</v>
      </c>
      <c r="J75" s="70"/>
    </row>
    <row r="76">
      <c r="A76" s="1"/>
      <c r="B76" s="1"/>
      <c r="C76" s="1"/>
      <c r="D76" s="70"/>
      <c r="E76" s="70"/>
      <c r="F76" s="1"/>
      <c r="G76" s="3"/>
      <c r="H76" s="3" t="s">
        <v>1054</v>
      </c>
      <c r="I76" s="3" t="s">
        <v>1055</v>
      </c>
      <c r="J76" s="70"/>
    </row>
    <row r="77">
      <c r="D77" s="70"/>
      <c r="E77" s="70"/>
      <c r="G77" s="3"/>
      <c r="H77" s="3" t="s">
        <v>1056</v>
      </c>
      <c r="I77" s="3" t="s">
        <v>1057</v>
      </c>
      <c r="J77" s="70"/>
    </row>
    <row r="78">
      <c r="D78" s="70"/>
      <c r="E78" s="70"/>
      <c r="G78" s="70"/>
      <c r="H78" s="70"/>
      <c r="I78" s="70"/>
      <c r="J78" s="70"/>
    </row>
    <row r="79">
      <c r="B79" s="1"/>
      <c r="C79" s="1"/>
      <c r="D79" s="70"/>
      <c r="E79" s="3"/>
      <c r="G79" s="70"/>
      <c r="H79" s="70"/>
      <c r="I79" s="3" t="s">
        <v>1058</v>
      </c>
      <c r="J79" s="3">
        <v>54.0</v>
      </c>
    </row>
    <row r="80">
      <c r="B80" s="1"/>
      <c r="C80" s="1"/>
      <c r="D80" s="3"/>
      <c r="E80" s="3"/>
      <c r="G80" s="70"/>
      <c r="H80" s="70"/>
      <c r="I80" s="3" t="s">
        <v>1061</v>
      </c>
      <c r="J80" s="3">
        <v>3.0</v>
      </c>
    </row>
    <row r="81">
      <c r="B81" s="1"/>
      <c r="C81" s="1"/>
      <c r="D81" s="3"/>
      <c r="E81" s="3"/>
      <c r="G81" s="70"/>
      <c r="H81" s="70"/>
      <c r="I81" s="3" t="s">
        <v>1062</v>
      </c>
      <c r="J81" s="3">
        <v>1.0</v>
      </c>
    </row>
    <row r="82">
      <c r="B82" s="1"/>
      <c r="C82" s="1"/>
      <c r="D82" s="3"/>
      <c r="E82" s="3"/>
      <c r="G82" s="70"/>
      <c r="H82" s="70"/>
      <c r="I82" s="3" t="s">
        <v>1063</v>
      </c>
      <c r="J82" s="3">
        <v>3.0</v>
      </c>
    </row>
    <row r="83">
      <c r="D83" s="70"/>
      <c r="E83" s="3" t="s">
        <v>1064</v>
      </c>
      <c r="F83" s="1" t="s">
        <v>1065</v>
      </c>
      <c r="G83" s="70"/>
      <c r="H83" s="70"/>
      <c r="I83" s="70"/>
      <c r="J83" s="3">
        <v>61.0</v>
      </c>
    </row>
    <row r="84">
      <c r="A84" s="1"/>
      <c r="B84" s="1"/>
      <c r="C84" s="1"/>
      <c r="D84" s="70"/>
      <c r="E84" s="3" t="s">
        <v>1068</v>
      </c>
      <c r="F84" s="1" t="s">
        <v>1069</v>
      </c>
      <c r="G84" s="70"/>
      <c r="H84" s="70"/>
      <c r="I84" s="70"/>
      <c r="J84" s="70"/>
    </row>
    <row r="85">
      <c r="D85" s="70"/>
      <c r="E85" s="3" t="s">
        <v>1070</v>
      </c>
      <c r="F85" s="1" t="s">
        <v>1071</v>
      </c>
      <c r="G85" s="70"/>
      <c r="H85" s="70"/>
      <c r="I85" s="3" t="s">
        <v>1072</v>
      </c>
      <c r="J85" s="70"/>
    </row>
    <row r="86">
      <c r="D86" s="70"/>
      <c r="E86" s="3" t="s">
        <v>1073</v>
      </c>
      <c r="F86" s="1" t="s">
        <v>1074</v>
      </c>
      <c r="G86" s="70"/>
      <c r="H86" s="70"/>
      <c r="I86" s="70"/>
      <c r="J86" s="70"/>
    </row>
    <row r="87">
      <c r="D87" s="70"/>
      <c r="E87" s="3" t="s">
        <v>413</v>
      </c>
      <c r="F87" s="1" t="s">
        <v>1075</v>
      </c>
      <c r="G87" s="70"/>
      <c r="H87" s="70"/>
      <c r="I87" s="70"/>
      <c r="J87" s="70"/>
    </row>
    <row r="88">
      <c r="D88" s="70"/>
      <c r="E88" s="3" t="s">
        <v>251</v>
      </c>
      <c r="F88" s="1" t="s">
        <v>1077</v>
      </c>
      <c r="G88" s="70"/>
      <c r="H88" s="70"/>
      <c r="I88" s="70"/>
      <c r="J88" s="70"/>
    </row>
    <row r="89">
      <c r="D89" s="70"/>
      <c r="E89" s="70"/>
      <c r="G89" s="70"/>
      <c r="H89" s="70"/>
      <c r="I89" s="70"/>
      <c r="J89" s="70"/>
    </row>
    <row r="90">
      <c r="D90" s="70"/>
      <c r="E90" s="70"/>
      <c r="G90" s="70"/>
      <c r="H90" s="70"/>
      <c r="I90" s="70"/>
      <c r="J90" s="70"/>
    </row>
    <row r="91">
      <c r="D91" s="70"/>
      <c r="E91" s="70"/>
      <c r="G91" s="70"/>
      <c r="H91" s="70"/>
      <c r="I91" s="70"/>
      <c r="J91" s="70"/>
    </row>
    <row r="92">
      <c r="D92" s="70"/>
      <c r="E92" s="70"/>
      <c r="G92" s="70"/>
      <c r="H92" s="70"/>
      <c r="I92" s="70"/>
      <c r="J92" s="70"/>
    </row>
    <row r="93">
      <c r="D93" s="70"/>
      <c r="E93" s="70"/>
      <c r="G93" s="70"/>
      <c r="H93" s="70"/>
      <c r="I93" s="70"/>
      <c r="J93" s="70"/>
    </row>
    <row r="94">
      <c r="D94" s="70"/>
      <c r="E94" s="70"/>
      <c r="G94" s="70"/>
      <c r="H94" s="70"/>
      <c r="I94" s="70"/>
      <c r="J94" s="70"/>
    </row>
    <row r="95">
      <c r="D95" s="70"/>
      <c r="E95" s="70"/>
      <c r="G95" s="70"/>
      <c r="H95" s="70"/>
      <c r="I95" s="70"/>
      <c r="J95" s="70"/>
    </row>
    <row r="96">
      <c r="D96" s="70"/>
      <c r="E96" s="70"/>
      <c r="G96" s="70"/>
      <c r="H96" s="70"/>
      <c r="I96" s="70"/>
      <c r="J96" s="70"/>
    </row>
    <row r="97">
      <c r="D97" s="70"/>
      <c r="E97" s="70"/>
      <c r="G97" s="70"/>
      <c r="H97" s="70"/>
      <c r="I97" s="70"/>
      <c r="J97" s="70"/>
    </row>
    <row r="98">
      <c r="D98" s="70"/>
      <c r="E98" s="70"/>
      <c r="G98" s="70"/>
      <c r="H98" s="70"/>
      <c r="I98" s="70"/>
      <c r="J98" s="70"/>
    </row>
    <row r="99">
      <c r="D99" s="70"/>
      <c r="E99" s="70"/>
      <c r="G99" s="70"/>
      <c r="H99" s="70"/>
      <c r="I99" s="70"/>
      <c r="J99" s="70"/>
    </row>
    <row r="100">
      <c r="D100" s="70"/>
      <c r="E100" s="70"/>
      <c r="G100" s="70"/>
      <c r="H100" s="70"/>
      <c r="I100" s="70"/>
      <c r="J100" s="70"/>
    </row>
    <row r="101">
      <c r="D101" s="70"/>
      <c r="E101" s="70"/>
      <c r="G101" s="70"/>
      <c r="H101" s="70"/>
      <c r="I101" s="70"/>
      <c r="J101" s="70"/>
    </row>
    <row r="102">
      <c r="D102" s="70"/>
      <c r="E102" s="70"/>
      <c r="G102" s="70"/>
      <c r="H102" s="70"/>
      <c r="I102" s="70"/>
      <c r="J102" s="70"/>
    </row>
    <row r="103">
      <c r="D103" s="70"/>
      <c r="E103" s="70"/>
      <c r="G103" s="70"/>
      <c r="H103" s="70"/>
      <c r="I103" s="70"/>
      <c r="J103" s="70"/>
    </row>
    <row r="104">
      <c r="D104" s="70"/>
      <c r="E104" s="70"/>
      <c r="G104" s="70"/>
      <c r="H104" s="70"/>
      <c r="I104" s="70"/>
      <c r="J104" s="70"/>
    </row>
    <row r="105">
      <c r="D105" s="70"/>
      <c r="E105" s="70"/>
      <c r="G105" s="70"/>
      <c r="H105" s="70"/>
      <c r="I105" s="70"/>
      <c r="J105" s="70"/>
    </row>
    <row r="106">
      <c r="D106" s="70"/>
      <c r="E106" s="70"/>
      <c r="G106" s="70"/>
      <c r="H106" s="70"/>
      <c r="I106" s="70"/>
      <c r="J106" s="70"/>
    </row>
    <row r="107">
      <c r="D107" s="70"/>
      <c r="E107" s="70"/>
      <c r="G107" s="70"/>
      <c r="H107" s="70"/>
      <c r="I107" s="70"/>
      <c r="J107" s="70"/>
    </row>
    <row r="108">
      <c r="D108" s="70"/>
      <c r="E108" s="70"/>
      <c r="G108" s="70"/>
      <c r="H108" s="70"/>
      <c r="I108" s="70"/>
      <c r="J108" s="70"/>
    </row>
    <row r="109">
      <c r="D109" s="70"/>
      <c r="E109" s="70"/>
      <c r="G109" s="70"/>
      <c r="H109" s="70"/>
      <c r="I109" s="70"/>
      <c r="J109" s="70"/>
    </row>
    <row r="110">
      <c r="D110" s="70"/>
      <c r="E110" s="70"/>
      <c r="G110" s="70"/>
      <c r="H110" s="70"/>
      <c r="I110" s="70"/>
      <c r="J110" s="70"/>
    </row>
    <row r="111">
      <c r="D111" s="70"/>
      <c r="E111" s="70"/>
      <c r="G111" s="70"/>
      <c r="H111" s="70"/>
      <c r="I111" s="70"/>
      <c r="J111" s="70"/>
    </row>
    <row r="112">
      <c r="D112" s="70"/>
      <c r="E112" s="70"/>
      <c r="G112" s="70"/>
      <c r="H112" s="70"/>
      <c r="I112" s="70"/>
      <c r="J112" s="70"/>
    </row>
    <row r="113">
      <c r="D113" s="70"/>
      <c r="E113" s="70"/>
      <c r="G113" s="70"/>
      <c r="H113" s="70"/>
      <c r="I113" s="70"/>
      <c r="J113" s="70"/>
    </row>
    <row r="114">
      <c r="D114" s="70"/>
      <c r="E114" s="70"/>
      <c r="G114" s="70"/>
      <c r="H114" s="70"/>
      <c r="I114" s="70"/>
      <c r="J114" s="70"/>
    </row>
    <row r="115">
      <c r="D115" s="70"/>
      <c r="E115" s="70"/>
      <c r="G115" s="70"/>
      <c r="H115" s="70"/>
      <c r="I115" s="70"/>
      <c r="J115" s="70"/>
    </row>
    <row r="116">
      <c r="D116" s="70"/>
      <c r="E116" s="70"/>
      <c r="G116" s="70"/>
      <c r="H116" s="70"/>
      <c r="I116" s="70"/>
      <c r="J116" s="70"/>
    </row>
    <row r="117">
      <c r="D117" s="70"/>
      <c r="E117" s="70"/>
      <c r="G117" s="70"/>
      <c r="H117" s="70"/>
      <c r="I117" s="70"/>
      <c r="J117" s="70"/>
    </row>
    <row r="118">
      <c r="D118" s="70"/>
      <c r="E118" s="70"/>
      <c r="G118" s="70"/>
      <c r="H118" s="70"/>
      <c r="I118" s="70"/>
      <c r="J118" s="70"/>
    </row>
    <row r="119">
      <c r="D119" s="70"/>
      <c r="E119" s="70"/>
      <c r="G119" s="70"/>
      <c r="H119" s="70"/>
      <c r="I119" s="70"/>
      <c r="J119" s="70"/>
    </row>
    <row r="120">
      <c r="D120" s="70"/>
      <c r="E120" s="70"/>
      <c r="G120" s="70"/>
      <c r="H120" s="70"/>
      <c r="I120" s="70"/>
      <c r="J120" s="70"/>
    </row>
    <row r="121">
      <c r="D121" s="70"/>
      <c r="E121" s="70"/>
      <c r="G121" s="70"/>
      <c r="H121" s="70"/>
      <c r="I121" s="70"/>
      <c r="J121" s="70"/>
    </row>
    <row r="122">
      <c r="D122" s="70"/>
      <c r="E122" s="70"/>
      <c r="G122" s="70"/>
      <c r="H122" s="70"/>
      <c r="I122" s="70"/>
      <c r="J122" s="70"/>
    </row>
    <row r="123">
      <c r="D123" s="70"/>
      <c r="E123" s="70"/>
      <c r="G123" s="70"/>
      <c r="H123" s="70"/>
      <c r="I123" s="70"/>
      <c r="J123" s="70"/>
    </row>
    <row r="124">
      <c r="D124" s="70"/>
      <c r="E124" s="70"/>
      <c r="G124" s="70"/>
      <c r="H124" s="70"/>
      <c r="I124" s="70"/>
      <c r="J124" s="70"/>
    </row>
    <row r="125">
      <c r="D125" s="70"/>
      <c r="E125" s="70"/>
      <c r="G125" s="70"/>
      <c r="H125" s="70"/>
      <c r="I125" s="70"/>
      <c r="J125" s="70"/>
    </row>
    <row r="126">
      <c r="D126" s="70"/>
      <c r="E126" s="70"/>
      <c r="G126" s="70"/>
      <c r="H126" s="70"/>
      <c r="I126" s="70"/>
      <c r="J126" s="70"/>
    </row>
    <row r="127">
      <c r="D127" s="70"/>
      <c r="E127" s="70"/>
      <c r="G127" s="70"/>
      <c r="H127" s="70"/>
      <c r="I127" s="70"/>
      <c r="J127" s="70"/>
    </row>
    <row r="128">
      <c r="D128" s="70"/>
      <c r="E128" s="70"/>
      <c r="G128" s="70"/>
      <c r="H128" s="70"/>
      <c r="I128" s="70"/>
      <c r="J128" s="70"/>
    </row>
    <row r="129">
      <c r="D129" s="70"/>
      <c r="E129" s="70"/>
      <c r="G129" s="70"/>
      <c r="H129" s="70"/>
      <c r="I129" s="70"/>
      <c r="J129" s="70"/>
    </row>
    <row r="130">
      <c r="D130" s="70"/>
      <c r="E130" s="70"/>
      <c r="G130" s="70"/>
      <c r="H130" s="70"/>
      <c r="I130" s="70"/>
      <c r="J130" s="70"/>
    </row>
    <row r="131">
      <c r="D131" s="70"/>
      <c r="E131" s="70"/>
      <c r="G131" s="70"/>
      <c r="H131" s="70"/>
      <c r="I131" s="70"/>
      <c r="J131" s="70"/>
    </row>
    <row r="132">
      <c r="D132" s="70"/>
      <c r="E132" s="70"/>
      <c r="G132" s="70"/>
      <c r="H132" s="70"/>
      <c r="I132" s="70"/>
      <c r="J132" s="70"/>
    </row>
    <row r="133">
      <c r="D133" s="70"/>
      <c r="E133" s="70"/>
      <c r="G133" s="70"/>
      <c r="H133" s="70"/>
      <c r="I133" s="70"/>
      <c r="J133" s="70"/>
    </row>
    <row r="134">
      <c r="D134" s="70"/>
      <c r="E134" s="70"/>
      <c r="G134" s="70"/>
      <c r="H134" s="70"/>
      <c r="I134" s="70"/>
      <c r="J134" s="70"/>
    </row>
    <row r="135">
      <c r="D135" s="70"/>
      <c r="E135" s="70"/>
      <c r="G135" s="70"/>
      <c r="H135" s="70"/>
      <c r="I135" s="70"/>
      <c r="J135" s="70"/>
    </row>
    <row r="136">
      <c r="D136" s="70"/>
      <c r="E136" s="70"/>
      <c r="G136" s="70"/>
      <c r="H136" s="70"/>
      <c r="I136" s="70"/>
      <c r="J136" s="70"/>
    </row>
    <row r="137">
      <c r="D137" s="70"/>
      <c r="E137" s="70"/>
      <c r="G137" s="70"/>
      <c r="H137" s="70"/>
      <c r="I137" s="70"/>
      <c r="J137" s="70"/>
    </row>
    <row r="138">
      <c r="D138" s="70"/>
      <c r="E138" s="70"/>
      <c r="G138" s="70"/>
      <c r="H138" s="70"/>
      <c r="I138" s="70"/>
      <c r="J138" s="70"/>
    </row>
    <row r="139">
      <c r="D139" s="70"/>
      <c r="E139" s="70"/>
      <c r="G139" s="70"/>
      <c r="H139" s="70"/>
      <c r="I139" s="70"/>
      <c r="J139" s="70"/>
    </row>
    <row r="140">
      <c r="D140" s="70"/>
      <c r="E140" s="70"/>
      <c r="G140" s="70"/>
      <c r="H140" s="70"/>
      <c r="I140" s="70"/>
      <c r="J140" s="70"/>
    </row>
    <row r="141">
      <c r="D141" s="70"/>
      <c r="E141" s="70"/>
      <c r="G141" s="70"/>
      <c r="H141" s="70"/>
      <c r="I141" s="70"/>
      <c r="J141" s="70"/>
    </row>
    <row r="142">
      <c r="D142" s="70"/>
      <c r="E142" s="70"/>
      <c r="G142" s="70"/>
      <c r="H142" s="70"/>
      <c r="I142" s="70"/>
      <c r="J142" s="70"/>
    </row>
    <row r="143">
      <c r="D143" s="70"/>
      <c r="E143" s="70"/>
      <c r="G143" s="70"/>
      <c r="H143" s="70"/>
      <c r="I143" s="70"/>
      <c r="J143" s="70"/>
    </row>
    <row r="144">
      <c r="D144" s="70"/>
      <c r="E144" s="70"/>
      <c r="G144" s="70"/>
      <c r="H144" s="70"/>
      <c r="I144" s="70"/>
      <c r="J144" s="70"/>
    </row>
    <row r="145">
      <c r="D145" s="70"/>
      <c r="E145" s="70"/>
      <c r="G145" s="70"/>
      <c r="H145" s="70"/>
      <c r="I145" s="70"/>
      <c r="J145" s="70"/>
    </row>
    <row r="146">
      <c r="D146" s="70"/>
      <c r="E146" s="70"/>
      <c r="G146" s="70"/>
      <c r="H146" s="70"/>
      <c r="I146" s="70"/>
      <c r="J146" s="70"/>
    </row>
    <row r="147">
      <c r="D147" s="70"/>
      <c r="E147" s="70"/>
      <c r="G147" s="70"/>
      <c r="H147" s="70"/>
      <c r="I147" s="70"/>
      <c r="J147" s="70"/>
    </row>
    <row r="148">
      <c r="D148" s="70"/>
      <c r="E148" s="70"/>
      <c r="G148" s="70"/>
      <c r="H148" s="70"/>
      <c r="I148" s="70"/>
      <c r="J148" s="70"/>
    </row>
    <row r="149">
      <c r="D149" s="70"/>
      <c r="E149" s="70"/>
      <c r="G149" s="70"/>
      <c r="H149" s="70"/>
      <c r="I149" s="70"/>
      <c r="J149" s="70"/>
    </row>
    <row r="150">
      <c r="D150" s="70"/>
      <c r="E150" s="70"/>
      <c r="G150" s="70"/>
      <c r="H150" s="70"/>
      <c r="I150" s="70"/>
      <c r="J150" s="70"/>
    </row>
    <row r="151">
      <c r="D151" s="70"/>
      <c r="E151" s="70"/>
      <c r="G151" s="70"/>
      <c r="H151" s="70"/>
      <c r="I151" s="70"/>
      <c r="J151" s="70"/>
    </row>
    <row r="152">
      <c r="D152" s="70"/>
      <c r="E152" s="70"/>
      <c r="G152" s="70"/>
      <c r="H152" s="70"/>
      <c r="I152" s="70"/>
      <c r="J152" s="70"/>
    </row>
    <row r="153">
      <c r="D153" s="70"/>
      <c r="E153" s="70"/>
      <c r="G153" s="70"/>
      <c r="H153" s="70"/>
      <c r="I153" s="70"/>
      <c r="J153" s="70"/>
    </row>
    <row r="154">
      <c r="D154" s="70"/>
      <c r="E154" s="70"/>
      <c r="G154" s="70"/>
      <c r="H154" s="70"/>
      <c r="I154" s="70"/>
      <c r="J154" s="70"/>
    </row>
    <row r="155">
      <c r="D155" s="70"/>
      <c r="E155" s="70"/>
      <c r="G155" s="70"/>
      <c r="H155" s="70"/>
      <c r="I155" s="70"/>
      <c r="J155" s="70"/>
    </row>
    <row r="156">
      <c r="D156" s="70"/>
      <c r="E156" s="70"/>
      <c r="G156" s="70"/>
      <c r="H156" s="70"/>
      <c r="I156" s="70"/>
      <c r="J156" s="70"/>
    </row>
    <row r="157">
      <c r="D157" s="70"/>
      <c r="E157" s="70"/>
      <c r="G157" s="70"/>
      <c r="H157" s="70"/>
      <c r="I157" s="70"/>
      <c r="J157" s="70"/>
    </row>
    <row r="158">
      <c r="D158" s="70"/>
      <c r="E158" s="70"/>
      <c r="G158" s="70"/>
      <c r="H158" s="70"/>
      <c r="I158" s="70"/>
      <c r="J158" s="70"/>
    </row>
    <row r="159">
      <c r="D159" s="70"/>
      <c r="E159" s="70"/>
      <c r="G159" s="70"/>
      <c r="H159" s="70"/>
      <c r="I159" s="70"/>
      <c r="J159" s="70"/>
    </row>
    <row r="160">
      <c r="D160" s="70"/>
      <c r="E160" s="70"/>
      <c r="G160" s="70"/>
      <c r="H160" s="70"/>
      <c r="I160" s="70"/>
      <c r="J160" s="70"/>
    </row>
    <row r="161">
      <c r="D161" s="70"/>
      <c r="E161" s="70"/>
      <c r="G161" s="70"/>
      <c r="H161" s="70"/>
      <c r="I161" s="70"/>
      <c r="J161" s="70"/>
    </row>
    <row r="162">
      <c r="D162" s="70"/>
      <c r="E162" s="70"/>
      <c r="G162" s="70"/>
      <c r="H162" s="70"/>
      <c r="I162" s="70"/>
      <c r="J162" s="70"/>
    </row>
    <row r="163">
      <c r="D163" s="70"/>
      <c r="E163" s="70"/>
      <c r="G163" s="70"/>
      <c r="H163" s="70"/>
      <c r="I163" s="70"/>
      <c r="J163" s="70"/>
    </row>
    <row r="164">
      <c r="D164" s="70"/>
      <c r="E164" s="70"/>
      <c r="G164" s="70"/>
      <c r="H164" s="70"/>
      <c r="I164" s="70"/>
      <c r="J164" s="70"/>
    </row>
    <row r="165">
      <c r="D165" s="70"/>
      <c r="E165" s="70"/>
      <c r="G165" s="70"/>
      <c r="H165" s="70"/>
      <c r="I165" s="70"/>
      <c r="J165" s="70"/>
    </row>
    <row r="166">
      <c r="D166" s="70"/>
      <c r="E166" s="70"/>
      <c r="G166" s="70"/>
      <c r="H166" s="70"/>
      <c r="I166" s="70"/>
      <c r="J166" s="70"/>
    </row>
    <row r="167">
      <c r="D167" s="70"/>
      <c r="E167" s="70"/>
      <c r="G167" s="70"/>
      <c r="H167" s="70"/>
      <c r="I167" s="70"/>
      <c r="J167" s="70"/>
    </row>
    <row r="168">
      <c r="D168" s="70"/>
      <c r="E168" s="70"/>
      <c r="G168" s="70"/>
      <c r="H168" s="70"/>
      <c r="I168" s="70"/>
      <c r="J168" s="70"/>
    </row>
    <row r="169">
      <c r="D169" s="70"/>
      <c r="E169" s="70"/>
      <c r="G169" s="70"/>
      <c r="H169" s="70"/>
      <c r="I169" s="70"/>
      <c r="J169" s="70"/>
    </row>
    <row r="170">
      <c r="D170" s="70"/>
      <c r="E170" s="70"/>
      <c r="G170" s="70"/>
      <c r="H170" s="70"/>
      <c r="I170" s="70"/>
      <c r="J170" s="70"/>
    </row>
    <row r="171">
      <c r="D171" s="70"/>
      <c r="E171" s="70"/>
      <c r="G171" s="70"/>
      <c r="H171" s="70"/>
      <c r="I171" s="70"/>
      <c r="J171" s="70"/>
    </row>
    <row r="172">
      <c r="D172" s="70"/>
      <c r="E172" s="70"/>
      <c r="G172" s="70"/>
      <c r="H172" s="70"/>
      <c r="I172" s="70"/>
      <c r="J172" s="70"/>
    </row>
    <row r="173">
      <c r="D173" s="70"/>
      <c r="E173" s="70"/>
      <c r="G173" s="70"/>
      <c r="H173" s="70"/>
      <c r="I173" s="70"/>
      <c r="J173" s="70"/>
    </row>
    <row r="174">
      <c r="D174" s="70"/>
      <c r="E174" s="70"/>
      <c r="G174" s="70"/>
      <c r="H174" s="70"/>
      <c r="I174" s="70"/>
      <c r="J174" s="70"/>
    </row>
    <row r="175">
      <c r="D175" s="70"/>
      <c r="E175" s="70"/>
      <c r="G175" s="70"/>
      <c r="H175" s="70"/>
      <c r="I175" s="70"/>
      <c r="J175" s="70"/>
    </row>
    <row r="176">
      <c r="D176" s="70"/>
      <c r="E176" s="70"/>
      <c r="G176" s="70"/>
      <c r="H176" s="70"/>
      <c r="I176" s="70"/>
      <c r="J176" s="70"/>
    </row>
    <row r="177">
      <c r="D177" s="70"/>
      <c r="E177" s="70"/>
      <c r="G177" s="70"/>
      <c r="H177" s="70"/>
      <c r="I177" s="70"/>
      <c r="J177" s="70"/>
    </row>
    <row r="178">
      <c r="D178" s="70"/>
      <c r="E178" s="70"/>
      <c r="G178" s="70"/>
      <c r="H178" s="70"/>
      <c r="I178" s="70"/>
      <c r="J178" s="70"/>
    </row>
    <row r="179">
      <c r="D179" s="70"/>
      <c r="E179" s="70"/>
      <c r="G179" s="70"/>
      <c r="H179" s="70"/>
      <c r="I179" s="70"/>
      <c r="J179" s="70"/>
    </row>
    <row r="180">
      <c r="D180" s="70"/>
      <c r="E180" s="70"/>
      <c r="G180" s="70"/>
      <c r="H180" s="70"/>
      <c r="I180" s="70"/>
      <c r="J180" s="70"/>
    </row>
    <row r="181">
      <c r="D181" s="70"/>
      <c r="E181" s="70"/>
      <c r="G181" s="70"/>
      <c r="H181" s="70"/>
      <c r="I181" s="70"/>
      <c r="J181" s="70"/>
    </row>
    <row r="182">
      <c r="D182" s="70"/>
      <c r="E182" s="70"/>
      <c r="G182" s="70"/>
      <c r="H182" s="70"/>
      <c r="I182" s="70"/>
      <c r="J182" s="70"/>
    </row>
    <row r="183">
      <c r="D183" s="70"/>
      <c r="E183" s="70"/>
      <c r="G183" s="70"/>
      <c r="H183" s="70"/>
      <c r="I183" s="70"/>
      <c r="J183" s="70"/>
    </row>
    <row r="184">
      <c r="D184" s="70"/>
      <c r="E184" s="70"/>
      <c r="G184" s="70"/>
      <c r="H184" s="70"/>
      <c r="I184" s="70"/>
      <c r="J184" s="70"/>
    </row>
    <row r="185">
      <c r="D185" s="70"/>
      <c r="E185" s="70"/>
      <c r="G185" s="70"/>
      <c r="H185" s="70"/>
      <c r="I185" s="70"/>
      <c r="J185" s="70"/>
    </row>
    <row r="186">
      <c r="D186" s="70"/>
      <c r="E186" s="70"/>
      <c r="G186" s="70"/>
      <c r="H186" s="70"/>
      <c r="I186" s="70"/>
      <c r="J186" s="70"/>
    </row>
    <row r="187">
      <c r="D187" s="70"/>
      <c r="E187" s="70"/>
      <c r="G187" s="70"/>
      <c r="H187" s="70"/>
      <c r="I187" s="70"/>
      <c r="J187" s="70"/>
    </row>
    <row r="188">
      <c r="D188" s="70"/>
      <c r="E188" s="70"/>
      <c r="G188" s="70"/>
      <c r="H188" s="70"/>
      <c r="I188" s="70"/>
      <c r="J188" s="70"/>
    </row>
    <row r="189">
      <c r="D189" s="70"/>
      <c r="E189" s="70"/>
      <c r="G189" s="70"/>
      <c r="H189" s="70"/>
      <c r="I189" s="70"/>
      <c r="J189" s="70"/>
    </row>
    <row r="190">
      <c r="D190" s="70"/>
      <c r="E190" s="70"/>
      <c r="G190" s="70"/>
      <c r="H190" s="70"/>
      <c r="I190" s="70"/>
      <c r="J190" s="70"/>
    </row>
    <row r="191">
      <c r="D191" s="70"/>
      <c r="E191" s="70"/>
      <c r="G191" s="70"/>
      <c r="H191" s="70"/>
      <c r="I191" s="70"/>
      <c r="J191" s="70"/>
    </row>
    <row r="192">
      <c r="D192" s="70"/>
      <c r="E192" s="70"/>
      <c r="G192" s="70"/>
      <c r="H192" s="70"/>
      <c r="I192" s="70"/>
      <c r="J192" s="70"/>
    </row>
    <row r="193">
      <c r="D193" s="70"/>
      <c r="E193" s="70"/>
      <c r="G193" s="70"/>
      <c r="H193" s="70"/>
      <c r="I193" s="70"/>
      <c r="J193" s="70"/>
    </row>
    <row r="194">
      <c r="D194" s="70"/>
      <c r="E194" s="70"/>
      <c r="G194" s="70"/>
      <c r="H194" s="70"/>
      <c r="I194" s="70"/>
      <c r="J194" s="70"/>
    </row>
    <row r="195">
      <c r="D195" s="70"/>
      <c r="E195" s="70"/>
      <c r="G195" s="70"/>
      <c r="H195" s="70"/>
      <c r="I195" s="70"/>
      <c r="J195" s="70"/>
    </row>
    <row r="196">
      <c r="D196" s="70"/>
      <c r="E196" s="70"/>
      <c r="G196" s="70"/>
      <c r="H196" s="70"/>
      <c r="I196" s="70"/>
      <c r="J196" s="70"/>
    </row>
    <row r="197">
      <c r="D197" s="70"/>
      <c r="E197" s="70"/>
      <c r="G197" s="70"/>
      <c r="H197" s="70"/>
      <c r="I197" s="70"/>
      <c r="J197" s="70"/>
    </row>
    <row r="198">
      <c r="D198" s="70"/>
      <c r="E198" s="70"/>
      <c r="G198" s="70"/>
      <c r="H198" s="70"/>
      <c r="I198" s="70"/>
      <c r="J198" s="70"/>
    </row>
    <row r="199">
      <c r="D199" s="70"/>
      <c r="E199" s="70"/>
      <c r="G199" s="70"/>
      <c r="H199" s="70"/>
      <c r="I199" s="70"/>
      <c r="J199" s="70"/>
    </row>
    <row r="200">
      <c r="D200" s="70"/>
      <c r="E200" s="70"/>
      <c r="G200" s="70"/>
      <c r="H200" s="70"/>
      <c r="I200" s="70"/>
      <c r="J200" s="70"/>
    </row>
    <row r="201">
      <c r="D201" s="70"/>
      <c r="E201" s="70"/>
      <c r="G201" s="70"/>
      <c r="H201" s="70"/>
      <c r="I201" s="70"/>
      <c r="J201" s="70"/>
    </row>
    <row r="202">
      <c r="D202" s="70"/>
      <c r="E202" s="70"/>
      <c r="G202" s="70"/>
      <c r="H202" s="70"/>
      <c r="I202" s="70"/>
      <c r="J202" s="70"/>
    </row>
    <row r="203">
      <c r="D203" s="70"/>
      <c r="E203" s="70"/>
      <c r="G203" s="70"/>
      <c r="H203" s="70"/>
      <c r="I203" s="70"/>
      <c r="J203" s="70"/>
    </row>
    <row r="204">
      <c r="D204" s="70"/>
      <c r="E204" s="70"/>
      <c r="G204" s="70"/>
      <c r="H204" s="70"/>
      <c r="I204" s="70"/>
      <c r="J204" s="70"/>
    </row>
    <row r="205">
      <c r="D205" s="70"/>
      <c r="E205" s="70"/>
      <c r="G205" s="70"/>
      <c r="H205" s="70"/>
      <c r="I205" s="70"/>
      <c r="J205" s="70"/>
    </row>
    <row r="206">
      <c r="D206" s="70"/>
      <c r="E206" s="70"/>
      <c r="G206" s="70"/>
      <c r="H206" s="70"/>
      <c r="I206" s="70"/>
      <c r="J206" s="70"/>
    </row>
    <row r="207">
      <c r="D207" s="70"/>
      <c r="E207" s="70"/>
      <c r="G207" s="70"/>
      <c r="H207" s="70"/>
      <c r="I207" s="70"/>
      <c r="J207" s="70"/>
    </row>
    <row r="208">
      <c r="D208" s="70"/>
      <c r="E208" s="70"/>
      <c r="G208" s="70"/>
      <c r="H208" s="70"/>
      <c r="I208" s="70"/>
      <c r="J208" s="70"/>
    </row>
    <row r="209">
      <c r="D209" s="70"/>
      <c r="E209" s="70"/>
      <c r="G209" s="70"/>
      <c r="H209" s="70"/>
      <c r="I209" s="70"/>
      <c r="J209" s="70"/>
    </row>
    <row r="210">
      <c r="D210" s="70"/>
      <c r="E210" s="70"/>
      <c r="G210" s="70"/>
      <c r="H210" s="70"/>
      <c r="I210" s="70"/>
      <c r="J210" s="70"/>
    </row>
    <row r="211">
      <c r="D211" s="70"/>
      <c r="E211" s="70"/>
      <c r="G211" s="70"/>
      <c r="H211" s="70"/>
      <c r="I211" s="70"/>
      <c r="J211" s="70"/>
    </row>
    <row r="212">
      <c r="D212" s="70"/>
      <c r="E212" s="70"/>
      <c r="G212" s="70"/>
      <c r="H212" s="70"/>
      <c r="I212" s="70"/>
      <c r="J212" s="70"/>
    </row>
    <row r="213">
      <c r="D213" s="70"/>
      <c r="E213" s="70"/>
      <c r="G213" s="70"/>
      <c r="H213" s="70"/>
      <c r="I213" s="70"/>
      <c r="J213" s="70"/>
    </row>
    <row r="214">
      <c r="D214" s="70"/>
      <c r="E214" s="70"/>
      <c r="G214" s="70"/>
      <c r="H214" s="70"/>
      <c r="I214" s="70"/>
      <c r="J214" s="70"/>
    </row>
    <row r="215">
      <c r="D215" s="70"/>
      <c r="E215" s="70"/>
      <c r="G215" s="70"/>
      <c r="H215" s="70"/>
      <c r="I215" s="70"/>
      <c r="J215" s="70"/>
    </row>
    <row r="216">
      <c r="D216" s="70"/>
      <c r="E216" s="70"/>
      <c r="G216" s="70"/>
      <c r="H216" s="70"/>
      <c r="I216" s="70"/>
      <c r="J216" s="70"/>
    </row>
    <row r="217">
      <c r="D217" s="70"/>
      <c r="E217" s="70"/>
      <c r="G217" s="70"/>
      <c r="H217" s="70"/>
      <c r="I217" s="70"/>
      <c r="J217" s="70"/>
    </row>
    <row r="218">
      <c r="D218" s="70"/>
      <c r="E218" s="70"/>
      <c r="G218" s="70"/>
      <c r="H218" s="70"/>
      <c r="I218" s="70"/>
      <c r="J218" s="70"/>
    </row>
    <row r="219">
      <c r="D219" s="70"/>
      <c r="E219" s="70"/>
      <c r="G219" s="70"/>
      <c r="H219" s="70"/>
      <c r="I219" s="70"/>
      <c r="J219" s="70"/>
    </row>
    <row r="220">
      <c r="D220" s="70"/>
      <c r="E220" s="70"/>
      <c r="G220" s="70"/>
      <c r="H220" s="70"/>
      <c r="I220" s="70"/>
      <c r="J220" s="70"/>
    </row>
    <row r="221">
      <c r="D221" s="70"/>
      <c r="E221" s="70"/>
      <c r="G221" s="70"/>
      <c r="H221" s="70"/>
      <c r="I221" s="70"/>
      <c r="J221" s="70"/>
    </row>
    <row r="222">
      <c r="D222" s="70"/>
      <c r="E222" s="70"/>
      <c r="G222" s="70"/>
      <c r="H222" s="70"/>
      <c r="I222" s="70"/>
      <c r="J222" s="70"/>
    </row>
    <row r="223">
      <c r="D223" s="70"/>
      <c r="E223" s="70"/>
      <c r="G223" s="70"/>
      <c r="H223" s="70"/>
      <c r="I223" s="70"/>
      <c r="J223" s="70"/>
    </row>
    <row r="224">
      <c r="D224" s="70"/>
      <c r="E224" s="70"/>
      <c r="G224" s="70"/>
      <c r="H224" s="70"/>
      <c r="I224" s="70"/>
      <c r="J224" s="70"/>
    </row>
    <row r="225">
      <c r="D225" s="70"/>
      <c r="E225" s="70"/>
      <c r="G225" s="70"/>
      <c r="H225" s="70"/>
      <c r="I225" s="70"/>
      <c r="J225" s="70"/>
    </row>
    <row r="226">
      <c r="D226" s="70"/>
      <c r="E226" s="70"/>
      <c r="G226" s="70"/>
      <c r="H226" s="70"/>
      <c r="I226" s="70"/>
      <c r="J226" s="70"/>
    </row>
    <row r="227">
      <c r="D227" s="70"/>
      <c r="E227" s="70"/>
      <c r="G227" s="70"/>
      <c r="H227" s="70"/>
      <c r="I227" s="70"/>
      <c r="J227" s="70"/>
    </row>
    <row r="228">
      <c r="D228" s="70"/>
      <c r="E228" s="70"/>
      <c r="G228" s="70"/>
      <c r="H228" s="70"/>
      <c r="I228" s="70"/>
      <c r="J228" s="70"/>
    </row>
    <row r="229">
      <c r="D229" s="70"/>
      <c r="E229" s="70"/>
      <c r="G229" s="70"/>
      <c r="H229" s="70"/>
      <c r="I229" s="70"/>
      <c r="J229" s="70"/>
    </row>
    <row r="230">
      <c r="D230" s="70"/>
      <c r="E230" s="70"/>
      <c r="G230" s="70"/>
      <c r="H230" s="70"/>
      <c r="I230" s="70"/>
      <c r="J230" s="70"/>
    </row>
    <row r="231">
      <c r="D231" s="70"/>
      <c r="E231" s="70"/>
      <c r="G231" s="70"/>
      <c r="H231" s="70"/>
      <c r="I231" s="70"/>
      <c r="J231" s="70"/>
    </row>
    <row r="232">
      <c r="D232" s="70"/>
      <c r="E232" s="70"/>
      <c r="G232" s="70"/>
      <c r="H232" s="70"/>
      <c r="I232" s="70"/>
      <c r="J232" s="70"/>
    </row>
    <row r="233">
      <c r="D233" s="70"/>
      <c r="E233" s="70"/>
      <c r="G233" s="70"/>
      <c r="H233" s="70"/>
      <c r="I233" s="70"/>
      <c r="J233" s="70"/>
    </row>
    <row r="234">
      <c r="D234" s="70"/>
      <c r="E234" s="70"/>
      <c r="G234" s="70"/>
      <c r="H234" s="70"/>
      <c r="I234" s="70"/>
      <c r="J234" s="70"/>
    </row>
    <row r="235">
      <c r="D235" s="70"/>
      <c r="E235" s="70"/>
      <c r="G235" s="70"/>
      <c r="H235" s="70"/>
      <c r="I235" s="70"/>
      <c r="J235" s="70"/>
    </row>
    <row r="236">
      <c r="D236" s="70"/>
      <c r="E236" s="70"/>
      <c r="G236" s="70"/>
      <c r="H236" s="70"/>
      <c r="I236" s="70"/>
      <c r="J236" s="70"/>
    </row>
    <row r="237">
      <c r="D237" s="70"/>
      <c r="E237" s="70"/>
      <c r="G237" s="70"/>
      <c r="H237" s="70"/>
      <c r="I237" s="70"/>
      <c r="J237" s="70"/>
    </row>
    <row r="238">
      <c r="D238" s="70"/>
      <c r="E238" s="70"/>
      <c r="G238" s="70"/>
      <c r="H238" s="70"/>
      <c r="I238" s="70"/>
      <c r="J238" s="70"/>
    </row>
    <row r="239">
      <c r="D239" s="70"/>
      <c r="E239" s="70"/>
      <c r="G239" s="70"/>
      <c r="H239" s="70"/>
      <c r="I239" s="70"/>
      <c r="J239" s="70"/>
    </row>
    <row r="240">
      <c r="D240" s="70"/>
      <c r="E240" s="70"/>
      <c r="G240" s="70"/>
      <c r="H240" s="70"/>
      <c r="I240" s="70"/>
      <c r="J240" s="70"/>
    </row>
    <row r="241">
      <c r="D241" s="70"/>
      <c r="E241" s="70"/>
      <c r="G241" s="70"/>
      <c r="H241" s="70"/>
      <c r="I241" s="70"/>
      <c r="J241" s="70"/>
    </row>
    <row r="242">
      <c r="D242" s="70"/>
      <c r="E242" s="70"/>
      <c r="G242" s="70"/>
      <c r="H242" s="70"/>
      <c r="I242" s="70"/>
      <c r="J242" s="70"/>
    </row>
    <row r="243">
      <c r="D243" s="70"/>
      <c r="E243" s="70"/>
      <c r="G243" s="70"/>
      <c r="H243" s="70"/>
      <c r="I243" s="70"/>
      <c r="J243" s="70"/>
    </row>
    <row r="244">
      <c r="D244" s="70"/>
      <c r="E244" s="70"/>
      <c r="G244" s="70"/>
      <c r="H244" s="70"/>
      <c r="I244" s="70"/>
      <c r="J244" s="70"/>
    </row>
    <row r="245">
      <c r="D245" s="70"/>
      <c r="E245" s="70"/>
      <c r="G245" s="70"/>
      <c r="H245" s="70"/>
      <c r="I245" s="70"/>
      <c r="J245" s="70"/>
    </row>
    <row r="246">
      <c r="D246" s="70"/>
      <c r="E246" s="70"/>
      <c r="G246" s="70"/>
      <c r="H246" s="70"/>
      <c r="I246" s="70"/>
      <c r="J246" s="70"/>
    </row>
    <row r="247">
      <c r="D247" s="70"/>
      <c r="E247" s="70"/>
      <c r="G247" s="70"/>
      <c r="H247" s="70"/>
      <c r="I247" s="70"/>
      <c r="J247" s="70"/>
    </row>
    <row r="248">
      <c r="D248" s="70"/>
      <c r="E248" s="70"/>
      <c r="G248" s="70"/>
      <c r="H248" s="70"/>
      <c r="I248" s="70"/>
      <c r="J248" s="70"/>
    </row>
    <row r="249">
      <c r="D249" s="70"/>
      <c r="E249" s="70"/>
      <c r="G249" s="70"/>
      <c r="H249" s="70"/>
      <c r="I249" s="70"/>
      <c r="J249" s="70"/>
    </row>
    <row r="250">
      <c r="D250" s="70"/>
      <c r="E250" s="70"/>
      <c r="G250" s="70"/>
      <c r="H250" s="70"/>
      <c r="I250" s="70"/>
      <c r="J250" s="70"/>
    </row>
    <row r="251">
      <c r="D251" s="70"/>
      <c r="E251" s="70"/>
      <c r="G251" s="70"/>
      <c r="H251" s="70"/>
      <c r="I251" s="70"/>
      <c r="J251" s="70"/>
    </row>
    <row r="252">
      <c r="D252" s="70"/>
      <c r="E252" s="70"/>
      <c r="G252" s="70"/>
      <c r="H252" s="70"/>
      <c r="I252" s="70"/>
      <c r="J252" s="70"/>
    </row>
    <row r="253">
      <c r="D253" s="70"/>
      <c r="E253" s="70"/>
      <c r="G253" s="70"/>
      <c r="H253" s="70"/>
      <c r="I253" s="70"/>
      <c r="J253" s="70"/>
    </row>
    <row r="254">
      <c r="D254" s="70"/>
      <c r="E254" s="70"/>
      <c r="G254" s="70"/>
      <c r="H254" s="70"/>
      <c r="I254" s="70"/>
      <c r="J254" s="70"/>
    </row>
    <row r="255">
      <c r="D255" s="70"/>
      <c r="E255" s="70"/>
      <c r="G255" s="70"/>
      <c r="H255" s="70"/>
      <c r="I255" s="70"/>
      <c r="J255" s="70"/>
    </row>
    <row r="256">
      <c r="D256" s="70"/>
      <c r="E256" s="70"/>
      <c r="G256" s="70"/>
      <c r="H256" s="70"/>
      <c r="I256" s="70"/>
      <c r="J256" s="70"/>
    </row>
    <row r="257">
      <c r="D257" s="70"/>
      <c r="E257" s="70"/>
      <c r="G257" s="70"/>
      <c r="H257" s="70"/>
      <c r="I257" s="70"/>
      <c r="J257" s="70"/>
    </row>
    <row r="258">
      <c r="D258" s="70"/>
      <c r="E258" s="70"/>
      <c r="G258" s="70"/>
      <c r="H258" s="70"/>
      <c r="I258" s="70"/>
      <c r="J258" s="70"/>
    </row>
    <row r="259">
      <c r="D259" s="70"/>
      <c r="E259" s="70"/>
      <c r="G259" s="70"/>
      <c r="H259" s="70"/>
      <c r="I259" s="70"/>
      <c r="J259" s="70"/>
    </row>
    <row r="260">
      <c r="D260" s="70"/>
      <c r="E260" s="70"/>
      <c r="G260" s="70"/>
      <c r="H260" s="70"/>
      <c r="I260" s="70"/>
      <c r="J260" s="70"/>
    </row>
    <row r="261">
      <c r="D261" s="70"/>
      <c r="E261" s="70"/>
      <c r="G261" s="70"/>
      <c r="H261" s="70"/>
      <c r="I261" s="70"/>
      <c r="J261" s="70"/>
    </row>
    <row r="262">
      <c r="D262" s="70"/>
      <c r="E262" s="70"/>
      <c r="G262" s="70"/>
      <c r="H262" s="70"/>
      <c r="I262" s="70"/>
      <c r="J262" s="70"/>
    </row>
    <row r="263">
      <c r="D263" s="70"/>
      <c r="E263" s="70"/>
      <c r="G263" s="70"/>
      <c r="H263" s="70"/>
      <c r="I263" s="70"/>
      <c r="J263" s="70"/>
    </row>
    <row r="264">
      <c r="D264" s="70"/>
      <c r="E264" s="70"/>
      <c r="G264" s="70"/>
      <c r="H264" s="70"/>
      <c r="I264" s="70"/>
      <c r="J264" s="70"/>
    </row>
    <row r="265">
      <c r="D265" s="70"/>
      <c r="E265" s="70"/>
      <c r="G265" s="70"/>
      <c r="H265" s="70"/>
      <c r="I265" s="70"/>
      <c r="J265" s="70"/>
    </row>
    <row r="266">
      <c r="D266" s="70"/>
      <c r="E266" s="70"/>
      <c r="G266" s="70"/>
      <c r="H266" s="70"/>
      <c r="I266" s="70"/>
      <c r="J266" s="70"/>
    </row>
    <row r="267">
      <c r="D267" s="70"/>
      <c r="E267" s="70"/>
      <c r="G267" s="70"/>
      <c r="H267" s="70"/>
      <c r="I267" s="70"/>
      <c r="J267" s="70"/>
    </row>
    <row r="268">
      <c r="D268" s="70"/>
      <c r="E268" s="70"/>
      <c r="G268" s="70"/>
      <c r="H268" s="70"/>
      <c r="I268" s="70"/>
      <c r="J268" s="70"/>
    </row>
    <row r="269">
      <c r="D269" s="70"/>
      <c r="E269" s="70"/>
      <c r="G269" s="70"/>
      <c r="H269" s="70"/>
      <c r="I269" s="70"/>
      <c r="J269" s="70"/>
    </row>
    <row r="270">
      <c r="D270" s="70"/>
      <c r="E270" s="70"/>
      <c r="G270" s="70"/>
      <c r="H270" s="70"/>
      <c r="I270" s="70"/>
      <c r="J270" s="70"/>
    </row>
    <row r="271">
      <c r="D271" s="70"/>
      <c r="E271" s="70"/>
      <c r="G271" s="70"/>
      <c r="H271" s="70"/>
      <c r="I271" s="70"/>
      <c r="J271" s="70"/>
    </row>
    <row r="272">
      <c r="D272" s="70"/>
      <c r="E272" s="70"/>
      <c r="G272" s="70"/>
      <c r="H272" s="70"/>
      <c r="I272" s="70"/>
      <c r="J272" s="70"/>
    </row>
    <row r="273">
      <c r="D273" s="70"/>
      <c r="E273" s="70"/>
      <c r="G273" s="70"/>
      <c r="H273" s="70"/>
      <c r="I273" s="70"/>
      <c r="J273" s="70"/>
    </row>
    <row r="274">
      <c r="D274" s="70"/>
      <c r="E274" s="70"/>
      <c r="G274" s="70"/>
      <c r="H274" s="70"/>
      <c r="I274" s="70"/>
      <c r="J274" s="70"/>
    </row>
    <row r="275">
      <c r="D275" s="70"/>
      <c r="E275" s="70"/>
      <c r="G275" s="70"/>
      <c r="H275" s="70"/>
      <c r="I275" s="70"/>
      <c r="J275" s="70"/>
    </row>
    <row r="276">
      <c r="D276" s="70"/>
      <c r="E276" s="70"/>
      <c r="G276" s="70"/>
      <c r="H276" s="70"/>
      <c r="I276" s="70"/>
      <c r="J276" s="70"/>
    </row>
    <row r="277">
      <c r="D277" s="70"/>
      <c r="E277" s="70"/>
      <c r="G277" s="70"/>
      <c r="H277" s="70"/>
      <c r="I277" s="70"/>
      <c r="J277" s="70"/>
    </row>
    <row r="278">
      <c r="D278" s="70"/>
      <c r="E278" s="70"/>
      <c r="G278" s="70"/>
      <c r="H278" s="70"/>
      <c r="I278" s="70"/>
      <c r="J278" s="70"/>
    </row>
    <row r="279">
      <c r="D279" s="70"/>
      <c r="E279" s="70"/>
      <c r="G279" s="70"/>
      <c r="H279" s="70"/>
      <c r="I279" s="70"/>
      <c r="J279" s="70"/>
    </row>
    <row r="280">
      <c r="D280" s="70"/>
      <c r="E280" s="70"/>
      <c r="G280" s="70"/>
      <c r="H280" s="70"/>
      <c r="I280" s="70"/>
      <c r="J280" s="70"/>
    </row>
    <row r="281">
      <c r="D281" s="70"/>
      <c r="E281" s="70"/>
      <c r="G281" s="70"/>
      <c r="H281" s="70"/>
      <c r="I281" s="70"/>
      <c r="J281" s="70"/>
    </row>
    <row r="282">
      <c r="D282" s="70"/>
      <c r="E282" s="70"/>
      <c r="G282" s="70"/>
      <c r="H282" s="70"/>
      <c r="I282" s="70"/>
      <c r="J282" s="70"/>
    </row>
    <row r="283">
      <c r="D283" s="70"/>
      <c r="E283" s="70"/>
      <c r="G283" s="70"/>
      <c r="H283" s="70"/>
      <c r="I283" s="70"/>
      <c r="J283" s="70"/>
    </row>
    <row r="284">
      <c r="D284" s="70"/>
      <c r="E284" s="70"/>
      <c r="G284" s="70"/>
      <c r="H284" s="70"/>
      <c r="I284" s="70"/>
      <c r="J284" s="70"/>
    </row>
    <row r="285">
      <c r="D285" s="70"/>
      <c r="E285" s="70"/>
      <c r="G285" s="70"/>
      <c r="H285" s="70"/>
      <c r="I285" s="70"/>
      <c r="J285" s="70"/>
    </row>
    <row r="286">
      <c r="D286" s="70"/>
      <c r="E286" s="70"/>
      <c r="G286" s="70"/>
      <c r="H286" s="70"/>
      <c r="I286" s="70"/>
      <c r="J286" s="70"/>
    </row>
    <row r="287">
      <c r="D287" s="70"/>
      <c r="E287" s="70"/>
      <c r="G287" s="70"/>
      <c r="H287" s="70"/>
      <c r="I287" s="70"/>
      <c r="J287" s="70"/>
    </row>
    <row r="288">
      <c r="D288" s="70"/>
      <c r="E288" s="70"/>
      <c r="G288" s="70"/>
      <c r="H288" s="70"/>
      <c r="I288" s="70"/>
      <c r="J288" s="70"/>
    </row>
    <row r="289">
      <c r="D289" s="70"/>
      <c r="E289" s="70"/>
      <c r="G289" s="70"/>
      <c r="H289" s="70"/>
      <c r="I289" s="70"/>
      <c r="J289" s="70"/>
    </row>
    <row r="290">
      <c r="D290" s="70"/>
      <c r="E290" s="70"/>
      <c r="G290" s="70"/>
      <c r="H290" s="70"/>
      <c r="I290" s="70"/>
      <c r="J290" s="70"/>
    </row>
    <row r="291">
      <c r="D291" s="70"/>
      <c r="E291" s="70"/>
      <c r="G291" s="70"/>
      <c r="H291" s="70"/>
      <c r="I291" s="70"/>
      <c r="J291" s="70"/>
    </row>
    <row r="292">
      <c r="D292" s="70"/>
      <c r="E292" s="70"/>
      <c r="G292" s="70"/>
      <c r="H292" s="70"/>
      <c r="I292" s="70"/>
      <c r="J292" s="70"/>
    </row>
    <row r="293">
      <c r="D293" s="70"/>
      <c r="E293" s="70"/>
      <c r="G293" s="70"/>
      <c r="H293" s="70"/>
      <c r="I293" s="70"/>
      <c r="J293" s="70"/>
    </row>
    <row r="294">
      <c r="D294" s="70"/>
      <c r="E294" s="70"/>
      <c r="G294" s="70"/>
      <c r="H294" s="70"/>
      <c r="I294" s="70"/>
      <c r="J294" s="70"/>
    </row>
    <row r="295">
      <c r="D295" s="70"/>
      <c r="E295" s="70"/>
      <c r="G295" s="70"/>
      <c r="H295" s="70"/>
      <c r="I295" s="70"/>
      <c r="J295" s="70"/>
    </row>
    <row r="296">
      <c r="D296" s="70"/>
      <c r="E296" s="70"/>
      <c r="G296" s="70"/>
      <c r="H296" s="70"/>
      <c r="I296" s="70"/>
      <c r="J296" s="70"/>
    </row>
    <row r="297">
      <c r="D297" s="70"/>
      <c r="E297" s="70"/>
      <c r="G297" s="70"/>
      <c r="H297" s="70"/>
      <c r="I297" s="70"/>
      <c r="J297" s="70"/>
    </row>
    <row r="298">
      <c r="D298" s="70"/>
      <c r="E298" s="70"/>
      <c r="G298" s="70"/>
      <c r="H298" s="70"/>
      <c r="I298" s="70"/>
      <c r="J298" s="70"/>
    </row>
    <row r="299">
      <c r="D299" s="70"/>
      <c r="E299" s="70"/>
      <c r="G299" s="70"/>
      <c r="H299" s="70"/>
      <c r="I299" s="70"/>
      <c r="J299" s="70"/>
    </row>
    <row r="300">
      <c r="D300" s="70"/>
      <c r="E300" s="70"/>
      <c r="G300" s="70"/>
      <c r="H300" s="70"/>
      <c r="I300" s="70"/>
      <c r="J300" s="70"/>
    </row>
    <row r="301">
      <c r="D301" s="70"/>
      <c r="E301" s="70"/>
      <c r="G301" s="70"/>
      <c r="H301" s="70"/>
      <c r="I301" s="70"/>
      <c r="J301" s="70"/>
    </row>
    <row r="302">
      <c r="D302" s="70"/>
      <c r="E302" s="70"/>
      <c r="G302" s="70"/>
      <c r="H302" s="70"/>
      <c r="I302" s="70"/>
      <c r="J302" s="70"/>
    </row>
    <row r="303">
      <c r="D303" s="70"/>
      <c r="E303" s="70"/>
      <c r="G303" s="70"/>
      <c r="H303" s="70"/>
      <c r="I303" s="70"/>
      <c r="J303" s="70"/>
    </row>
    <row r="304">
      <c r="D304" s="70"/>
      <c r="E304" s="70"/>
      <c r="G304" s="70"/>
      <c r="H304" s="70"/>
      <c r="I304" s="70"/>
      <c r="J304" s="70"/>
    </row>
    <row r="305">
      <c r="D305" s="70"/>
      <c r="E305" s="70"/>
      <c r="G305" s="70"/>
      <c r="H305" s="70"/>
      <c r="I305" s="70"/>
      <c r="J305" s="70"/>
    </row>
    <row r="306">
      <c r="D306" s="70"/>
      <c r="E306" s="70"/>
      <c r="G306" s="70"/>
      <c r="H306" s="70"/>
      <c r="I306" s="70"/>
      <c r="J306" s="70"/>
    </row>
    <row r="307">
      <c r="D307" s="70"/>
      <c r="E307" s="70"/>
      <c r="G307" s="70"/>
      <c r="H307" s="70"/>
      <c r="I307" s="70"/>
      <c r="J307" s="70"/>
    </row>
    <row r="308">
      <c r="D308" s="70"/>
      <c r="E308" s="70"/>
      <c r="G308" s="70"/>
      <c r="H308" s="70"/>
      <c r="I308" s="70"/>
      <c r="J308" s="70"/>
    </row>
    <row r="309">
      <c r="D309" s="70"/>
      <c r="E309" s="70"/>
      <c r="G309" s="70"/>
      <c r="H309" s="70"/>
      <c r="I309" s="70"/>
      <c r="J309" s="70"/>
    </row>
    <row r="310">
      <c r="D310" s="70"/>
      <c r="E310" s="70"/>
      <c r="G310" s="70"/>
      <c r="H310" s="70"/>
      <c r="I310" s="70"/>
      <c r="J310" s="70"/>
    </row>
    <row r="311">
      <c r="D311" s="70"/>
      <c r="E311" s="70"/>
      <c r="G311" s="70"/>
      <c r="H311" s="70"/>
      <c r="I311" s="70"/>
      <c r="J311" s="70"/>
    </row>
    <row r="312">
      <c r="D312" s="70"/>
      <c r="E312" s="70"/>
      <c r="G312" s="70"/>
      <c r="H312" s="70"/>
      <c r="I312" s="70"/>
      <c r="J312" s="70"/>
    </row>
    <row r="313">
      <c r="D313" s="70"/>
      <c r="E313" s="70"/>
      <c r="G313" s="70"/>
      <c r="H313" s="70"/>
      <c r="I313" s="70"/>
      <c r="J313" s="70"/>
    </row>
    <row r="314">
      <c r="D314" s="70"/>
      <c r="E314" s="70"/>
      <c r="G314" s="70"/>
      <c r="H314" s="70"/>
      <c r="I314" s="70"/>
      <c r="J314" s="70"/>
    </row>
    <row r="315">
      <c r="D315" s="70"/>
      <c r="E315" s="70"/>
      <c r="G315" s="70"/>
      <c r="H315" s="70"/>
      <c r="I315" s="70"/>
      <c r="J315" s="70"/>
    </row>
    <row r="316">
      <c r="D316" s="70"/>
      <c r="E316" s="70"/>
      <c r="G316" s="70"/>
      <c r="H316" s="70"/>
      <c r="I316" s="70"/>
      <c r="J316" s="70"/>
    </row>
    <row r="317">
      <c r="D317" s="70"/>
      <c r="E317" s="70"/>
      <c r="G317" s="70"/>
      <c r="H317" s="70"/>
      <c r="I317" s="70"/>
      <c r="J317" s="70"/>
    </row>
    <row r="318">
      <c r="D318" s="70"/>
      <c r="E318" s="70"/>
      <c r="G318" s="70"/>
      <c r="H318" s="70"/>
      <c r="I318" s="70"/>
      <c r="J318" s="70"/>
    </row>
    <row r="319">
      <c r="D319" s="70"/>
      <c r="E319" s="70"/>
      <c r="G319" s="70"/>
      <c r="H319" s="70"/>
      <c r="I319" s="70"/>
      <c r="J319" s="70"/>
    </row>
    <row r="320">
      <c r="D320" s="70"/>
      <c r="E320" s="70"/>
      <c r="G320" s="70"/>
      <c r="H320" s="70"/>
      <c r="I320" s="70"/>
      <c r="J320" s="70"/>
    </row>
    <row r="321">
      <c r="D321" s="70"/>
      <c r="E321" s="70"/>
      <c r="G321" s="70"/>
      <c r="H321" s="70"/>
      <c r="I321" s="70"/>
      <c r="J321" s="70"/>
    </row>
    <row r="322">
      <c r="D322" s="70"/>
      <c r="E322" s="70"/>
      <c r="G322" s="70"/>
      <c r="H322" s="70"/>
      <c r="I322" s="70"/>
      <c r="J322" s="70"/>
    </row>
    <row r="323">
      <c r="D323" s="70"/>
      <c r="E323" s="70"/>
      <c r="G323" s="70"/>
      <c r="H323" s="70"/>
      <c r="I323" s="70"/>
      <c r="J323" s="70"/>
    </row>
    <row r="324">
      <c r="D324" s="70"/>
      <c r="E324" s="70"/>
      <c r="G324" s="70"/>
      <c r="H324" s="70"/>
      <c r="I324" s="70"/>
      <c r="J324" s="70"/>
    </row>
    <row r="325">
      <c r="D325" s="70"/>
      <c r="E325" s="70"/>
      <c r="G325" s="70"/>
      <c r="H325" s="70"/>
      <c r="I325" s="70"/>
      <c r="J325" s="70"/>
    </row>
    <row r="326">
      <c r="D326" s="70"/>
      <c r="E326" s="70"/>
      <c r="G326" s="70"/>
      <c r="H326" s="70"/>
      <c r="I326" s="70"/>
      <c r="J326" s="70"/>
    </row>
    <row r="327">
      <c r="D327" s="70"/>
      <c r="E327" s="70"/>
      <c r="G327" s="70"/>
      <c r="H327" s="70"/>
      <c r="I327" s="70"/>
      <c r="J327" s="70"/>
    </row>
    <row r="328">
      <c r="D328" s="70"/>
      <c r="E328" s="70"/>
      <c r="G328" s="70"/>
      <c r="H328" s="70"/>
      <c r="I328" s="70"/>
      <c r="J328" s="70"/>
    </row>
    <row r="329">
      <c r="D329" s="70"/>
      <c r="E329" s="70"/>
      <c r="G329" s="70"/>
      <c r="H329" s="70"/>
      <c r="I329" s="70"/>
      <c r="J329" s="70"/>
    </row>
    <row r="330">
      <c r="D330" s="70"/>
      <c r="E330" s="70"/>
      <c r="G330" s="70"/>
      <c r="H330" s="70"/>
      <c r="I330" s="70"/>
      <c r="J330" s="70"/>
    </row>
    <row r="331">
      <c r="D331" s="70"/>
      <c r="E331" s="70"/>
      <c r="G331" s="70"/>
      <c r="H331" s="70"/>
      <c r="I331" s="70"/>
      <c r="J331" s="70"/>
    </row>
    <row r="332">
      <c r="D332" s="70"/>
      <c r="E332" s="70"/>
      <c r="G332" s="70"/>
      <c r="H332" s="70"/>
      <c r="I332" s="70"/>
      <c r="J332" s="70"/>
    </row>
    <row r="333">
      <c r="D333" s="70"/>
      <c r="E333" s="70"/>
      <c r="G333" s="70"/>
      <c r="H333" s="70"/>
      <c r="I333" s="70"/>
      <c r="J333" s="70"/>
    </row>
    <row r="334">
      <c r="D334" s="70"/>
      <c r="E334" s="70"/>
      <c r="G334" s="70"/>
      <c r="H334" s="70"/>
      <c r="I334" s="70"/>
      <c r="J334" s="70"/>
    </row>
    <row r="335">
      <c r="D335" s="70"/>
      <c r="E335" s="70"/>
      <c r="G335" s="70"/>
      <c r="H335" s="70"/>
      <c r="I335" s="70"/>
      <c r="J335" s="70"/>
    </row>
    <row r="336">
      <c r="D336" s="70"/>
      <c r="E336" s="70"/>
      <c r="G336" s="70"/>
      <c r="H336" s="70"/>
      <c r="I336" s="70"/>
      <c r="J336" s="70"/>
    </row>
    <row r="337">
      <c r="D337" s="70"/>
      <c r="E337" s="70"/>
      <c r="G337" s="70"/>
      <c r="H337" s="70"/>
      <c r="I337" s="70"/>
      <c r="J337" s="70"/>
    </row>
    <row r="338">
      <c r="D338" s="70"/>
      <c r="E338" s="70"/>
      <c r="G338" s="70"/>
      <c r="H338" s="70"/>
      <c r="I338" s="70"/>
      <c r="J338" s="70"/>
    </row>
    <row r="339">
      <c r="D339" s="70"/>
      <c r="E339" s="70"/>
      <c r="G339" s="70"/>
      <c r="H339" s="70"/>
      <c r="I339" s="70"/>
      <c r="J339" s="70"/>
    </row>
    <row r="340">
      <c r="D340" s="70"/>
      <c r="E340" s="70"/>
      <c r="G340" s="70"/>
      <c r="H340" s="70"/>
      <c r="I340" s="70"/>
      <c r="J340" s="70"/>
    </row>
    <row r="341">
      <c r="D341" s="70"/>
      <c r="E341" s="70"/>
      <c r="G341" s="70"/>
      <c r="H341" s="70"/>
      <c r="I341" s="70"/>
      <c r="J341" s="70"/>
    </row>
    <row r="342">
      <c r="D342" s="70"/>
      <c r="E342" s="70"/>
      <c r="G342" s="70"/>
      <c r="H342" s="70"/>
      <c r="I342" s="70"/>
      <c r="J342" s="70"/>
    </row>
    <row r="343">
      <c r="D343" s="70"/>
      <c r="E343" s="70"/>
      <c r="G343" s="70"/>
      <c r="H343" s="70"/>
      <c r="I343" s="70"/>
      <c r="J343" s="70"/>
    </row>
    <row r="344">
      <c r="D344" s="70"/>
      <c r="E344" s="70"/>
      <c r="G344" s="70"/>
      <c r="H344" s="70"/>
      <c r="I344" s="70"/>
      <c r="J344" s="70"/>
    </row>
    <row r="345">
      <c r="D345" s="70"/>
      <c r="E345" s="70"/>
      <c r="G345" s="70"/>
      <c r="H345" s="70"/>
      <c r="I345" s="70"/>
      <c r="J345" s="70"/>
    </row>
    <row r="346">
      <c r="D346" s="70"/>
      <c r="E346" s="70"/>
      <c r="G346" s="70"/>
      <c r="H346" s="70"/>
      <c r="I346" s="70"/>
      <c r="J346" s="70"/>
    </row>
    <row r="347">
      <c r="D347" s="70"/>
      <c r="E347" s="70"/>
      <c r="G347" s="70"/>
      <c r="H347" s="70"/>
      <c r="I347" s="70"/>
      <c r="J347" s="70"/>
    </row>
    <row r="348">
      <c r="D348" s="70"/>
      <c r="E348" s="70"/>
      <c r="G348" s="70"/>
      <c r="H348" s="70"/>
      <c r="I348" s="70"/>
      <c r="J348" s="70"/>
    </row>
    <row r="349">
      <c r="D349" s="70"/>
      <c r="E349" s="70"/>
      <c r="G349" s="70"/>
      <c r="H349" s="70"/>
      <c r="I349" s="70"/>
      <c r="J349" s="70"/>
    </row>
    <row r="350">
      <c r="D350" s="70"/>
      <c r="E350" s="70"/>
      <c r="G350" s="70"/>
      <c r="H350" s="70"/>
      <c r="I350" s="70"/>
      <c r="J350" s="70"/>
    </row>
    <row r="351">
      <c r="D351" s="70"/>
      <c r="E351" s="70"/>
      <c r="G351" s="70"/>
      <c r="H351" s="70"/>
      <c r="I351" s="70"/>
      <c r="J351" s="70"/>
    </row>
    <row r="352">
      <c r="D352" s="70"/>
      <c r="E352" s="70"/>
      <c r="G352" s="70"/>
      <c r="H352" s="70"/>
      <c r="I352" s="70"/>
      <c r="J352" s="70"/>
    </row>
    <row r="353">
      <c r="D353" s="70"/>
      <c r="E353" s="70"/>
      <c r="G353" s="70"/>
      <c r="H353" s="70"/>
      <c r="I353" s="70"/>
      <c r="J353" s="70"/>
    </row>
    <row r="354">
      <c r="D354" s="70"/>
      <c r="E354" s="70"/>
      <c r="G354" s="70"/>
      <c r="H354" s="70"/>
      <c r="I354" s="70"/>
      <c r="J354" s="70"/>
    </row>
    <row r="355">
      <c r="D355" s="70"/>
      <c r="E355" s="70"/>
      <c r="G355" s="70"/>
      <c r="H355" s="70"/>
      <c r="I355" s="70"/>
      <c r="J355" s="70"/>
    </row>
    <row r="356">
      <c r="D356" s="70"/>
      <c r="E356" s="70"/>
      <c r="G356" s="70"/>
      <c r="H356" s="70"/>
      <c r="I356" s="70"/>
      <c r="J356" s="70"/>
    </row>
    <row r="357">
      <c r="D357" s="70"/>
      <c r="E357" s="70"/>
      <c r="G357" s="70"/>
      <c r="H357" s="70"/>
      <c r="I357" s="70"/>
      <c r="J357" s="70"/>
    </row>
    <row r="358">
      <c r="D358" s="70"/>
      <c r="E358" s="70"/>
      <c r="G358" s="70"/>
      <c r="H358" s="70"/>
      <c r="I358" s="70"/>
      <c r="J358" s="70"/>
    </row>
    <row r="359">
      <c r="D359" s="70"/>
      <c r="E359" s="70"/>
      <c r="G359" s="70"/>
      <c r="H359" s="70"/>
      <c r="I359" s="70"/>
      <c r="J359" s="70"/>
    </row>
    <row r="360">
      <c r="D360" s="70"/>
      <c r="E360" s="70"/>
      <c r="G360" s="70"/>
      <c r="H360" s="70"/>
      <c r="I360" s="70"/>
      <c r="J360" s="70"/>
    </row>
    <row r="361">
      <c r="D361" s="70"/>
      <c r="E361" s="70"/>
      <c r="G361" s="70"/>
      <c r="H361" s="70"/>
      <c r="I361" s="70"/>
      <c r="J361" s="70"/>
    </row>
    <row r="362">
      <c r="D362" s="70"/>
      <c r="E362" s="70"/>
      <c r="G362" s="70"/>
      <c r="H362" s="70"/>
      <c r="I362" s="70"/>
      <c r="J362" s="70"/>
    </row>
    <row r="363">
      <c r="D363" s="70"/>
      <c r="E363" s="70"/>
      <c r="G363" s="70"/>
      <c r="H363" s="70"/>
      <c r="I363" s="70"/>
      <c r="J363" s="70"/>
    </row>
    <row r="364">
      <c r="D364" s="70"/>
      <c r="E364" s="70"/>
      <c r="G364" s="70"/>
      <c r="H364" s="70"/>
      <c r="I364" s="70"/>
      <c r="J364" s="70"/>
    </row>
    <row r="365">
      <c r="D365" s="70"/>
      <c r="E365" s="70"/>
      <c r="G365" s="70"/>
      <c r="H365" s="70"/>
      <c r="I365" s="70"/>
      <c r="J365" s="70"/>
    </row>
    <row r="366">
      <c r="D366" s="70"/>
      <c r="E366" s="70"/>
      <c r="G366" s="70"/>
      <c r="H366" s="70"/>
      <c r="I366" s="70"/>
      <c r="J366" s="70"/>
    </row>
    <row r="367">
      <c r="D367" s="70"/>
      <c r="E367" s="70"/>
      <c r="G367" s="70"/>
      <c r="H367" s="70"/>
      <c r="I367" s="70"/>
      <c r="J367" s="70"/>
    </row>
    <row r="368">
      <c r="D368" s="70"/>
      <c r="E368" s="70"/>
      <c r="G368" s="70"/>
      <c r="H368" s="70"/>
      <c r="I368" s="70"/>
      <c r="J368" s="70"/>
    </row>
    <row r="369">
      <c r="D369" s="70"/>
      <c r="E369" s="70"/>
      <c r="G369" s="70"/>
      <c r="H369" s="70"/>
      <c r="I369" s="70"/>
      <c r="J369" s="70"/>
    </row>
    <row r="370">
      <c r="D370" s="70"/>
      <c r="E370" s="70"/>
      <c r="G370" s="70"/>
      <c r="H370" s="70"/>
      <c r="I370" s="70"/>
      <c r="J370" s="70"/>
    </row>
    <row r="371">
      <c r="D371" s="70"/>
      <c r="E371" s="70"/>
      <c r="G371" s="70"/>
      <c r="H371" s="70"/>
      <c r="I371" s="70"/>
      <c r="J371" s="70"/>
    </row>
    <row r="372">
      <c r="D372" s="70"/>
      <c r="E372" s="70"/>
      <c r="G372" s="70"/>
      <c r="H372" s="70"/>
      <c r="I372" s="70"/>
      <c r="J372" s="70"/>
    </row>
    <row r="373">
      <c r="D373" s="70"/>
      <c r="E373" s="70"/>
      <c r="G373" s="70"/>
      <c r="H373" s="70"/>
      <c r="I373" s="70"/>
      <c r="J373" s="70"/>
    </row>
    <row r="374">
      <c r="D374" s="70"/>
      <c r="E374" s="70"/>
      <c r="G374" s="70"/>
      <c r="H374" s="70"/>
      <c r="I374" s="70"/>
      <c r="J374" s="70"/>
    </row>
    <row r="375">
      <c r="D375" s="70"/>
      <c r="E375" s="70"/>
      <c r="G375" s="70"/>
      <c r="H375" s="70"/>
      <c r="I375" s="70"/>
      <c r="J375" s="70"/>
    </row>
    <row r="376">
      <c r="D376" s="70"/>
      <c r="E376" s="70"/>
      <c r="G376" s="70"/>
      <c r="H376" s="70"/>
      <c r="I376" s="70"/>
      <c r="J376" s="70"/>
    </row>
    <row r="377">
      <c r="D377" s="70"/>
      <c r="E377" s="70"/>
      <c r="G377" s="70"/>
      <c r="H377" s="70"/>
      <c r="I377" s="70"/>
      <c r="J377" s="70"/>
    </row>
    <row r="378">
      <c r="D378" s="70"/>
      <c r="E378" s="70"/>
      <c r="G378" s="70"/>
      <c r="H378" s="70"/>
      <c r="I378" s="70"/>
      <c r="J378" s="70"/>
    </row>
    <row r="379">
      <c r="D379" s="70"/>
      <c r="E379" s="70"/>
      <c r="G379" s="70"/>
      <c r="H379" s="70"/>
      <c r="I379" s="70"/>
      <c r="J379" s="70"/>
    </row>
    <row r="380">
      <c r="D380" s="70"/>
      <c r="E380" s="70"/>
      <c r="G380" s="70"/>
      <c r="H380" s="70"/>
      <c r="I380" s="70"/>
      <c r="J380" s="70"/>
    </row>
    <row r="381">
      <c r="D381" s="70"/>
      <c r="E381" s="70"/>
      <c r="G381" s="70"/>
      <c r="H381" s="70"/>
      <c r="I381" s="70"/>
      <c r="J381" s="70"/>
    </row>
    <row r="382">
      <c r="D382" s="70"/>
      <c r="E382" s="70"/>
      <c r="G382" s="70"/>
      <c r="H382" s="70"/>
      <c r="I382" s="70"/>
      <c r="J382" s="70"/>
    </row>
    <row r="383">
      <c r="D383" s="70"/>
      <c r="E383" s="70"/>
      <c r="G383" s="70"/>
      <c r="H383" s="70"/>
      <c r="I383" s="70"/>
      <c r="J383" s="70"/>
    </row>
    <row r="384">
      <c r="D384" s="70"/>
      <c r="E384" s="70"/>
      <c r="G384" s="70"/>
      <c r="H384" s="70"/>
      <c r="I384" s="70"/>
      <c r="J384" s="70"/>
    </row>
    <row r="385">
      <c r="D385" s="70"/>
      <c r="E385" s="70"/>
      <c r="G385" s="70"/>
      <c r="H385" s="70"/>
      <c r="I385" s="70"/>
      <c r="J385" s="70"/>
    </row>
    <row r="386">
      <c r="D386" s="70"/>
      <c r="E386" s="70"/>
      <c r="G386" s="70"/>
      <c r="H386" s="70"/>
      <c r="I386" s="70"/>
      <c r="J386" s="70"/>
    </row>
    <row r="387">
      <c r="D387" s="70"/>
      <c r="E387" s="70"/>
      <c r="G387" s="70"/>
      <c r="H387" s="70"/>
      <c r="I387" s="70"/>
      <c r="J387" s="70"/>
    </row>
    <row r="388">
      <c r="D388" s="70"/>
      <c r="E388" s="70"/>
      <c r="G388" s="70"/>
      <c r="H388" s="70"/>
      <c r="I388" s="70"/>
      <c r="J388" s="70"/>
    </row>
    <row r="389">
      <c r="D389" s="70"/>
      <c r="E389" s="70"/>
      <c r="G389" s="70"/>
      <c r="H389" s="70"/>
      <c r="I389" s="70"/>
      <c r="J389" s="70"/>
    </row>
    <row r="390">
      <c r="D390" s="70"/>
      <c r="E390" s="70"/>
      <c r="G390" s="70"/>
      <c r="H390" s="70"/>
      <c r="I390" s="70"/>
      <c r="J390" s="70"/>
    </row>
    <row r="391">
      <c r="D391" s="70"/>
      <c r="E391" s="70"/>
      <c r="G391" s="70"/>
      <c r="H391" s="70"/>
      <c r="I391" s="70"/>
      <c r="J391" s="70"/>
    </row>
    <row r="392">
      <c r="D392" s="70"/>
      <c r="E392" s="70"/>
      <c r="G392" s="70"/>
      <c r="H392" s="70"/>
      <c r="I392" s="70"/>
      <c r="J392" s="70"/>
    </row>
    <row r="393">
      <c r="D393" s="70"/>
      <c r="E393" s="70"/>
      <c r="G393" s="70"/>
      <c r="H393" s="70"/>
      <c r="I393" s="70"/>
      <c r="J393" s="70"/>
    </row>
    <row r="394">
      <c r="D394" s="70"/>
      <c r="E394" s="70"/>
      <c r="G394" s="70"/>
      <c r="H394" s="70"/>
      <c r="I394" s="70"/>
      <c r="J394" s="70"/>
    </row>
    <row r="395">
      <c r="D395" s="70"/>
      <c r="E395" s="70"/>
      <c r="G395" s="70"/>
      <c r="H395" s="70"/>
      <c r="I395" s="70"/>
      <c r="J395" s="70"/>
    </row>
    <row r="396">
      <c r="D396" s="70"/>
      <c r="E396" s="70"/>
      <c r="G396" s="70"/>
      <c r="H396" s="70"/>
      <c r="I396" s="70"/>
      <c r="J396" s="70"/>
    </row>
    <row r="397">
      <c r="D397" s="70"/>
      <c r="E397" s="70"/>
      <c r="G397" s="70"/>
      <c r="H397" s="70"/>
      <c r="I397" s="70"/>
      <c r="J397" s="70"/>
    </row>
    <row r="398">
      <c r="D398" s="70"/>
      <c r="E398" s="70"/>
      <c r="G398" s="70"/>
      <c r="H398" s="70"/>
      <c r="I398" s="70"/>
      <c r="J398" s="70"/>
    </row>
    <row r="399">
      <c r="D399" s="70"/>
      <c r="E399" s="70"/>
      <c r="G399" s="70"/>
      <c r="H399" s="70"/>
      <c r="I399" s="70"/>
      <c r="J399" s="70"/>
    </row>
    <row r="400">
      <c r="D400" s="70"/>
      <c r="E400" s="70"/>
      <c r="G400" s="70"/>
      <c r="H400" s="70"/>
      <c r="I400" s="70"/>
      <c r="J400" s="70"/>
    </row>
    <row r="401">
      <c r="D401" s="70"/>
      <c r="E401" s="70"/>
      <c r="G401" s="70"/>
      <c r="H401" s="70"/>
      <c r="I401" s="70"/>
      <c r="J401" s="70"/>
    </row>
    <row r="402">
      <c r="D402" s="70"/>
      <c r="E402" s="70"/>
      <c r="G402" s="70"/>
      <c r="H402" s="70"/>
      <c r="I402" s="70"/>
      <c r="J402" s="70"/>
    </row>
    <row r="403">
      <c r="D403" s="70"/>
      <c r="E403" s="70"/>
      <c r="G403" s="70"/>
      <c r="H403" s="70"/>
      <c r="I403" s="70"/>
      <c r="J403" s="70"/>
    </row>
    <row r="404">
      <c r="D404" s="70"/>
      <c r="E404" s="70"/>
      <c r="G404" s="70"/>
      <c r="H404" s="70"/>
      <c r="I404" s="70"/>
      <c r="J404" s="70"/>
    </row>
    <row r="405">
      <c r="D405" s="70"/>
      <c r="E405" s="70"/>
      <c r="G405" s="70"/>
      <c r="H405" s="70"/>
      <c r="I405" s="70"/>
      <c r="J405" s="70"/>
    </row>
    <row r="406">
      <c r="D406" s="70"/>
      <c r="E406" s="70"/>
      <c r="G406" s="70"/>
      <c r="H406" s="70"/>
      <c r="I406" s="70"/>
      <c r="J406" s="70"/>
    </row>
    <row r="407">
      <c r="D407" s="70"/>
      <c r="E407" s="70"/>
      <c r="G407" s="70"/>
      <c r="H407" s="70"/>
      <c r="I407" s="70"/>
      <c r="J407" s="70"/>
    </row>
    <row r="408">
      <c r="D408" s="70"/>
      <c r="E408" s="70"/>
      <c r="G408" s="70"/>
      <c r="H408" s="70"/>
      <c r="I408" s="70"/>
      <c r="J408" s="70"/>
    </row>
    <row r="409">
      <c r="D409" s="70"/>
      <c r="E409" s="70"/>
      <c r="G409" s="70"/>
      <c r="H409" s="70"/>
      <c r="I409" s="70"/>
      <c r="J409" s="70"/>
    </row>
    <row r="410">
      <c r="D410" s="70"/>
      <c r="E410" s="70"/>
      <c r="G410" s="70"/>
      <c r="H410" s="70"/>
      <c r="I410" s="70"/>
      <c r="J410" s="70"/>
    </row>
    <row r="411">
      <c r="D411" s="70"/>
      <c r="E411" s="70"/>
      <c r="G411" s="70"/>
      <c r="H411" s="70"/>
      <c r="I411" s="70"/>
      <c r="J411" s="70"/>
    </row>
    <row r="412">
      <c r="D412" s="70"/>
      <c r="E412" s="70"/>
      <c r="G412" s="70"/>
      <c r="H412" s="70"/>
      <c r="I412" s="70"/>
      <c r="J412" s="70"/>
    </row>
    <row r="413">
      <c r="D413" s="70"/>
      <c r="E413" s="70"/>
      <c r="G413" s="70"/>
      <c r="H413" s="70"/>
      <c r="I413" s="70"/>
      <c r="J413" s="70"/>
    </row>
    <row r="414">
      <c r="D414" s="70"/>
      <c r="E414" s="70"/>
      <c r="G414" s="70"/>
      <c r="H414" s="70"/>
      <c r="I414" s="70"/>
      <c r="J414" s="70"/>
    </row>
    <row r="415">
      <c r="D415" s="70"/>
      <c r="E415" s="70"/>
      <c r="G415" s="70"/>
      <c r="H415" s="70"/>
      <c r="I415" s="70"/>
      <c r="J415" s="70"/>
    </row>
    <row r="416">
      <c r="D416" s="70"/>
      <c r="E416" s="70"/>
      <c r="G416" s="70"/>
      <c r="H416" s="70"/>
      <c r="I416" s="70"/>
      <c r="J416" s="70"/>
    </row>
    <row r="417">
      <c r="D417" s="70"/>
      <c r="E417" s="70"/>
      <c r="G417" s="70"/>
      <c r="H417" s="70"/>
      <c r="I417" s="70"/>
      <c r="J417" s="70"/>
    </row>
    <row r="418">
      <c r="D418" s="70"/>
      <c r="E418" s="70"/>
      <c r="G418" s="70"/>
      <c r="H418" s="70"/>
      <c r="I418" s="70"/>
      <c r="J418" s="70"/>
    </row>
    <row r="419">
      <c r="D419" s="70"/>
      <c r="E419" s="70"/>
      <c r="G419" s="70"/>
      <c r="H419" s="70"/>
      <c r="I419" s="70"/>
      <c r="J419" s="70"/>
    </row>
    <row r="420">
      <c r="D420" s="70"/>
      <c r="E420" s="70"/>
      <c r="G420" s="70"/>
      <c r="H420" s="70"/>
      <c r="I420" s="70"/>
      <c r="J420" s="70"/>
    </row>
    <row r="421">
      <c r="D421" s="70"/>
      <c r="E421" s="70"/>
      <c r="G421" s="70"/>
      <c r="H421" s="70"/>
      <c r="I421" s="70"/>
      <c r="J421" s="70"/>
    </row>
    <row r="422">
      <c r="D422" s="70"/>
      <c r="E422" s="70"/>
      <c r="G422" s="70"/>
      <c r="H422" s="70"/>
      <c r="I422" s="70"/>
      <c r="J422" s="70"/>
    </row>
    <row r="423">
      <c r="D423" s="70"/>
      <c r="E423" s="70"/>
      <c r="G423" s="70"/>
      <c r="H423" s="70"/>
      <c r="I423" s="70"/>
      <c r="J423" s="70"/>
    </row>
    <row r="424">
      <c r="D424" s="70"/>
      <c r="E424" s="70"/>
      <c r="G424" s="70"/>
      <c r="H424" s="70"/>
      <c r="I424" s="70"/>
      <c r="J424" s="70"/>
    </row>
    <row r="425">
      <c r="D425" s="70"/>
      <c r="E425" s="70"/>
      <c r="G425" s="70"/>
      <c r="H425" s="70"/>
      <c r="I425" s="70"/>
      <c r="J425" s="70"/>
    </row>
    <row r="426">
      <c r="D426" s="70"/>
      <c r="E426" s="70"/>
      <c r="G426" s="70"/>
      <c r="H426" s="70"/>
      <c r="I426" s="70"/>
      <c r="J426" s="70"/>
    </row>
    <row r="427">
      <c r="D427" s="70"/>
      <c r="E427" s="70"/>
      <c r="G427" s="70"/>
      <c r="H427" s="70"/>
      <c r="I427" s="70"/>
      <c r="J427" s="70"/>
    </row>
    <row r="428">
      <c r="D428" s="70"/>
      <c r="E428" s="70"/>
      <c r="G428" s="70"/>
      <c r="H428" s="70"/>
      <c r="I428" s="70"/>
      <c r="J428" s="70"/>
    </row>
    <row r="429">
      <c r="D429" s="70"/>
      <c r="E429" s="70"/>
      <c r="G429" s="70"/>
      <c r="H429" s="70"/>
      <c r="I429" s="70"/>
      <c r="J429" s="70"/>
    </row>
    <row r="430">
      <c r="D430" s="70"/>
      <c r="E430" s="70"/>
      <c r="G430" s="70"/>
      <c r="H430" s="70"/>
      <c r="I430" s="70"/>
      <c r="J430" s="70"/>
    </row>
    <row r="431">
      <c r="D431" s="70"/>
      <c r="E431" s="70"/>
      <c r="G431" s="70"/>
      <c r="H431" s="70"/>
      <c r="I431" s="70"/>
      <c r="J431" s="70"/>
    </row>
    <row r="432">
      <c r="D432" s="70"/>
      <c r="E432" s="70"/>
      <c r="G432" s="70"/>
      <c r="H432" s="70"/>
      <c r="I432" s="70"/>
      <c r="J432" s="70"/>
    </row>
    <row r="433">
      <c r="D433" s="70"/>
      <c r="E433" s="70"/>
      <c r="G433" s="70"/>
      <c r="H433" s="70"/>
      <c r="I433" s="70"/>
      <c r="J433" s="70"/>
    </row>
    <row r="434">
      <c r="D434" s="70"/>
      <c r="E434" s="70"/>
      <c r="G434" s="70"/>
      <c r="H434" s="70"/>
      <c r="I434" s="70"/>
      <c r="J434" s="70"/>
    </row>
    <row r="435">
      <c r="D435" s="70"/>
      <c r="E435" s="70"/>
      <c r="G435" s="70"/>
      <c r="H435" s="70"/>
      <c r="I435" s="70"/>
      <c r="J435" s="70"/>
    </row>
    <row r="436">
      <c r="D436" s="70"/>
      <c r="E436" s="70"/>
      <c r="G436" s="70"/>
      <c r="H436" s="70"/>
      <c r="I436" s="70"/>
      <c r="J436" s="70"/>
    </row>
    <row r="437">
      <c r="D437" s="70"/>
      <c r="E437" s="70"/>
      <c r="G437" s="70"/>
      <c r="H437" s="70"/>
      <c r="I437" s="70"/>
      <c r="J437" s="70"/>
    </row>
    <row r="438">
      <c r="D438" s="70"/>
      <c r="E438" s="70"/>
      <c r="G438" s="70"/>
      <c r="H438" s="70"/>
      <c r="I438" s="70"/>
      <c r="J438" s="70"/>
    </row>
    <row r="439">
      <c r="D439" s="70"/>
      <c r="E439" s="70"/>
      <c r="G439" s="70"/>
      <c r="H439" s="70"/>
      <c r="I439" s="70"/>
      <c r="J439" s="70"/>
    </row>
    <row r="440">
      <c r="D440" s="70"/>
      <c r="E440" s="70"/>
      <c r="G440" s="70"/>
      <c r="H440" s="70"/>
      <c r="I440" s="70"/>
      <c r="J440" s="70"/>
    </row>
    <row r="441">
      <c r="D441" s="70"/>
      <c r="E441" s="70"/>
      <c r="G441" s="70"/>
      <c r="H441" s="70"/>
      <c r="I441" s="70"/>
      <c r="J441" s="70"/>
    </row>
    <row r="442">
      <c r="D442" s="70"/>
      <c r="E442" s="70"/>
      <c r="G442" s="70"/>
      <c r="H442" s="70"/>
      <c r="I442" s="70"/>
      <c r="J442" s="70"/>
    </row>
    <row r="443">
      <c r="D443" s="70"/>
      <c r="E443" s="70"/>
      <c r="G443" s="70"/>
      <c r="H443" s="70"/>
      <c r="I443" s="70"/>
      <c r="J443" s="70"/>
    </row>
    <row r="444">
      <c r="D444" s="70"/>
      <c r="E444" s="70"/>
      <c r="G444" s="70"/>
      <c r="H444" s="70"/>
      <c r="I444" s="70"/>
      <c r="J444" s="70"/>
    </row>
    <row r="445">
      <c r="D445" s="70"/>
      <c r="E445" s="70"/>
      <c r="G445" s="70"/>
      <c r="H445" s="70"/>
      <c r="I445" s="70"/>
      <c r="J445" s="70"/>
    </row>
    <row r="446">
      <c r="D446" s="70"/>
      <c r="E446" s="70"/>
      <c r="G446" s="70"/>
      <c r="H446" s="70"/>
      <c r="I446" s="70"/>
      <c r="J446" s="70"/>
    </row>
    <row r="447">
      <c r="D447" s="70"/>
      <c r="E447" s="70"/>
      <c r="G447" s="70"/>
      <c r="H447" s="70"/>
      <c r="I447" s="70"/>
      <c r="J447" s="70"/>
    </row>
    <row r="448">
      <c r="D448" s="70"/>
      <c r="E448" s="70"/>
      <c r="G448" s="70"/>
      <c r="H448" s="70"/>
      <c r="I448" s="70"/>
      <c r="J448" s="70"/>
    </row>
    <row r="449">
      <c r="D449" s="70"/>
      <c r="E449" s="70"/>
      <c r="G449" s="70"/>
      <c r="H449" s="70"/>
      <c r="I449" s="70"/>
      <c r="J449" s="70"/>
    </row>
    <row r="450">
      <c r="D450" s="70"/>
      <c r="E450" s="70"/>
      <c r="G450" s="70"/>
      <c r="H450" s="70"/>
      <c r="I450" s="70"/>
      <c r="J450" s="70"/>
    </row>
    <row r="451">
      <c r="D451" s="70"/>
      <c r="E451" s="70"/>
      <c r="G451" s="70"/>
      <c r="H451" s="70"/>
      <c r="I451" s="70"/>
      <c r="J451" s="70"/>
    </row>
    <row r="452">
      <c r="D452" s="70"/>
      <c r="E452" s="70"/>
      <c r="G452" s="70"/>
      <c r="H452" s="70"/>
      <c r="I452" s="70"/>
      <c r="J452" s="70"/>
    </row>
    <row r="453">
      <c r="D453" s="70"/>
      <c r="E453" s="70"/>
      <c r="G453" s="70"/>
      <c r="H453" s="70"/>
      <c r="I453" s="70"/>
      <c r="J453" s="70"/>
    </row>
    <row r="454">
      <c r="D454" s="70"/>
      <c r="E454" s="70"/>
      <c r="G454" s="70"/>
      <c r="H454" s="70"/>
      <c r="I454" s="70"/>
      <c r="J454" s="70"/>
    </row>
    <row r="455">
      <c r="D455" s="70"/>
      <c r="E455" s="70"/>
      <c r="G455" s="70"/>
      <c r="H455" s="70"/>
      <c r="I455" s="70"/>
      <c r="J455" s="70"/>
    </row>
    <row r="456">
      <c r="D456" s="70"/>
      <c r="E456" s="70"/>
      <c r="G456" s="70"/>
      <c r="H456" s="70"/>
      <c r="I456" s="70"/>
      <c r="J456" s="70"/>
    </row>
    <row r="457">
      <c r="D457" s="70"/>
      <c r="E457" s="70"/>
      <c r="G457" s="70"/>
      <c r="H457" s="70"/>
      <c r="I457" s="70"/>
      <c r="J457" s="70"/>
    </row>
    <row r="458">
      <c r="D458" s="70"/>
      <c r="E458" s="70"/>
      <c r="G458" s="70"/>
      <c r="H458" s="70"/>
      <c r="I458" s="70"/>
      <c r="J458" s="70"/>
    </row>
    <row r="459">
      <c r="D459" s="70"/>
      <c r="E459" s="70"/>
      <c r="G459" s="70"/>
      <c r="H459" s="70"/>
      <c r="I459" s="70"/>
      <c r="J459" s="70"/>
    </row>
    <row r="460">
      <c r="D460" s="70"/>
      <c r="E460" s="70"/>
      <c r="G460" s="70"/>
      <c r="H460" s="70"/>
      <c r="I460" s="70"/>
      <c r="J460" s="70"/>
    </row>
    <row r="461">
      <c r="D461" s="70"/>
      <c r="E461" s="70"/>
      <c r="G461" s="70"/>
      <c r="H461" s="70"/>
      <c r="I461" s="70"/>
      <c r="J461" s="70"/>
    </row>
    <row r="462">
      <c r="D462" s="70"/>
      <c r="E462" s="70"/>
      <c r="G462" s="70"/>
      <c r="H462" s="70"/>
      <c r="I462" s="70"/>
      <c r="J462" s="70"/>
    </row>
    <row r="463">
      <c r="D463" s="70"/>
      <c r="E463" s="70"/>
      <c r="G463" s="70"/>
      <c r="H463" s="70"/>
      <c r="I463" s="70"/>
      <c r="J463" s="70"/>
    </row>
    <row r="464">
      <c r="D464" s="70"/>
      <c r="E464" s="70"/>
      <c r="G464" s="70"/>
      <c r="H464" s="70"/>
      <c r="I464" s="70"/>
      <c r="J464" s="70"/>
    </row>
    <row r="465">
      <c r="D465" s="70"/>
      <c r="E465" s="70"/>
      <c r="G465" s="70"/>
      <c r="H465" s="70"/>
      <c r="I465" s="70"/>
      <c r="J465" s="70"/>
    </row>
    <row r="466">
      <c r="D466" s="70"/>
      <c r="E466" s="70"/>
      <c r="G466" s="70"/>
      <c r="H466" s="70"/>
      <c r="I466" s="70"/>
      <c r="J466" s="70"/>
    </row>
    <row r="467">
      <c r="D467" s="70"/>
      <c r="E467" s="70"/>
      <c r="G467" s="70"/>
      <c r="H467" s="70"/>
      <c r="I467" s="70"/>
      <c r="J467" s="70"/>
    </row>
    <row r="468">
      <c r="D468" s="70"/>
      <c r="E468" s="70"/>
      <c r="G468" s="70"/>
      <c r="H468" s="70"/>
      <c r="I468" s="70"/>
      <c r="J468" s="70"/>
    </row>
    <row r="469">
      <c r="D469" s="70"/>
      <c r="E469" s="70"/>
      <c r="G469" s="70"/>
      <c r="H469" s="70"/>
      <c r="I469" s="70"/>
      <c r="J469" s="70"/>
    </row>
    <row r="470">
      <c r="D470" s="70"/>
      <c r="E470" s="70"/>
      <c r="G470" s="70"/>
      <c r="H470" s="70"/>
      <c r="I470" s="70"/>
      <c r="J470" s="70"/>
    </row>
    <row r="471">
      <c r="D471" s="70"/>
      <c r="E471" s="70"/>
      <c r="G471" s="70"/>
      <c r="H471" s="70"/>
      <c r="I471" s="70"/>
      <c r="J471" s="70"/>
    </row>
    <row r="472">
      <c r="D472" s="70"/>
      <c r="E472" s="70"/>
      <c r="G472" s="70"/>
      <c r="H472" s="70"/>
      <c r="I472" s="70"/>
      <c r="J472" s="70"/>
    </row>
    <row r="473">
      <c r="D473" s="70"/>
      <c r="E473" s="70"/>
      <c r="G473" s="70"/>
      <c r="H473" s="70"/>
      <c r="I473" s="70"/>
      <c r="J473" s="70"/>
    </row>
    <row r="474">
      <c r="D474" s="70"/>
      <c r="E474" s="70"/>
      <c r="G474" s="70"/>
      <c r="H474" s="70"/>
      <c r="I474" s="70"/>
      <c r="J474" s="70"/>
    </row>
    <row r="475">
      <c r="D475" s="70"/>
      <c r="E475" s="70"/>
      <c r="G475" s="70"/>
      <c r="H475" s="70"/>
      <c r="I475" s="70"/>
      <c r="J475" s="70"/>
    </row>
    <row r="476">
      <c r="D476" s="70"/>
      <c r="E476" s="70"/>
      <c r="G476" s="70"/>
      <c r="H476" s="70"/>
      <c r="I476" s="70"/>
      <c r="J476" s="70"/>
    </row>
    <row r="477">
      <c r="D477" s="70"/>
      <c r="E477" s="70"/>
      <c r="G477" s="70"/>
      <c r="H477" s="70"/>
      <c r="I477" s="70"/>
      <c r="J477" s="70"/>
    </row>
    <row r="478">
      <c r="D478" s="70"/>
      <c r="E478" s="70"/>
      <c r="G478" s="70"/>
      <c r="H478" s="70"/>
      <c r="I478" s="70"/>
      <c r="J478" s="70"/>
    </row>
    <row r="479">
      <c r="D479" s="70"/>
      <c r="E479" s="70"/>
      <c r="G479" s="70"/>
      <c r="H479" s="70"/>
      <c r="I479" s="70"/>
      <c r="J479" s="70"/>
    </row>
    <row r="480">
      <c r="D480" s="70"/>
      <c r="E480" s="70"/>
      <c r="G480" s="70"/>
      <c r="H480" s="70"/>
      <c r="I480" s="70"/>
      <c r="J480" s="70"/>
    </row>
    <row r="481">
      <c r="D481" s="70"/>
      <c r="E481" s="70"/>
      <c r="G481" s="70"/>
      <c r="H481" s="70"/>
      <c r="I481" s="70"/>
      <c r="J481" s="70"/>
    </row>
    <row r="482">
      <c r="D482" s="70"/>
      <c r="E482" s="70"/>
      <c r="G482" s="70"/>
      <c r="H482" s="70"/>
      <c r="I482" s="70"/>
      <c r="J482" s="70"/>
    </row>
    <row r="483">
      <c r="D483" s="70"/>
      <c r="E483" s="70"/>
      <c r="G483" s="70"/>
      <c r="H483" s="70"/>
      <c r="I483" s="70"/>
      <c r="J483" s="70"/>
    </row>
    <row r="484">
      <c r="D484" s="70"/>
      <c r="E484" s="70"/>
      <c r="G484" s="70"/>
      <c r="H484" s="70"/>
      <c r="I484" s="70"/>
      <c r="J484" s="70"/>
    </row>
    <row r="485">
      <c r="D485" s="70"/>
      <c r="E485" s="70"/>
      <c r="G485" s="70"/>
      <c r="H485" s="70"/>
      <c r="I485" s="70"/>
      <c r="J485" s="70"/>
    </row>
    <row r="486">
      <c r="D486" s="70"/>
      <c r="E486" s="70"/>
      <c r="G486" s="70"/>
      <c r="H486" s="70"/>
      <c r="I486" s="70"/>
      <c r="J486" s="70"/>
    </row>
    <row r="487">
      <c r="D487" s="70"/>
      <c r="E487" s="70"/>
      <c r="G487" s="70"/>
      <c r="H487" s="70"/>
      <c r="I487" s="70"/>
      <c r="J487" s="70"/>
    </row>
    <row r="488">
      <c r="D488" s="70"/>
      <c r="E488" s="70"/>
      <c r="G488" s="70"/>
      <c r="H488" s="70"/>
      <c r="I488" s="70"/>
      <c r="J488" s="70"/>
    </row>
    <row r="489">
      <c r="D489" s="70"/>
      <c r="E489" s="70"/>
      <c r="G489" s="70"/>
      <c r="H489" s="70"/>
      <c r="I489" s="70"/>
      <c r="J489" s="70"/>
    </row>
    <row r="490">
      <c r="D490" s="70"/>
      <c r="E490" s="70"/>
      <c r="G490" s="70"/>
      <c r="H490" s="70"/>
      <c r="I490" s="70"/>
      <c r="J490" s="70"/>
    </row>
    <row r="491">
      <c r="D491" s="70"/>
      <c r="E491" s="70"/>
      <c r="G491" s="70"/>
      <c r="H491" s="70"/>
      <c r="I491" s="70"/>
      <c r="J491" s="70"/>
    </row>
    <row r="492">
      <c r="D492" s="70"/>
      <c r="E492" s="70"/>
      <c r="G492" s="70"/>
      <c r="H492" s="70"/>
      <c r="I492" s="70"/>
      <c r="J492" s="70"/>
    </row>
    <row r="493">
      <c r="D493" s="70"/>
      <c r="E493" s="70"/>
      <c r="G493" s="70"/>
      <c r="H493" s="70"/>
      <c r="I493" s="70"/>
      <c r="J493" s="70"/>
    </row>
    <row r="494">
      <c r="D494" s="70"/>
      <c r="E494" s="70"/>
      <c r="G494" s="70"/>
      <c r="H494" s="70"/>
      <c r="I494" s="70"/>
      <c r="J494" s="70"/>
    </row>
    <row r="495">
      <c r="D495" s="70"/>
      <c r="E495" s="70"/>
      <c r="G495" s="70"/>
      <c r="H495" s="70"/>
      <c r="I495" s="70"/>
      <c r="J495" s="70"/>
    </row>
    <row r="496">
      <c r="D496" s="70"/>
      <c r="E496" s="70"/>
      <c r="G496" s="70"/>
      <c r="H496" s="70"/>
      <c r="I496" s="70"/>
      <c r="J496" s="70"/>
    </row>
    <row r="497">
      <c r="D497" s="70"/>
      <c r="E497" s="70"/>
      <c r="G497" s="70"/>
      <c r="H497" s="70"/>
      <c r="I497" s="70"/>
      <c r="J497" s="70"/>
    </row>
    <row r="498">
      <c r="D498" s="70"/>
      <c r="E498" s="70"/>
      <c r="G498" s="70"/>
      <c r="H498" s="70"/>
      <c r="I498" s="70"/>
      <c r="J498" s="70"/>
    </row>
    <row r="499">
      <c r="D499" s="70"/>
      <c r="E499" s="70"/>
      <c r="G499" s="70"/>
      <c r="H499" s="70"/>
      <c r="I499" s="70"/>
      <c r="J499" s="70"/>
    </row>
    <row r="500">
      <c r="D500" s="70"/>
      <c r="E500" s="70"/>
      <c r="G500" s="70"/>
      <c r="H500" s="70"/>
      <c r="I500" s="70"/>
      <c r="J500" s="70"/>
    </row>
    <row r="501">
      <c r="D501" s="70"/>
      <c r="E501" s="70"/>
      <c r="G501" s="70"/>
      <c r="H501" s="70"/>
      <c r="I501" s="70"/>
      <c r="J501" s="70"/>
    </row>
    <row r="502">
      <c r="D502" s="70"/>
      <c r="E502" s="70"/>
      <c r="G502" s="70"/>
      <c r="H502" s="70"/>
      <c r="I502" s="70"/>
      <c r="J502" s="70"/>
    </row>
    <row r="503">
      <c r="D503" s="70"/>
      <c r="E503" s="70"/>
      <c r="G503" s="70"/>
      <c r="H503" s="70"/>
      <c r="I503" s="70"/>
      <c r="J503" s="70"/>
    </row>
    <row r="504">
      <c r="D504" s="70"/>
      <c r="E504" s="70"/>
      <c r="G504" s="70"/>
      <c r="H504" s="70"/>
      <c r="I504" s="70"/>
      <c r="J504" s="70"/>
    </row>
    <row r="505">
      <c r="D505" s="70"/>
      <c r="E505" s="70"/>
      <c r="G505" s="70"/>
      <c r="H505" s="70"/>
      <c r="I505" s="70"/>
      <c r="J505" s="70"/>
    </row>
    <row r="506">
      <c r="D506" s="70"/>
      <c r="E506" s="70"/>
      <c r="G506" s="70"/>
      <c r="H506" s="70"/>
      <c r="I506" s="70"/>
      <c r="J506" s="70"/>
    </row>
    <row r="507">
      <c r="D507" s="70"/>
      <c r="E507" s="70"/>
      <c r="G507" s="70"/>
      <c r="H507" s="70"/>
      <c r="I507" s="70"/>
      <c r="J507" s="70"/>
    </row>
    <row r="508">
      <c r="D508" s="70"/>
      <c r="E508" s="70"/>
      <c r="G508" s="70"/>
      <c r="H508" s="70"/>
      <c r="I508" s="70"/>
      <c r="J508" s="70"/>
    </row>
    <row r="509">
      <c r="D509" s="70"/>
      <c r="E509" s="70"/>
      <c r="G509" s="70"/>
      <c r="H509" s="70"/>
      <c r="I509" s="70"/>
      <c r="J509" s="70"/>
    </row>
    <row r="510">
      <c r="D510" s="70"/>
      <c r="E510" s="70"/>
      <c r="G510" s="70"/>
      <c r="H510" s="70"/>
      <c r="I510" s="70"/>
      <c r="J510" s="70"/>
    </row>
    <row r="511">
      <c r="D511" s="70"/>
      <c r="E511" s="70"/>
      <c r="G511" s="70"/>
      <c r="H511" s="70"/>
      <c r="I511" s="70"/>
      <c r="J511" s="70"/>
    </row>
    <row r="512">
      <c r="D512" s="70"/>
      <c r="E512" s="70"/>
      <c r="G512" s="70"/>
      <c r="H512" s="70"/>
      <c r="I512" s="70"/>
      <c r="J512" s="70"/>
    </row>
    <row r="513">
      <c r="D513" s="70"/>
      <c r="E513" s="70"/>
      <c r="G513" s="70"/>
      <c r="H513" s="70"/>
      <c r="I513" s="70"/>
      <c r="J513" s="70"/>
    </row>
    <row r="514">
      <c r="D514" s="70"/>
      <c r="E514" s="70"/>
      <c r="G514" s="70"/>
      <c r="H514" s="70"/>
      <c r="I514" s="70"/>
      <c r="J514" s="70"/>
    </row>
    <row r="515">
      <c r="D515" s="70"/>
      <c r="E515" s="70"/>
      <c r="G515" s="70"/>
      <c r="H515" s="70"/>
      <c r="I515" s="70"/>
      <c r="J515" s="70"/>
    </row>
    <row r="516">
      <c r="D516" s="70"/>
      <c r="E516" s="70"/>
      <c r="G516" s="70"/>
      <c r="H516" s="70"/>
      <c r="I516" s="70"/>
      <c r="J516" s="70"/>
    </row>
    <row r="517">
      <c r="D517" s="70"/>
      <c r="E517" s="70"/>
      <c r="G517" s="70"/>
      <c r="H517" s="70"/>
      <c r="I517" s="70"/>
      <c r="J517" s="70"/>
    </row>
    <row r="518">
      <c r="D518" s="70"/>
      <c r="E518" s="70"/>
      <c r="G518" s="70"/>
      <c r="H518" s="70"/>
      <c r="I518" s="70"/>
      <c r="J518" s="70"/>
    </row>
    <row r="519">
      <c r="D519" s="70"/>
      <c r="E519" s="70"/>
      <c r="G519" s="70"/>
      <c r="H519" s="70"/>
      <c r="I519" s="70"/>
      <c r="J519" s="70"/>
    </row>
    <row r="520">
      <c r="D520" s="70"/>
      <c r="E520" s="70"/>
      <c r="G520" s="70"/>
      <c r="H520" s="70"/>
      <c r="I520" s="70"/>
      <c r="J520" s="70"/>
    </row>
    <row r="521">
      <c r="D521" s="70"/>
      <c r="E521" s="70"/>
      <c r="G521" s="70"/>
      <c r="H521" s="70"/>
      <c r="I521" s="70"/>
      <c r="J521" s="70"/>
    </row>
    <row r="522">
      <c r="D522" s="70"/>
      <c r="E522" s="70"/>
      <c r="G522" s="70"/>
      <c r="H522" s="70"/>
      <c r="I522" s="70"/>
      <c r="J522" s="70"/>
    </row>
    <row r="523">
      <c r="D523" s="70"/>
      <c r="E523" s="70"/>
      <c r="G523" s="70"/>
      <c r="H523" s="70"/>
      <c r="I523" s="70"/>
      <c r="J523" s="70"/>
    </row>
    <row r="524">
      <c r="D524" s="70"/>
      <c r="E524" s="70"/>
      <c r="G524" s="70"/>
      <c r="H524" s="70"/>
      <c r="I524" s="70"/>
      <c r="J524" s="70"/>
    </row>
    <row r="525">
      <c r="D525" s="70"/>
      <c r="E525" s="70"/>
      <c r="G525" s="70"/>
      <c r="H525" s="70"/>
      <c r="I525" s="70"/>
      <c r="J525" s="70"/>
    </row>
    <row r="526">
      <c r="D526" s="70"/>
      <c r="E526" s="70"/>
      <c r="G526" s="70"/>
      <c r="H526" s="70"/>
      <c r="I526" s="70"/>
      <c r="J526" s="70"/>
    </row>
    <row r="527">
      <c r="D527" s="70"/>
      <c r="E527" s="70"/>
      <c r="G527" s="70"/>
      <c r="H527" s="70"/>
      <c r="I527" s="70"/>
      <c r="J527" s="70"/>
    </row>
    <row r="528">
      <c r="D528" s="70"/>
      <c r="E528" s="70"/>
      <c r="G528" s="70"/>
      <c r="H528" s="70"/>
      <c r="I528" s="70"/>
      <c r="J528" s="70"/>
    </row>
    <row r="529">
      <c r="D529" s="70"/>
      <c r="E529" s="70"/>
      <c r="G529" s="70"/>
      <c r="H529" s="70"/>
      <c r="I529" s="70"/>
      <c r="J529" s="70"/>
    </row>
    <row r="530">
      <c r="D530" s="70"/>
      <c r="E530" s="70"/>
      <c r="G530" s="70"/>
      <c r="H530" s="70"/>
      <c r="I530" s="70"/>
      <c r="J530" s="70"/>
    </row>
    <row r="531">
      <c r="D531" s="70"/>
      <c r="E531" s="70"/>
      <c r="G531" s="70"/>
      <c r="H531" s="70"/>
      <c r="I531" s="70"/>
      <c r="J531" s="70"/>
    </row>
    <row r="532">
      <c r="D532" s="70"/>
      <c r="E532" s="70"/>
      <c r="G532" s="70"/>
      <c r="H532" s="70"/>
      <c r="I532" s="70"/>
      <c r="J532" s="70"/>
    </row>
    <row r="533">
      <c r="D533" s="70"/>
      <c r="E533" s="70"/>
      <c r="G533" s="70"/>
      <c r="H533" s="70"/>
      <c r="I533" s="70"/>
      <c r="J533" s="70"/>
    </row>
    <row r="534">
      <c r="D534" s="70"/>
      <c r="E534" s="70"/>
      <c r="G534" s="70"/>
      <c r="H534" s="70"/>
      <c r="I534" s="70"/>
      <c r="J534" s="70"/>
    </row>
    <row r="535">
      <c r="D535" s="70"/>
      <c r="E535" s="70"/>
      <c r="G535" s="70"/>
      <c r="H535" s="70"/>
      <c r="I535" s="70"/>
      <c r="J535" s="70"/>
    </row>
    <row r="536">
      <c r="D536" s="70"/>
      <c r="E536" s="70"/>
      <c r="G536" s="70"/>
      <c r="H536" s="70"/>
      <c r="I536" s="70"/>
      <c r="J536" s="70"/>
    </row>
    <row r="537">
      <c r="D537" s="70"/>
      <c r="E537" s="70"/>
      <c r="G537" s="70"/>
      <c r="H537" s="70"/>
      <c r="I537" s="70"/>
      <c r="J537" s="70"/>
    </row>
    <row r="538">
      <c r="D538" s="70"/>
      <c r="E538" s="70"/>
      <c r="G538" s="70"/>
      <c r="H538" s="70"/>
      <c r="I538" s="70"/>
      <c r="J538" s="70"/>
    </row>
    <row r="539">
      <c r="D539" s="70"/>
      <c r="E539" s="70"/>
      <c r="G539" s="70"/>
      <c r="H539" s="70"/>
      <c r="I539" s="70"/>
      <c r="J539" s="70"/>
    </row>
    <row r="540">
      <c r="D540" s="70"/>
      <c r="E540" s="70"/>
      <c r="G540" s="70"/>
      <c r="H540" s="70"/>
      <c r="I540" s="70"/>
      <c r="J540" s="70"/>
    </row>
    <row r="541">
      <c r="D541" s="70"/>
      <c r="E541" s="70"/>
      <c r="G541" s="70"/>
      <c r="H541" s="70"/>
      <c r="I541" s="70"/>
      <c r="J541" s="70"/>
    </row>
    <row r="542">
      <c r="D542" s="70"/>
      <c r="E542" s="70"/>
      <c r="G542" s="70"/>
      <c r="H542" s="70"/>
      <c r="I542" s="70"/>
      <c r="J542" s="70"/>
    </row>
    <row r="543">
      <c r="D543" s="70"/>
      <c r="E543" s="70"/>
      <c r="G543" s="70"/>
      <c r="H543" s="70"/>
      <c r="I543" s="70"/>
      <c r="J543" s="70"/>
    </row>
    <row r="544">
      <c r="D544" s="70"/>
      <c r="E544" s="70"/>
      <c r="G544" s="70"/>
      <c r="H544" s="70"/>
      <c r="I544" s="70"/>
      <c r="J544" s="70"/>
    </row>
    <row r="545">
      <c r="D545" s="70"/>
      <c r="E545" s="70"/>
      <c r="G545" s="70"/>
      <c r="H545" s="70"/>
      <c r="I545" s="70"/>
      <c r="J545" s="70"/>
    </row>
    <row r="546">
      <c r="D546" s="70"/>
      <c r="E546" s="70"/>
      <c r="G546" s="70"/>
      <c r="H546" s="70"/>
      <c r="I546" s="70"/>
      <c r="J546" s="70"/>
    </row>
    <row r="547">
      <c r="D547" s="70"/>
      <c r="E547" s="70"/>
      <c r="G547" s="70"/>
      <c r="H547" s="70"/>
      <c r="I547" s="70"/>
      <c r="J547" s="70"/>
    </row>
    <row r="548">
      <c r="D548" s="70"/>
      <c r="E548" s="70"/>
      <c r="G548" s="70"/>
      <c r="H548" s="70"/>
      <c r="I548" s="70"/>
      <c r="J548" s="70"/>
    </row>
    <row r="549">
      <c r="D549" s="70"/>
      <c r="E549" s="70"/>
      <c r="G549" s="70"/>
      <c r="H549" s="70"/>
      <c r="I549" s="70"/>
      <c r="J549" s="70"/>
    </row>
    <row r="550">
      <c r="D550" s="70"/>
      <c r="E550" s="70"/>
      <c r="G550" s="70"/>
      <c r="H550" s="70"/>
      <c r="I550" s="70"/>
      <c r="J550" s="70"/>
    </row>
    <row r="551">
      <c r="D551" s="70"/>
      <c r="E551" s="70"/>
      <c r="G551" s="70"/>
      <c r="H551" s="70"/>
      <c r="I551" s="70"/>
      <c r="J551" s="70"/>
    </row>
    <row r="552">
      <c r="D552" s="70"/>
      <c r="E552" s="70"/>
      <c r="G552" s="70"/>
      <c r="H552" s="70"/>
      <c r="I552" s="70"/>
      <c r="J552" s="70"/>
    </row>
    <row r="553">
      <c r="D553" s="70"/>
      <c r="E553" s="70"/>
      <c r="G553" s="70"/>
      <c r="H553" s="70"/>
      <c r="I553" s="70"/>
      <c r="J553" s="70"/>
    </row>
    <row r="554">
      <c r="D554" s="70"/>
      <c r="E554" s="70"/>
      <c r="G554" s="70"/>
      <c r="H554" s="70"/>
      <c r="I554" s="70"/>
      <c r="J554" s="70"/>
    </row>
    <row r="555">
      <c r="D555" s="70"/>
      <c r="E555" s="70"/>
      <c r="G555" s="70"/>
      <c r="H555" s="70"/>
      <c r="I555" s="70"/>
      <c r="J555" s="70"/>
    </row>
    <row r="556">
      <c r="D556" s="70"/>
      <c r="E556" s="70"/>
      <c r="G556" s="70"/>
      <c r="H556" s="70"/>
      <c r="I556" s="70"/>
      <c r="J556" s="70"/>
    </row>
    <row r="557">
      <c r="D557" s="70"/>
      <c r="E557" s="70"/>
      <c r="G557" s="70"/>
      <c r="H557" s="70"/>
      <c r="I557" s="70"/>
      <c r="J557" s="70"/>
    </row>
    <row r="558">
      <c r="D558" s="70"/>
      <c r="E558" s="70"/>
      <c r="G558" s="70"/>
      <c r="H558" s="70"/>
      <c r="I558" s="70"/>
      <c r="J558" s="70"/>
    </row>
    <row r="559">
      <c r="D559" s="70"/>
      <c r="E559" s="70"/>
      <c r="G559" s="70"/>
      <c r="H559" s="70"/>
      <c r="I559" s="70"/>
      <c r="J559" s="70"/>
    </row>
    <row r="560">
      <c r="D560" s="70"/>
      <c r="E560" s="70"/>
      <c r="G560" s="70"/>
      <c r="H560" s="70"/>
      <c r="I560" s="70"/>
      <c r="J560" s="70"/>
    </row>
    <row r="561">
      <c r="D561" s="70"/>
      <c r="E561" s="70"/>
      <c r="G561" s="70"/>
      <c r="H561" s="70"/>
      <c r="I561" s="70"/>
      <c r="J561" s="70"/>
    </row>
    <row r="562">
      <c r="D562" s="70"/>
      <c r="E562" s="70"/>
      <c r="G562" s="70"/>
      <c r="H562" s="70"/>
      <c r="I562" s="70"/>
      <c r="J562" s="70"/>
    </row>
    <row r="563">
      <c r="D563" s="70"/>
      <c r="E563" s="70"/>
      <c r="G563" s="70"/>
      <c r="H563" s="70"/>
      <c r="I563" s="70"/>
      <c r="J563" s="70"/>
    </row>
    <row r="564">
      <c r="D564" s="70"/>
      <c r="E564" s="70"/>
      <c r="G564" s="70"/>
      <c r="H564" s="70"/>
      <c r="I564" s="70"/>
      <c r="J564" s="70"/>
    </row>
    <row r="565">
      <c r="D565" s="70"/>
      <c r="E565" s="70"/>
      <c r="G565" s="70"/>
      <c r="H565" s="70"/>
      <c r="I565" s="70"/>
      <c r="J565" s="70"/>
    </row>
    <row r="566">
      <c r="D566" s="70"/>
      <c r="E566" s="70"/>
      <c r="G566" s="70"/>
      <c r="H566" s="70"/>
      <c r="I566" s="70"/>
      <c r="J566" s="70"/>
    </row>
    <row r="567">
      <c r="D567" s="70"/>
      <c r="E567" s="70"/>
      <c r="G567" s="70"/>
      <c r="H567" s="70"/>
      <c r="I567" s="70"/>
      <c r="J567" s="70"/>
    </row>
    <row r="568">
      <c r="D568" s="70"/>
      <c r="E568" s="70"/>
      <c r="G568" s="70"/>
      <c r="H568" s="70"/>
      <c r="I568" s="70"/>
      <c r="J568" s="70"/>
    </row>
    <row r="569">
      <c r="D569" s="70"/>
      <c r="E569" s="70"/>
      <c r="G569" s="70"/>
      <c r="H569" s="70"/>
      <c r="I569" s="70"/>
      <c r="J569" s="70"/>
    </row>
    <row r="570">
      <c r="D570" s="70"/>
      <c r="E570" s="70"/>
      <c r="G570" s="70"/>
      <c r="H570" s="70"/>
      <c r="I570" s="70"/>
      <c r="J570" s="70"/>
    </row>
    <row r="571">
      <c r="D571" s="70"/>
      <c r="E571" s="70"/>
      <c r="G571" s="70"/>
      <c r="H571" s="70"/>
      <c r="I571" s="70"/>
      <c r="J571" s="70"/>
    </row>
    <row r="572">
      <c r="D572" s="70"/>
      <c r="E572" s="70"/>
      <c r="G572" s="70"/>
      <c r="H572" s="70"/>
      <c r="I572" s="70"/>
      <c r="J572" s="70"/>
    </row>
    <row r="573">
      <c r="D573" s="70"/>
      <c r="E573" s="70"/>
      <c r="G573" s="70"/>
      <c r="H573" s="70"/>
      <c r="I573" s="70"/>
      <c r="J573" s="70"/>
    </row>
    <row r="574">
      <c r="D574" s="70"/>
      <c r="E574" s="70"/>
      <c r="G574" s="70"/>
      <c r="H574" s="70"/>
      <c r="I574" s="70"/>
      <c r="J574" s="70"/>
    </row>
    <row r="575">
      <c r="D575" s="70"/>
      <c r="E575" s="70"/>
      <c r="G575" s="70"/>
      <c r="H575" s="70"/>
      <c r="I575" s="70"/>
      <c r="J575" s="70"/>
    </row>
    <row r="576">
      <c r="D576" s="70"/>
      <c r="E576" s="70"/>
      <c r="G576" s="70"/>
      <c r="H576" s="70"/>
      <c r="I576" s="70"/>
      <c r="J576" s="70"/>
    </row>
    <row r="577">
      <c r="D577" s="70"/>
      <c r="E577" s="70"/>
      <c r="G577" s="70"/>
      <c r="H577" s="70"/>
      <c r="I577" s="70"/>
      <c r="J577" s="70"/>
    </row>
    <row r="578">
      <c r="D578" s="70"/>
      <c r="E578" s="70"/>
      <c r="G578" s="70"/>
      <c r="H578" s="70"/>
      <c r="I578" s="70"/>
      <c r="J578" s="70"/>
    </row>
    <row r="579">
      <c r="D579" s="70"/>
      <c r="E579" s="70"/>
      <c r="G579" s="70"/>
      <c r="H579" s="70"/>
      <c r="I579" s="70"/>
      <c r="J579" s="70"/>
    </row>
    <row r="580">
      <c r="D580" s="70"/>
      <c r="E580" s="70"/>
      <c r="G580" s="70"/>
      <c r="H580" s="70"/>
      <c r="I580" s="70"/>
      <c r="J580" s="70"/>
    </row>
    <row r="581">
      <c r="D581" s="70"/>
      <c r="E581" s="70"/>
      <c r="G581" s="70"/>
      <c r="H581" s="70"/>
      <c r="I581" s="70"/>
      <c r="J581" s="70"/>
    </row>
    <row r="582">
      <c r="D582" s="70"/>
      <c r="E582" s="70"/>
      <c r="G582" s="70"/>
      <c r="H582" s="70"/>
      <c r="I582" s="70"/>
      <c r="J582" s="70"/>
    </row>
    <row r="583">
      <c r="D583" s="70"/>
      <c r="E583" s="70"/>
      <c r="G583" s="70"/>
      <c r="H583" s="70"/>
      <c r="I583" s="70"/>
      <c r="J583" s="70"/>
    </row>
    <row r="584">
      <c r="D584" s="70"/>
      <c r="E584" s="70"/>
      <c r="G584" s="70"/>
      <c r="H584" s="70"/>
      <c r="I584" s="70"/>
      <c r="J584" s="70"/>
    </row>
    <row r="585">
      <c r="D585" s="70"/>
      <c r="E585" s="70"/>
      <c r="G585" s="70"/>
      <c r="H585" s="70"/>
      <c r="I585" s="70"/>
      <c r="J585" s="70"/>
    </row>
    <row r="586">
      <c r="D586" s="70"/>
      <c r="E586" s="70"/>
      <c r="G586" s="70"/>
      <c r="H586" s="70"/>
      <c r="I586" s="70"/>
      <c r="J586" s="70"/>
    </row>
    <row r="587">
      <c r="D587" s="70"/>
      <c r="E587" s="70"/>
      <c r="G587" s="70"/>
      <c r="H587" s="70"/>
      <c r="I587" s="70"/>
      <c r="J587" s="70"/>
    </row>
    <row r="588">
      <c r="D588" s="70"/>
      <c r="E588" s="70"/>
      <c r="G588" s="70"/>
      <c r="H588" s="70"/>
      <c r="I588" s="70"/>
      <c r="J588" s="70"/>
    </row>
    <row r="589">
      <c r="D589" s="70"/>
      <c r="E589" s="70"/>
      <c r="G589" s="70"/>
      <c r="H589" s="70"/>
      <c r="I589" s="70"/>
      <c r="J589" s="70"/>
    </row>
    <row r="590">
      <c r="D590" s="70"/>
      <c r="E590" s="70"/>
      <c r="G590" s="70"/>
      <c r="H590" s="70"/>
      <c r="I590" s="70"/>
      <c r="J590" s="70"/>
    </row>
    <row r="591">
      <c r="D591" s="70"/>
      <c r="E591" s="70"/>
      <c r="G591" s="70"/>
      <c r="H591" s="70"/>
      <c r="I591" s="70"/>
      <c r="J591" s="70"/>
    </row>
    <row r="592">
      <c r="D592" s="70"/>
      <c r="E592" s="70"/>
      <c r="G592" s="70"/>
      <c r="H592" s="70"/>
      <c r="I592" s="70"/>
      <c r="J592" s="70"/>
    </row>
    <row r="593">
      <c r="D593" s="70"/>
      <c r="E593" s="70"/>
      <c r="G593" s="70"/>
      <c r="H593" s="70"/>
      <c r="I593" s="70"/>
      <c r="J593" s="70"/>
    </row>
    <row r="594">
      <c r="D594" s="70"/>
      <c r="E594" s="70"/>
      <c r="G594" s="70"/>
      <c r="H594" s="70"/>
      <c r="I594" s="70"/>
      <c r="J594" s="70"/>
    </row>
    <row r="595">
      <c r="D595" s="70"/>
      <c r="E595" s="70"/>
      <c r="G595" s="70"/>
      <c r="H595" s="70"/>
      <c r="I595" s="70"/>
      <c r="J595" s="70"/>
    </row>
    <row r="596">
      <c r="D596" s="70"/>
      <c r="E596" s="70"/>
      <c r="G596" s="70"/>
      <c r="H596" s="70"/>
      <c r="I596" s="70"/>
      <c r="J596" s="70"/>
    </row>
    <row r="597">
      <c r="D597" s="70"/>
      <c r="E597" s="70"/>
      <c r="G597" s="70"/>
      <c r="H597" s="70"/>
      <c r="I597" s="70"/>
      <c r="J597" s="70"/>
    </row>
    <row r="598">
      <c r="D598" s="70"/>
      <c r="E598" s="70"/>
      <c r="G598" s="70"/>
      <c r="H598" s="70"/>
      <c r="I598" s="70"/>
      <c r="J598" s="70"/>
    </row>
    <row r="599">
      <c r="D599" s="70"/>
      <c r="E599" s="70"/>
      <c r="G599" s="70"/>
      <c r="H599" s="70"/>
      <c r="I599" s="70"/>
      <c r="J599" s="70"/>
    </row>
    <row r="600">
      <c r="D600" s="70"/>
      <c r="E600" s="70"/>
      <c r="G600" s="70"/>
      <c r="H600" s="70"/>
      <c r="I600" s="70"/>
      <c r="J600" s="70"/>
    </row>
    <row r="601">
      <c r="D601" s="70"/>
      <c r="E601" s="70"/>
      <c r="G601" s="70"/>
      <c r="H601" s="70"/>
      <c r="I601" s="70"/>
      <c r="J601" s="70"/>
    </row>
    <row r="602">
      <c r="D602" s="70"/>
      <c r="E602" s="70"/>
      <c r="G602" s="70"/>
      <c r="H602" s="70"/>
      <c r="I602" s="70"/>
      <c r="J602" s="70"/>
    </row>
    <row r="603">
      <c r="D603" s="70"/>
      <c r="E603" s="70"/>
      <c r="G603" s="70"/>
      <c r="H603" s="70"/>
      <c r="I603" s="70"/>
      <c r="J603" s="70"/>
    </row>
    <row r="604">
      <c r="D604" s="70"/>
      <c r="E604" s="70"/>
      <c r="G604" s="70"/>
      <c r="H604" s="70"/>
      <c r="I604" s="70"/>
      <c r="J604" s="70"/>
    </row>
    <row r="605">
      <c r="D605" s="70"/>
      <c r="E605" s="70"/>
      <c r="G605" s="70"/>
      <c r="H605" s="70"/>
      <c r="I605" s="70"/>
      <c r="J605" s="70"/>
    </row>
    <row r="606">
      <c r="D606" s="70"/>
      <c r="E606" s="70"/>
      <c r="G606" s="70"/>
      <c r="H606" s="70"/>
      <c r="I606" s="70"/>
      <c r="J606" s="70"/>
    </row>
    <row r="607">
      <c r="D607" s="70"/>
      <c r="E607" s="70"/>
      <c r="G607" s="70"/>
      <c r="H607" s="70"/>
      <c r="I607" s="70"/>
      <c r="J607" s="70"/>
    </row>
    <row r="608">
      <c r="D608" s="70"/>
      <c r="E608" s="70"/>
      <c r="G608" s="70"/>
      <c r="H608" s="70"/>
      <c r="I608" s="70"/>
      <c r="J608" s="70"/>
    </row>
    <row r="609">
      <c r="D609" s="70"/>
      <c r="E609" s="70"/>
      <c r="G609" s="70"/>
      <c r="H609" s="70"/>
      <c r="I609" s="70"/>
      <c r="J609" s="70"/>
    </row>
    <row r="610">
      <c r="D610" s="70"/>
      <c r="E610" s="70"/>
      <c r="G610" s="70"/>
      <c r="H610" s="70"/>
      <c r="I610" s="70"/>
      <c r="J610" s="70"/>
    </row>
    <row r="611">
      <c r="D611" s="70"/>
      <c r="E611" s="70"/>
      <c r="G611" s="70"/>
      <c r="H611" s="70"/>
      <c r="I611" s="70"/>
      <c r="J611" s="70"/>
    </row>
    <row r="612">
      <c r="D612" s="70"/>
      <c r="E612" s="70"/>
      <c r="G612" s="70"/>
      <c r="H612" s="70"/>
      <c r="I612" s="70"/>
      <c r="J612" s="70"/>
    </row>
    <row r="613">
      <c r="D613" s="70"/>
      <c r="E613" s="70"/>
      <c r="G613" s="70"/>
      <c r="H613" s="70"/>
      <c r="I613" s="70"/>
      <c r="J613" s="70"/>
    </row>
    <row r="614">
      <c r="D614" s="70"/>
      <c r="E614" s="70"/>
      <c r="G614" s="70"/>
      <c r="H614" s="70"/>
      <c r="I614" s="70"/>
      <c r="J614" s="70"/>
    </row>
    <row r="615">
      <c r="D615" s="70"/>
      <c r="E615" s="70"/>
      <c r="G615" s="70"/>
      <c r="H615" s="70"/>
      <c r="I615" s="70"/>
      <c r="J615" s="70"/>
    </row>
    <row r="616">
      <c r="D616" s="70"/>
      <c r="E616" s="70"/>
      <c r="G616" s="70"/>
      <c r="H616" s="70"/>
      <c r="I616" s="70"/>
      <c r="J616" s="70"/>
    </row>
    <row r="617">
      <c r="D617" s="70"/>
      <c r="E617" s="70"/>
      <c r="G617" s="70"/>
      <c r="H617" s="70"/>
      <c r="I617" s="70"/>
      <c r="J617" s="70"/>
    </row>
    <row r="618">
      <c r="D618" s="70"/>
      <c r="E618" s="70"/>
      <c r="G618" s="70"/>
      <c r="H618" s="70"/>
      <c r="I618" s="70"/>
      <c r="J618" s="70"/>
    </row>
    <row r="619">
      <c r="D619" s="70"/>
      <c r="E619" s="70"/>
      <c r="G619" s="70"/>
      <c r="H619" s="70"/>
      <c r="I619" s="70"/>
      <c r="J619" s="70"/>
    </row>
    <row r="620">
      <c r="D620" s="70"/>
      <c r="E620" s="70"/>
      <c r="G620" s="70"/>
      <c r="H620" s="70"/>
      <c r="I620" s="70"/>
      <c r="J620" s="70"/>
    </row>
    <row r="621">
      <c r="D621" s="70"/>
      <c r="E621" s="70"/>
      <c r="G621" s="70"/>
      <c r="H621" s="70"/>
      <c r="I621" s="70"/>
      <c r="J621" s="70"/>
    </row>
    <row r="622">
      <c r="D622" s="70"/>
      <c r="E622" s="70"/>
      <c r="G622" s="70"/>
      <c r="H622" s="70"/>
      <c r="I622" s="70"/>
      <c r="J622" s="70"/>
    </row>
    <row r="623">
      <c r="D623" s="70"/>
      <c r="E623" s="70"/>
      <c r="G623" s="70"/>
      <c r="H623" s="70"/>
      <c r="I623" s="70"/>
      <c r="J623" s="70"/>
    </row>
    <row r="624">
      <c r="D624" s="70"/>
      <c r="E624" s="70"/>
      <c r="G624" s="70"/>
      <c r="H624" s="70"/>
      <c r="I624" s="70"/>
      <c r="J624" s="70"/>
    </row>
    <row r="625">
      <c r="D625" s="70"/>
      <c r="E625" s="70"/>
      <c r="G625" s="70"/>
      <c r="H625" s="70"/>
      <c r="I625" s="70"/>
      <c r="J625" s="70"/>
    </row>
    <row r="626">
      <c r="D626" s="70"/>
      <c r="E626" s="70"/>
      <c r="G626" s="70"/>
      <c r="H626" s="70"/>
      <c r="I626" s="70"/>
      <c r="J626" s="70"/>
    </row>
    <row r="627">
      <c r="D627" s="70"/>
      <c r="E627" s="70"/>
      <c r="G627" s="70"/>
      <c r="H627" s="70"/>
      <c r="I627" s="70"/>
      <c r="J627" s="70"/>
    </row>
    <row r="628">
      <c r="D628" s="70"/>
      <c r="E628" s="70"/>
      <c r="G628" s="70"/>
      <c r="H628" s="70"/>
      <c r="I628" s="70"/>
      <c r="J628" s="70"/>
    </row>
    <row r="629">
      <c r="D629" s="70"/>
      <c r="E629" s="70"/>
      <c r="G629" s="70"/>
      <c r="H629" s="70"/>
      <c r="I629" s="70"/>
      <c r="J629" s="70"/>
    </row>
    <row r="630">
      <c r="D630" s="70"/>
      <c r="E630" s="70"/>
      <c r="G630" s="70"/>
      <c r="H630" s="70"/>
      <c r="I630" s="70"/>
      <c r="J630" s="70"/>
    </row>
    <row r="631">
      <c r="D631" s="70"/>
      <c r="E631" s="70"/>
      <c r="G631" s="70"/>
      <c r="H631" s="70"/>
      <c r="I631" s="70"/>
      <c r="J631" s="70"/>
    </row>
    <row r="632">
      <c r="D632" s="70"/>
      <c r="E632" s="70"/>
      <c r="G632" s="70"/>
      <c r="H632" s="70"/>
      <c r="I632" s="70"/>
      <c r="J632" s="70"/>
    </row>
    <row r="633">
      <c r="D633" s="70"/>
      <c r="E633" s="70"/>
      <c r="G633" s="70"/>
      <c r="H633" s="70"/>
      <c r="I633" s="70"/>
      <c r="J633" s="70"/>
    </row>
    <row r="634">
      <c r="D634" s="70"/>
      <c r="E634" s="70"/>
      <c r="G634" s="70"/>
      <c r="H634" s="70"/>
      <c r="I634" s="70"/>
      <c r="J634" s="70"/>
    </row>
    <row r="635">
      <c r="D635" s="70"/>
      <c r="E635" s="70"/>
      <c r="G635" s="70"/>
      <c r="H635" s="70"/>
      <c r="I635" s="70"/>
      <c r="J635" s="70"/>
    </row>
    <row r="636">
      <c r="D636" s="70"/>
      <c r="E636" s="70"/>
      <c r="G636" s="70"/>
      <c r="H636" s="70"/>
      <c r="I636" s="70"/>
      <c r="J636" s="70"/>
    </row>
    <row r="637">
      <c r="D637" s="70"/>
      <c r="E637" s="70"/>
      <c r="G637" s="70"/>
      <c r="H637" s="70"/>
      <c r="I637" s="70"/>
      <c r="J637" s="70"/>
    </row>
    <row r="638">
      <c r="D638" s="70"/>
      <c r="E638" s="70"/>
      <c r="G638" s="70"/>
      <c r="H638" s="70"/>
      <c r="I638" s="70"/>
      <c r="J638" s="70"/>
    </row>
    <row r="639">
      <c r="D639" s="70"/>
      <c r="E639" s="70"/>
      <c r="G639" s="70"/>
      <c r="H639" s="70"/>
      <c r="I639" s="70"/>
      <c r="J639" s="70"/>
    </row>
    <row r="640">
      <c r="D640" s="70"/>
      <c r="E640" s="70"/>
      <c r="G640" s="70"/>
      <c r="H640" s="70"/>
      <c r="I640" s="70"/>
      <c r="J640" s="70"/>
    </row>
    <row r="641">
      <c r="D641" s="70"/>
      <c r="E641" s="70"/>
      <c r="G641" s="70"/>
      <c r="H641" s="70"/>
      <c r="I641" s="70"/>
      <c r="J641" s="70"/>
    </row>
    <row r="642">
      <c r="D642" s="70"/>
      <c r="E642" s="70"/>
      <c r="G642" s="70"/>
      <c r="H642" s="70"/>
      <c r="I642" s="70"/>
      <c r="J642" s="70"/>
    </row>
    <row r="643">
      <c r="D643" s="70"/>
      <c r="E643" s="70"/>
      <c r="G643" s="70"/>
      <c r="H643" s="70"/>
      <c r="I643" s="70"/>
      <c r="J643" s="70"/>
    </row>
    <row r="644">
      <c r="D644" s="70"/>
      <c r="E644" s="70"/>
      <c r="G644" s="70"/>
      <c r="H644" s="70"/>
      <c r="I644" s="70"/>
      <c r="J644" s="70"/>
    </row>
    <row r="645">
      <c r="D645" s="70"/>
      <c r="E645" s="70"/>
      <c r="G645" s="70"/>
      <c r="H645" s="70"/>
      <c r="I645" s="70"/>
      <c r="J645" s="70"/>
    </row>
    <row r="646">
      <c r="D646" s="70"/>
      <c r="E646" s="70"/>
      <c r="G646" s="70"/>
      <c r="H646" s="70"/>
      <c r="I646" s="70"/>
      <c r="J646" s="70"/>
    </row>
    <row r="647">
      <c r="D647" s="70"/>
      <c r="E647" s="70"/>
      <c r="G647" s="70"/>
      <c r="H647" s="70"/>
      <c r="I647" s="70"/>
      <c r="J647" s="70"/>
    </row>
    <row r="648">
      <c r="D648" s="70"/>
      <c r="E648" s="70"/>
      <c r="G648" s="70"/>
      <c r="H648" s="70"/>
      <c r="I648" s="70"/>
      <c r="J648" s="70"/>
    </row>
    <row r="649">
      <c r="D649" s="70"/>
      <c r="E649" s="70"/>
      <c r="G649" s="70"/>
      <c r="H649" s="70"/>
      <c r="I649" s="70"/>
      <c r="J649" s="70"/>
    </row>
    <row r="650">
      <c r="D650" s="70"/>
      <c r="E650" s="70"/>
      <c r="G650" s="70"/>
      <c r="H650" s="70"/>
      <c r="I650" s="70"/>
      <c r="J650" s="70"/>
    </row>
    <row r="651">
      <c r="D651" s="70"/>
      <c r="E651" s="70"/>
      <c r="G651" s="70"/>
      <c r="H651" s="70"/>
      <c r="I651" s="70"/>
      <c r="J651" s="70"/>
    </row>
    <row r="652">
      <c r="D652" s="70"/>
      <c r="E652" s="70"/>
      <c r="G652" s="70"/>
      <c r="H652" s="70"/>
      <c r="I652" s="70"/>
      <c r="J652" s="70"/>
    </row>
    <row r="653">
      <c r="D653" s="70"/>
      <c r="E653" s="70"/>
      <c r="G653" s="70"/>
      <c r="H653" s="70"/>
      <c r="I653" s="70"/>
      <c r="J653" s="70"/>
    </row>
    <row r="654">
      <c r="D654" s="70"/>
      <c r="E654" s="70"/>
      <c r="G654" s="70"/>
      <c r="H654" s="70"/>
      <c r="I654" s="70"/>
      <c r="J654" s="70"/>
    </row>
    <row r="655">
      <c r="D655" s="70"/>
      <c r="E655" s="70"/>
      <c r="G655" s="70"/>
      <c r="H655" s="70"/>
      <c r="I655" s="70"/>
      <c r="J655" s="70"/>
    </row>
    <row r="656">
      <c r="D656" s="70"/>
      <c r="E656" s="70"/>
      <c r="G656" s="70"/>
      <c r="H656" s="70"/>
      <c r="I656" s="70"/>
      <c r="J656" s="70"/>
    </row>
    <row r="657">
      <c r="D657" s="70"/>
      <c r="E657" s="70"/>
      <c r="G657" s="70"/>
      <c r="H657" s="70"/>
      <c r="I657" s="70"/>
      <c r="J657" s="70"/>
    </row>
    <row r="658">
      <c r="D658" s="70"/>
      <c r="E658" s="70"/>
      <c r="G658" s="70"/>
      <c r="H658" s="70"/>
      <c r="I658" s="70"/>
      <c r="J658" s="70"/>
    </row>
    <row r="659">
      <c r="D659" s="70"/>
      <c r="E659" s="70"/>
      <c r="G659" s="70"/>
      <c r="H659" s="70"/>
      <c r="I659" s="70"/>
      <c r="J659" s="70"/>
    </row>
    <row r="660">
      <c r="D660" s="70"/>
      <c r="E660" s="70"/>
      <c r="G660" s="70"/>
      <c r="H660" s="70"/>
      <c r="I660" s="70"/>
      <c r="J660" s="70"/>
    </row>
    <row r="661">
      <c r="D661" s="70"/>
      <c r="E661" s="70"/>
      <c r="G661" s="70"/>
      <c r="H661" s="70"/>
      <c r="I661" s="70"/>
      <c r="J661" s="70"/>
    </row>
    <row r="662">
      <c r="D662" s="70"/>
      <c r="E662" s="70"/>
      <c r="G662" s="70"/>
      <c r="H662" s="70"/>
      <c r="I662" s="70"/>
      <c r="J662" s="70"/>
    </row>
    <row r="663">
      <c r="D663" s="70"/>
      <c r="E663" s="70"/>
      <c r="G663" s="70"/>
      <c r="H663" s="70"/>
      <c r="I663" s="70"/>
      <c r="J663" s="70"/>
    </row>
    <row r="664">
      <c r="D664" s="70"/>
      <c r="E664" s="70"/>
      <c r="G664" s="70"/>
      <c r="H664" s="70"/>
      <c r="I664" s="70"/>
      <c r="J664" s="70"/>
    </row>
    <row r="665">
      <c r="D665" s="70"/>
      <c r="E665" s="70"/>
      <c r="G665" s="70"/>
      <c r="H665" s="70"/>
      <c r="I665" s="70"/>
      <c r="J665" s="70"/>
    </row>
    <row r="666">
      <c r="D666" s="70"/>
      <c r="E666" s="70"/>
      <c r="G666" s="70"/>
      <c r="H666" s="70"/>
      <c r="I666" s="70"/>
      <c r="J666" s="70"/>
    </row>
    <row r="667">
      <c r="D667" s="70"/>
      <c r="E667" s="70"/>
      <c r="G667" s="70"/>
      <c r="H667" s="70"/>
      <c r="I667" s="70"/>
      <c r="J667" s="70"/>
    </row>
    <row r="668">
      <c r="D668" s="70"/>
      <c r="E668" s="70"/>
      <c r="G668" s="70"/>
      <c r="H668" s="70"/>
      <c r="I668" s="70"/>
      <c r="J668" s="70"/>
    </row>
    <row r="669">
      <c r="D669" s="70"/>
      <c r="E669" s="70"/>
      <c r="G669" s="70"/>
      <c r="H669" s="70"/>
      <c r="I669" s="70"/>
      <c r="J669" s="70"/>
    </row>
    <row r="670">
      <c r="D670" s="70"/>
      <c r="E670" s="70"/>
      <c r="G670" s="70"/>
      <c r="H670" s="70"/>
      <c r="I670" s="70"/>
      <c r="J670" s="70"/>
    </row>
    <row r="671">
      <c r="D671" s="70"/>
      <c r="E671" s="70"/>
      <c r="G671" s="70"/>
      <c r="H671" s="70"/>
      <c r="I671" s="70"/>
      <c r="J671" s="70"/>
    </row>
    <row r="672">
      <c r="D672" s="70"/>
      <c r="E672" s="70"/>
      <c r="G672" s="70"/>
      <c r="H672" s="70"/>
      <c r="I672" s="70"/>
      <c r="J672" s="70"/>
    </row>
    <row r="673">
      <c r="D673" s="70"/>
      <c r="E673" s="70"/>
      <c r="G673" s="70"/>
      <c r="H673" s="70"/>
      <c r="I673" s="70"/>
      <c r="J673" s="70"/>
    </row>
    <row r="674">
      <c r="D674" s="70"/>
      <c r="E674" s="70"/>
      <c r="G674" s="70"/>
      <c r="H674" s="70"/>
      <c r="I674" s="70"/>
      <c r="J674" s="70"/>
    </row>
    <row r="675">
      <c r="D675" s="70"/>
      <c r="E675" s="70"/>
      <c r="G675" s="70"/>
      <c r="H675" s="70"/>
      <c r="I675" s="70"/>
      <c r="J675" s="70"/>
    </row>
    <row r="676">
      <c r="D676" s="70"/>
      <c r="E676" s="70"/>
      <c r="G676" s="70"/>
      <c r="H676" s="70"/>
      <c r="I676" s="70"/>
      <c r="J676" s="70"/>
    </row>
    <row r="677">
      <c r="D677" s="70"/>
      <c r="E677" s="70"/>
      <c r="G677" s="70"/>
      <c r="H677" s="70"/>
      <c r="I677" s="70"/>
      <c r="J677" s="70"/>
    </row>
    <row r="678">
      <c r="D678" s="70"/>
      <c r="E678" s="70"/>
      <c r="G678" s="70"/>
      <c r="H678" s="70"/>
      <c r="I678" s="70"/>
      <c r="J678" s="70"/>
    </row>
    <row r="679">
      <c r="D679" s="70"/>
      <c r="E679" s="70"/>
      <c r="G679" s="70"/>
      <c r="H679" s="70"/>
      <c r="I679" s="70"/>
      <c r="J679" s="70"/>
    </row>
    <row r="680">
      <c r="D680" s="70"/>
      <c r="E680" s="70"/>
      <c r="G680" s="70"/>
      <c r="H680" s="70"/>
      <c r="I680" s="70"/>
      <c r="J680" s="70"/>
    </row>
    <row r="681">
      <c r="D681" s="70"/>
      <c r="E681" s="70"/>
      <c r="G681" s="70"/>
      <c r="H681" s="70"/>
      <c r="I681" s="70"/>
      <c r="J681" s="70"/>
    </row>
    <row r="682">
      <c r="D682" s="70"/>
      <c r="E682" s="70"/>
      <c r="G682" s="70"/>
      <c r="H682" s="70"/>
      <c r="I682" s="70"/>
      <c r="J682" s="70"/>
    </row>
    <row r="683">
      <c r="D683" s="70"/>
      <c r="E683" s="70"/>
      <c r="G683" s="70"/>
      <c r="H683" s="70"/>
      <c r="I683" s="70"/>
      <c r="J683" s="70"/>
    </row>
    <row r="684">
      <c r="D684" s="70"/>
      <c r="E684" s="70"/>
      <c r="G684" s="70"/>
      <c r="H684" s="70"/>
      <c r="I684" s="70"/>
      <c r="J684" s="70"/>
    </row>
    <row r="685">
      <c r="D685" s="70"/>
      <c r="E685" s="70"/>
      <c r="G685" s="70"/>
      <c r="H685" s="70"/>
      <c r="I685" s="70"/>
      <c r="J685" s="70"/>
    </row>
    <row r="686">
      <c r="D686" s="70"/>
      <c r="E686" s="70"/>
      <c r="G686" s="70"/>
      <c r="H686" s="70"/>
      <c r="I686" s="70"/>
      <c r="J686" s="70"/>
    </row>
    <row r="687">
      <c r="D687" s="70"/>
      <c r="E687" s="70"/>
      <c r="G687" s="70"/>
      <c r="H687" s="70"/>
      <c r="I687" s="70"/>
      <c r="J687" s="70"/>
    </row>
    <row r="688">
      <c r="D688" s="70"/>
      <c r="E688" s="70"/>
      <c r="G688" s="70"/>
      <c r="H688" s="70"/>
      <c r="I688" s="70"/>
      <c r="J688" s="70"/>
    </row>
    <row r="689">
      <c r="D689" s="70"/>
      <c r="E689" s="70"/>
      <c r="G689" s="70"/>
      <c r="H689" s="70"/>
      <c r="I689" s="70"/>
      <c r="J689" s="70"/>
    </row>
    <row r="690">
      <c r="D690" s="70"/>
      <c r="E690" s="70"/>
      <c r="G690" s="70"/>
      <c r="H690" s="70"/>
      <c r="I690" s="70"/>
      <c r="J690" s="70"/>
    </row>
    <row r="691">
      <c r="D691" s="70"/>
      <c r="E691" s="70"/>
      <c r="G691" s="70"/>
      <c r="H691" s="70"/>
      <c r="I691" s="70"/>
      <c r="J691" s="70"/>
    </row>
    <row r="692">
      <c r="D692" s="70"/>
      <c r="E692" s="70"/>
      <c r="G692" s="70"/>
      <c r="H692" s="70"/>
      <c r="I692" s="70"/>
      <c r="J692" s="70"/>
    </row>
    <row r="693">
      <c r="D693" s="70"/>
      <c r="E693" s="70"/>
      <c r="G693" s="70"/>
      <c r="H693" s="70"/>
      <c r="I693" s="70"/>
      <c r="J693" s="70"/>
    </row>
    <row r="694">
      <c r="D694" s="70"/>
      <c r="E694" s="70"/>
      <c r="G694" s="70"/>
      <c r="H694" s="70"/>
      <c r="I694" s="70"/>
      <c r="J694" s="70"/>
    </row>
    <row r="695">
      <c r="D695" s="70"/>
      <c r="E695" s="70"/>
      <c r="G695" s="70"/>
      <c r="H695" s="70"/>
      <c r="I695" s="70"/>
      <c r="J695" s="70"/>
    </row>
    <row r="696">
      <c r="D696" s="70"/>
      <c r="E696" s="70"/>
      <c r="G696" s="70"/>
      <c r="H696" s="70"/>
      <c r="I696" s="70"/>
      <c r="J696" s="70"/>
    </row>
    <row r="697">
      <c r="D697" s="70"/>
      <c r="E697" s="70"/>
      <c r="G697" s="70"/>
      <c r="H697" s="70"/>
      <c r="I697" s="70"/>
      <c r="J697" s="70"/>
    </row>
    <row r="698">
      <c r="D698" s="70"/>
      <c r="E698" s="70"/>
      <c r="G698" s="70"/>
      <c r="H698" s="70"/>
      <c r="I698" s="70"/>
      <c r="J698" s="70"/>
    </row>
    <row r="699">
      <c r="D699" s="70"/>
      <c r="E699" s="70"/>
      <c r="G699" s="70"/>
      <c r="H699" s="70"/>
      <c r="I699" s="70"/>
      <c r="J699" s="70"/>
    </row>
    <row r="700">
      <c r="D700" s="70"/>
      <c r="E700" s="70"/>
      <c r="G700" s="70"/>
      <c r="H700" s="70"/>
      <c r="I700" s="70"/>
      <c r="J700" s="70"/>
    </row>
    <row r="701">
      <c r="D701" s="70"/>
      <c r="E701" s="70"/>
      <c r="G701" s="70"/>
      <c r="H701" s="70"/>
      <c r="I701" s="70"/>
      <c r="J701" s="70"/>
    </row>
    <row r="702">
      <c r="D702" s="70"/>
      <c r="E702" s="70"/>
      <c r="G702" s="70"/>
      <c r="H702" s="70"/>
      <c r="I702" s="70"/>
      <c r="J702" s="70"/>
    </row>
    <row r="703">
      <c r="D703" s="70"/>
      <c r="E703" s="70"/>
      <c r="G703" s="70"/>
      <c r="H703" s="70"/>
      <c r="I703" s="70"/>
      <c r="J703" s="70"/>
    </row>
    <row r="704">
      <c r="D704" s="70"/>
      <c r="E704" s="70"/>
      <c r="G704" s="70"/>
      <c r="H704" s="70"/>
      <c r="I704" s="70"/>
      <c r="J704" s="70"/>
    </row>
    <row r="705">
      <c r="D705" s="70"/>
      <c r="E705" s="70"/>
      <c r="G705" s="70"/>
      <c r="H705" s="70"/>
      <c r="I705" s="70"/>
      <c r="J705" s="70"/>
    </row>
    <row r="706">
      <c r="D706" s="70"/>
      <c r="E706" s="70"/>
      <c r="G706" s="70"/>
      <c r="H706" s="70"/>
      <c r="I706" s="70"/>
      <c r="J706" s="70"/>
    </row>
    <row r="707">
      <c r="D707" s="70"/>
      <c r="E707" s="70"/>
      <c r="G707" s="70"/>
      <c r="H707" s="70"/>
      <c r="I707" s="70"/>
      <c r="J707" s="70"/>
    </row>
    <row r="708">
      <c r="D708" s="70"/>
      <c r="E708" s="70"/>
      <c r="G708" s="70"/>
      <c r="H708" s="70"/>
      <c r="I708" s="70"/>
      <c r="J708" s="70"/>
    </row>
    <row r="709">
      <c r="D709" s="70"/>
      <c r="E709" s="70"/>
      <c r="G709" s="70"/>
      <c r="H709" s="70"/>
      <c r="I709" s="70"/>
      <c r="J709" s="70"/>
    </row>
    <row r="710">
      <c r="D710" s="70"/>
      <c r="E710" s="70"/>
      <c r="G710" s="70"/>
      <c r="H710" s="70"/>
      <c r="I710" s="70"/>
      <c r="J710" s="70"/>
    </row>
    <row r="711">
      <c r="D711" s="70"/>
      <c r="E711" s="70"/>
      <c r="G711" s="70"/>
      <c r="H711" s="70"/>
      <c r="I711" s="70"/>
      <c r="J711" s="70"/>
    </row>
    <row r="712">
      <c r="D712" s="70"/>
      <c r="E712" s="70"/>
      <c r="G712" s="70"/>
      <c r="H712" s="70"/>
      <c r="I712" s="70"/>
      <c r="J712" s="70"/>
    </row>
    <row r="713">
      <c r="D713" s="70"/>
      <c r="E713" s="70"/>
      <c r="G713" s="70"/>
      <c r="H713" s="70"/>
      <c r="I713" s="70"/>
      <c r="J713" s="70"/>
    </row>
    <row r="714">
      <c r="D714" s="70"/>
      <c r="E714" s="70"/>
      <c r="G714" s="70"/>
      <c r="H714" s="70"/>
      <c r="I714" s="70"/>
      <c r="J714" s="70"/>
    </row>
    <row r="715">
      <c r="D715" s="70"/>
      <c r="E715" s="70"/>
      <c r="G715" s="70"/>
      <c r="H715" s="70"/>
      <c r="I715" s="70"/>
      <c r="J715" s="70"/>
    </row>
    <row r="716">
      <c r="D716" s="70"/>
      <c r="E716" s="70"/>
      <c r="G716" s="70"/>
      <c r="H716" s="70"/>
      <c r="I716" s="70"/>
      <c r="J716" s="70"/>
    </row>
    <row r="717">
      <c r="D717" s="70"/>
      <c r="E717" s="70"/>
      <c r="G717" s="70"/>
      <c r="H717" s="70"/>
      <c r="I717" s="70"/>
      <c r="J717" s="70"/>
    </row>
    <row r="718">
      <c r="D718" s="70"/>
      <c r="E718" s="70"/>
      <c r="G718" s="70"/>
      <c r="H718" s="70"/>
      <c r="I718" s="70"/>
      <c r="J718" s="70"/>
    </row>
    <row r="719">
      <c r="D719" s="70"/>
      <c r="E719" s="70"/>
      <c r="G719" s="70"/>
      <c r="H719" s="70"/>
      <c r="I719" s="70"/>
      <c r="J719" s="70"/>
    </row>
    <row r="720">
      <c r="D720" s="70"/>
      <c r="E720" s="70"/>
      <c r="G720" s="70"/>
      <c r="H720" s="70"/>
      <c r="I720" s="70"/>
      <c r="J720" s="70"/>
    </row>
    <row r="721">
      <c r="D721" s="70"/>
      <c r="E721" s="70"/>
      <c r="G721" s="70"/>
      <c r="H721" s="70"/>
      <c r="I721" s="70"/>
      <c r="J721" s="70"/>
    </row>
    <row r="722">
      <c r="D722" s="70"/>
      <c r="E722" s="70"/>
      <c r="G722" s="70"/>
      <c r="H722" s="70"/>
      <c r="I722" s="70"/>
      <c r="J722" s="70"/>
    </row>
    <row r="723">
      <c r="D723" s="70"/>
      <c r="E723" s="70"/>
      <c r="G723" s="70"/>
      <c r="H723" s="70"/>
      <c r="I723" s="70"/>
      <c r="J723" s="70"/>
    </row>
    <row r="724">
      <c r="D724" s="70"/>
      <c r="E724" s="70"/>
      <c r="G724" s="70"/>
      <c r="H724" s="70"/>
      <c r="I724" s="70"/>
      <c r="J724" s="70"/>
    </row>
    <row r="725">
      <c r="D725" s="70"/>
      <c r="E725" s="70"/>
      <c r="G725" s="70"/>
      <c r="H725" s="70"/>
      <c r="I725" s="70"/>
      <c r="J725" s="70"/>
    </row>
    <row r="726">
      <c r="D726" s="70"/>
      <c r="E726" s="70"/>
      <c r="G726" s="70"/>
      <c r="H726" s="70"/>
      <c r="I726" s="70"/>
      <c r="J726" s="70"/>
    </row>
    <row r="727">
      <c r="D727" s="70"/>
      <c r="E727" s="70"/>
      <c r="G727" s="70"/>
      <c r="H727" s="70"/>
      <c r="I727" s="70"/>
      <c r="J727" s="70"/>
    </row>
    <row r="728">
      <c r="D728" s="70"/>
      <c r="E728" s="70"/>
      <c r="G728" s="70"/>
      <c r="H728" s="70"/>
      <c r="I728" s="70"/>
      <c r="J728" s="70"/>
    </row>
    <row r="729">
      <c r="D729" s="70"/>
      <c r="E729" s="70"/>
      <c r="G729" s="70"/>
      <c r="H729" s="70"/>
      <c r="I729" s="70"/>
      <c r="J729" s="70"/>
    </row>
    <row r="730">
      <c r="D730" s="70"/>
      <c r="E730" s="70"/>
      <c r="G730" s="70"/>
      <c r="H730" s="70"/>
      <c r="I730" s="70"/>
      <c r="J730" s="70"/>
    </row>
    <row r="731">
      <c r="D731" s="70"/>
      <c r="E731" s="70"/>
      <c r="G731" s="70"/>
      <c r="H731" s="70"/>
      <c r="I731" s="70"/>
      <c r="J731" s="70"/>
    </row>
    <row r="732">
      <c r="D732" s="70"/>
      <c r="E732" s="70"/>
      <c r="G732" s="70"/>
      <c r="H732" s="70"/>
      <c r="I732" s="70"/>
      <c r="J732" s="70"/>
    </row>
    <row r="733">
      <c r="D733" s="70"/>
      <c r="E733" s="70"/>
      <c r="G733" s="70"/>
      <c r="H733" s="70"/>
      <c r="I733" s="70"/>
      <c r="J733" s="70"/>
    </row>
    <row r="734">
      <c r="D734" s="70"/>
      <c r="E734" s="70"/>
      <c r="G734" s="70"/>
      <c r="H734" s="70"/>
      <c r="I734" s="70"/>
      <c r="J734" s="70"/>
    </row>
    <row r="735">
      <c r="D735" s="70"/>
      <c r="E735" s="70"/>
      <c r="G735" s="70"/>
      <c r="H735" s="70"/>
      <c r="I735" s="70"/>
      <c r="J735" s="70"/>
    </row>
    <row r="736">
      <c r="D736" s="70"/>
      <c r="E736" s="70"/>
      <c r="G736" s="70"/>
      <c r="H736" s="70"/>
      <c r="I736" s="70"/>
      <c r="J736" s="70"/>
    </row>
    <row r="737">
      <c r="D737" s="70"/>
      <c r="E737" s="70"/>
      <c r="G737" s="70"/>
      <c r="H737" s="70"/>
      <c r="I737" s="70"/>
      <c r="J737" s="70"/>
    </row>
    <row r="738">
      <c r="D738" s="70"/>
      <c r="E738" s="70"/>
      <c r="G738" s="70"/>
      <c r="H738" s="70"/>
      <c r="I738" s="70"/>
      <c r="J738" s="70"/>
    </row>
    <row r="739">
      <c r="D739" s="70"/>
      <c r="E739" s="70"/>
      <c r="G739" s="70"/>
      <c r="H739" s="70"/>
      <c r="I739" s="70"/>
      <c r="J739" s="70"/>
    </row>
    <row r="740">
      <c r="D740" s="70"/>
      <c r="E740" s="70"/>
      <c r="G740" s="70"/>
      <c r="H740" s="70"/>
      <c r="I740" s="70"/>
      <c r="J740" s="70"/>
    </row>
    <row r="741">
      <c r="D741" s="70"/>
      <c r="E741" s="70"/>
      <c r="G741" s="70"/>
      <c r="H741" s="70"/>
      <c r="I741" s="70"/>
      <c r="J741" s="70"/>
    </row>
    <row r="742">
      <c r="D742" s="70"/>
      <c r="E742" s="70"/>
      <c r="G742" s="70"/>
      <c r="H742" s="70"/>
      <c r="I742" s="70"/>
      <c r="J742" s="70"/>
    </row>
    <row r="743">
      <c r="D743" s="70"/>
      <c r="E743" s="70"/>
      <c r="G743" s="70"/>
      <c r="H743" s="70"/>
      <c r="I743" s="70"/>
      <c r="J743" s="70"/>
    </row>
    <row r="744">
      <c r="D744" s="70"/>
      <c r="E744" s="70"/>
      <c r="G744" s="70"/>
      <c r="H744" s="70"/>
      <c r="I744" s="70"/>
      <c r="J744" s="70"/>
    </row>
    <row r="745">
      <c r="D745" s="70"/>
      <c r="E745" s="70"/>
      <c r="G745" s="70"/>
      <c r="H745" s="70"/>
      <c r="I745" s="70"/>
      <c r="J745" s="70"/>
    </row>
    <row r="746">
      <c r="D746" s="70"/>
      <c r="E746" s="70"/>
      <c r="G746" s="70"/>
      <c r="H746" s="70"/>
      <c r="I746" s="70"/>
      <c r="J746" s="70"/>
    </row>
    <row r="747">
      <c r="D747" s="70"/>
      <c r="E747" s="70"/>
      <c r="G747" s="70"/>
      <c r="H747" s="70"/>
      <c r="I747" s="70"/>
      <c r="J747" s="70"/>
    </row>
    <row r="748">
      <c r="D748" s="70"/>
      <c r="E748" s="70"/>
      <c r="G748" s="70"/>
      <c r="H748" s="70"/>
      <c r="I748" s="70"/>
      <c r="J748" s="70"/>
    </row>
    <row r="749">
      <c r="D749" s="70"/>
      <c r="E749" s="70"/>
      <c r="G749" s="70"/>
      <c r="H749" s="70"/>
      <c r="I749" s="70"/>
      <c r="J749" s="70"/>
    </row>
    <row r="750">
      <c r="D750" s="70"/>
      <c r="E750" s="70"/>
      <c r="G750" s="70"/>
      <c r="H750" s="70"/>
      <c r="I750" s="70"/>
      <c r="J750" s="70"/>
    </row>
    <row r="751">
      <c r="D751" s="70"/>
      <c r="E751" s="70"/>
      <c r="G751" s="70"/>
      <c r="H751" s="70"/>
      <c r="I751" s="70"/>
      <c r="J751" s="70"/>
    </row>
    <row r="752">
      <c r="D752" s="70"/>
      <c r="E752" s="70"/>
      <c r="G752" s="70"/>
      <c r="H752" s="70"/>
      <c r="I752" s="70"/>
      <c r="J752" s="70"/>
    </row>
    <row r="753">
      <c r="D753" s="70"/>
      <c r="E753" s="70"/>
      <c r="G753" s="70"/>
      <c r="H753" s="70"/>
      <c r="I753" s="70"/>
      <c r="J753" s="70"/>
    </row>
    <row r="754">
      <c r="D754" s="70"/>
      <c r="E754" s="70"/>
      <c r="G754" s="70"/>
      <c r="H754" s="70"/>
      <c r="I754" s="70"/>
      <c r="J754" s="70"/>
    </row>
    <row r="755">
      <c r="D755" s="70"/>
      <c r="E755" s="70"/>
      <c r="G755" s="70"/>
      <c r="H755" s="70"/>
      <c r="I755" s="70"/>
      <c r="J755" s="70"/>
    </row>
    <row r="756">
      <c r="D756" s="70"/>
      <c r="E756" s="70"/>
      <c r="G756" s="70"/>
      <c r="H756" s="70"/>
      <c r="I756" s="70"/>
      <c r="J756" s="70"/>
    </row>
    <row r="757">
      <c r="D757" s="70"/>
      <c r="E757" s="70"/>
      <c r="G757" s="70"/>
      <c r="H757" s="70"/>
      <c r="I757" s="70"/>
      <c r="J757" s="70"/>
    </row>
    <row r="758">
      <c r="D758" s="70"/>
      <c r="E758" s="70"/>
      <c r="G758" s="70"/>
      <c r="H758" s="70"/>
      <c r="I758" s="70"/>
      <c r="J758" s="70"/>
    </row>
    <row r="759">
      <c r="D759" s="70"/>
      <c r="E759" s="70"/>
      <c r="G759" s="70"/>
      <c r="H759" s="70"/>
      <c r="I759" s="70"/>
      <c r="J759" s="70"/>
    </row>
    <row r="760">
      <c r="D760" s="70"/>
      <c r="E760" s="70"/>
      <c r="G760" s="70"/>
      <c r="H760" s="70"/>
      <c r="I760" s="70"/>
      <c r="J760" s="70"/>
    </row>
    <row r="761">
      <c r="D761" s="70"/>
      <c r="E761" s="70"/>
      <c r="G761" s="70"/>
      <c r="H761" s="70"/>
      <c r="I761" s="70"/>
      <c r="J761" s="70"/>
    </row>
    <row r="762">
      <c r="D762" s="70"/>
      <c r="E762" s="70"/>
      <c r="G762" s="70"/>
      <c r="H762" s="70"/>
      <c r="I762" s="70"/>
      <c r="J762" s="70"/>
    </row>
    <row r="763">
      <c r="D763" s="70"/>
      <c r="E763" s="70"/>
      <c r="G763" s="70"/>
      <c r="H763" s="70"/>
      <c r="I763" s="70"/>
      <c r="J763" s="70"/>
    </row>
    <row r="764">
      <c r="D764" s="70"/>
      <c r="E764" s="70"/>
      <c r="G764" s="70"/>
      <c r="H764" s="70"/>
      <c r="I764" s="70"/>
      <c r="J764" s="70"/>
    </row>
    <row r="765">
      <c r="D765" s="70"/>
      <c r="E765" s="70"/>
      <c r="G765" s="70"/>
      <c r="H765" s="70"/>
      <c r="I765" s="70"/>
      <c r="J765" s="70"/>
    </row>
    <row r="766">
      <c r="D766" s="70"/>
      <c r="E766" s="70"/>
      <c r="G766" s="70"/>
      <c r="H766" s="70"/>
      <c r="I766" s="70"/>
      <c r="J766" s="70"/>
    </row>
    <row r="767">
      <c r="D767" s="70"/>
      <c r="E767" s="70"/>
      <c r="G767" s="70"/>
      <c r="H767" s="70"/>
      <c r="I767" s="70"/>
      <c r="J767" s="70"/>
    </row>
    <row r="768">
      <c r="D768" s="70"/>
      <c r="E768" s="70"/>
      <c r="G768" s="70"/>
      <c r="H768" s="70"/>
      <c r="I768" s="70"/>
      <c r="J768" s="70"/>
    </row>
    <row r="769">
      <c r="D769" s="70"/>
      <c r="E769" s="70"/>
      <c r="G769" s="70"/>
      <c r="H769" s="70"/>
      <c r="I769" s="70"/>
      <c r="J769" s="70"/>
    </row>
    <row r="770">
      <c r="D770" s="70"/>
      <c r="E770" s="70"/>
      <c r="G770" s="70"/>
      <c r="H770" s="70"/>
      <c r="I770" s="70"/>
      <c r="J770" s="70"/>
    </row>
    <row r="771">
      <c r="D771" s="70"/>
      <c r="E771" s="70"/>
      <c r="G771" s="70"/>
      <c r="H771" s="70"/>
      <c r="I771" s="70"/>
      <c r="J771" s="70"/>
    </row>
    <row r="772">
      <c r="D772" s="70"/>
      <c r="E772" s="70"/>
      <c r="G772" s="70"/>
      <c r="H772" s="70"/>
      <c r="I772" s="70"/>
      <c r="J772" s="70"/>
    </row>
    <row r="773">
      <c r="D773" s="70"/>
      <c r="E773" s="70"/>
      <c r="G773" s="70"/>
      <c r="H773" s="70"/>
      <c r="I773" s="70"/>
      <c r="J773" s="70"/>
    </row>
    <row r="774">
      <c r="D774" s="70"/>
      <c r="E774" s="70"/>
      <c r="G774" s="70"/>
      <c r="H774" s="70"/>
      <c r="I774" s="70"/>
      <c r="J774" s="70"/>
    </row>
    <row r="775">
      <c r="D775" s="70"/>
      <c r="E775" s="70"/>
      <c r="G775" s="70"/>
      <c r="H775" s="70"/>
      <c r="I775" s="70"/>
      <c r="J775" s="70"/>
    </row>
    <row r="776">
      <c r="D776" s="70"/>
      <c r="E776" s="70"/>
      <c r="G776" s="70"/>
      <c r="H776" s="70"/>
      <c r="I776" s="70"/>
      <c r="J776" s="70"/>
    </row>
    <row r="777">
      <c r="D777" s="70"/>
      <c r="E777" s="70"/>
      <c r="G777" s="70"/>
      <c r="H777" s="70"/>
      <c r="I777" s="70"/>
      <c r="J777" s="70"/>
    </row>
    <row r="778">
      <c r="D778" s="70"/>
      <c r="E778" s="70"/>
      <c r="G778" s="70"/>
      <c r="H778" s="70"/>
      <c r="I778" s="70"/>
      <c r="J778" s="70"/>
    </row>
    <row r="779">
      <c r="D779" s="70"/>
      <c r="E779" s="70"/>
      <c r="G779" s="70"/>
      <c r="H779" s="70"/>
      <c r="I779" s="70"/>
      <c r="J779" s="70"/>
    </row>
    <row r="780">
      <c r="D780" s="70"/>
      <c r="E780" s="70"/>
      <c r="G780" s="70"/>
      <c r="H780" s="70"/>
      <c r="I780" s="70"/>
      <c r="J780" s="70"/>
    </row>
    <row r="781">
      <c r="D781" s="70"/>
      <c r="E781" s="70"/>
      <c r="G781" s="70"/>
      <c r="H781" s="70"/>
      <c r="I781" s="70"/>
      <c r="J781" s="70"/>
    </row>
    <row r="782">
      <c r="D782" s="70"/>
      <c r="E782" s="70"/>
      <c r="G782" s="70"/>
      <c r="H782" s="70"/>
      <c r="I782" s="70"/>
      <c r="J782" s="70"/>
    </row>
    <row r="783">
      <c r="D783" s="70"/>
      <c r="E783" s="70"/>
      <c r="G783" s="70"/>
      <c r="H783" s="70"/>
      <c r="I783" s="70"/>
      <c r="J783" s="70"/>
    </row>
    <row r="784">
      <c r="D784" s="70"/>
      <c r="E784" s="70"/>
      <c r="G784" s="70"/>
      <c r="H784" s="70"/>
      <c r="I784" s="70"/>
      <c r="J784" s="70"/>
    </row>
    <row r="785">
      <c r="D785" s="70"/>
      <c r="E785" s="70"/>
      <c r="G785" s="70"/>
      <c r="H785" s="70"/>
      <c r="I785" s="70"/>
      <c r="J785" s="70"/>
    </row>
    <row r="786">
      <c r="D786" s="70"/>
      <c r="E786" s="70"/>
      <c r="G786" s="70"/>
      <c r="H786" s="70"/>
      <c r="I786" s="70"/>
      <c r="J786" s="70"/>
    </row>
    <row r="787">
      <c r="D787" s="70"/>
      <c r="E787" s="70"/>
      <c r="G787" s="70"/>
      <c r="H787" s="70"/>
      <c r="I787" s="70"/>
      <c r="J787" s="70"/>
    </row>
    <row r="788">
      <c r="D788" s="70"/>
      <c r="E788" s="70"/>
      <c r="G788" s="70"/>
      <c r="H788" s="70"/>
      <c r="I788" s="70"/>
      <c r="J788" s="70"/>
    </row>
    <row r="789">
      <c r="D789" s="70"/>
      <c r="E789" s="70"/>
      <c r="G789" s="70"/>
      <c r="H789" s="70"/>
      <c r="I789" s="70"/>
      <c r="J789" s="70"/>
    </row>
    <row r="790">
      <c r="D790" s="70"/>
      <c r="E790" s="70"/>
      <c r="G790" s="70"/>
      <c r="H790" s="70"/>
      <c r="I790" s="70"/>
      <c r="J790" s="70"/>
    </row>
    <row r="791">
      <c r="D791" s="70"/>
      <c r="E791" s="70"/>
      <c r="G791" s="70"/>
      <c r="H791" s="70"/>
      <c r="I791" s="70"/>
      <c r="J791" s="70"/>
    </row>
    <row r="792">
      <c r="D792" s="70"/>
      <c r="E792" s="70"/>
      <c r="G792" s="70"/>
      <c r="H792" s="70"/>
      <c r="I792" s="70"/>
      <c r="J792" s="70"/>
    </row>
    <row r="793">
      <c r="D793" s="70"/>
      <c r="E793" s="70"/>
      <c r="G793" s="70"/>
      <c r="H793" s="70"/>
      <c r="I793" s="70"/>
      <c r="J793" s="70"/>
    </row>
    <row r="794">
      <c r="D794" s="70"/>
      <c r="E794" s="70"/>
      <c r="G794" s="70"/>
      <c r="H794" s="70"/>
      <c r="I794" s="70"/>
      <c r="J794" s="70"/>
    </row>
    <row r="795">
      <c r="D795" s="70"/>
      <c r="E795" s="70"/>
      <c r="G795" s="70"/>
      <c r="H795" s="70"/>
      <c r="I795" s="70"/>
      <c r="J795" s="70"/>
    </row>
    <row r="796">
      <c r="D796" s="70"/>
      <c r="E796" s="70"/>
      <c r="G796" s="70"/>
      <c r="H796" s="70"/>
      <c r="I796" s="70"/>
      <c r="J796" s="70"/>
    </row>
    <row r="797">
      <c r="D797" s="70"/>
      <c r="E797" s="70"/>
      <c r="G797" s="70"/>
      <c r="H797" s="70"/>
      <c r="I797" s="70"/>
      <c r="J797" s="70"/>
    </row>
    <row r="798">
      <c r="D798" s="70"/>
      <c r="E798" s="70"/>
      <c r="G798" s="70"/>
      <c r="H798" s="70"/>
      <c r="I798" s="70"/>
      <c r="J798" s="70"/>
    </row>
    <row r="799">
      <c r="D799" s="70"/>
      <c r="E799" s="70"/>
      <c r="G799" s="70"/>
      <c r="H799" s="70"/>
      <c r="I799" s="70"/>
      <c r="J799" s="70"/>
    </row>
    <row r="800">
      <c r="D800" s="70"/>
      <c r="E800" s="70"/>
      <c r="G800" s="70"/>
      <c r="H800" s="70"/>
      <c r="I800" s="70"/>
      <c r="J800" s="70"/>
    </row>
    <row r="801">
      <c r="D801" s="70"/>
      <c r="E801" s="70"/>
      <c r="G801" s="70"/>
      <c r="H801" s="70"/>
      <c r="I801" s="70"/>
      <c r="J801" s="70"/>
    </row>
    <row r="802">
      <c r="D802" s="70"/>
      <c r="E802" s="70"/>
      <c r="G802" s="70"/>
      <c r="H802" s="70"/>
      <c r="I802" s="70"/>
      <c r="J802" s="70"/>
    </row>
    <row r="803">
      <c r="D803" s="70"/>
      <c r="E803" s="70"/>
      <c r="G803" s="70"/>
      <c r="H803" s="70"/>
      <c r="I803" s="70"/>
      <c r="J803" s="70"/>
    </row>
    <row r="804">
      <c r="D804" s="70"/>
      <c r="E804" s="70"/>
      <c r="G804" s="70"/>
      <c r="H804" s="70"/>
      <c r="I804" s="70"/>
      <c r="J804" s="70"/>
    </row>
    <row r="805">
      <c r="D805" s="70"/>
      <c r="E805" s="70"/>
      <c r="G805" s="70"/>
      <c r="H805" s="70"/>
      <c r="I805" s="70"/>
      <c r="J805" s="70"/>
    </row>
    <row r="806">
      <c r="D806" s="70"/>
      <c r="E806" s="70"/>
      <c r="G806" s="70"/>
      <c r="H806" s="70"/>
      <c r="I806" s="70"/>
      <c r="J806" s="70"/>
    </row>
    <row r="807">
      <c r="D807" s="70"/>
      <c r="E807" s="70"/>
      <c r="G807" s="70"/>
      <c r="H807" s="70"/>
      <c r="I807" s="70"/>
      <c r="J807" s="70"/>
    </row>
    <row r="808">
      <c r="D808" s="70"/>
      <c r="E808" s="70"/>
      <c r="G808" s="70"/>
      <c r="H808" s="70"/>
      <c r="I808" s="70"/>
      <c r="J808" s="70"/>
    </row>
    <row r="809">
      <c r="D809" s="70"/>
      <c r="E809" s="70"/>
      <c r="G809" s="70"/>
      <c r="H809" s="70"/>
      <c r="I809" s="70"/>
      <c r="J809" s="70"/>
    </row>
    <row r="810">
      <c r="D810" s="70"/>
      <c r="E810" s="70"/>
      <c r="G810" s="70"/>
      <c r="H810" s="70"/>
      <c r="I810" s="70"/>
      <c r="J810" s="70"/>
    </row>
    <row r="811">
      <c r="D811" s="70"/>
      <c r="E811" s="70"/>
      <c r="G811" s="70"/>
      <c r="H811" s="70"/>
      <c r="I811" s="70"/>
      <c r="J811" s="70"/>
    </row>
    <row r="812">
      <c r="D812" s="70"/>
      <c r="E812" s="70"/>
      <c r="G812" s="70"/>
      <c r="H812" s="70"/>
      <c r="I812" s="70"/>
      <c r="J812" s="70"/>
    </row>
    <row r="813">
      <c r="D813" s="70"/>
      <c r="E813" s="70"/>
      <c r="G813" s="70"/>
      <c r="H813" s="70"/>
      <c r="I813" s="70"/>
      <c r="J813" s="70"/>
    </row>
    <row r="814">
      <c r="D814" s="70"/>
      <c r="E814" s="70"/>
      <c r="G814" s="70"/>
      <c r="H814" s="70"/>
      <c r="I814" s="70"/>
      <c r="J814" s="70"/>
    </row>
    <row r="815">
      <c r="D815" s="70"/>
      <c r="E815" s="70"/>
      <c r="G815" s="70"/>
      <c r="H815" s="70"/>
      <c r="I815" s="70"/>
      <c r="J815" s="70"/>
    </row>
    <row r="816">
      <c r="D816" s="70"/>
      <c r="E816" s="70"/>
      <c r="G816" s="70"/>
      <c r="H816" s="70"/>
      <c r="I816" s="70"/>
      <c r="J816" s="70"/>
    </row>
    <row r="817">
      <c r="D817" s="70"/>
      <c r="E817" s="70"/>
      <c r="G817" s="70"/>
      <c r="H817" s="70"/>
      <c r="I817" s="70"/>
      <c r="J817" s="70"/>
    </row>
    <row r="818">
      <c r="D818" s="70"/>
      <c r="E818" s="70"/>
      <c r="G818" s="70"/>
      <c r="H818" s="70"/>
      <c r="I818" s="70"/>
      <c r="J818" s="70"/>
    </row>
    <row r="819">
      <c r="D819" s="70"/>
      <c r="E819" s="70"/>
      <c r="G819" s="70"/>
      <c r="H819" s="70"/>
      <c r="I819" s="70"/>
      <c r="J819" s="70"/>
    </row>
    <row r="820">
      <c r="D820" s="70"/>
      <c r="E820" s="70"/>
      <c r="G820" s="70"/>
      <c r="H820" s="70"/>
      <c r="I820" s="70"/>
      <c r="J820" s="70"/>
    </row>
    <row r="821">
      <c r="D821" s="70"/>
      <c r="E821" s="70"/>
      <c r="G821" s="70"/>
      <c r="H821" s="70"/>
      <c r="I821" s="70"/>
      <c r="J821" s="70"/>
    </row>
    <row r="822">
      <c r="D822" s="70"/>
      <c r="E822" s="70"/>
      <c r="G822" s="70"/>
      <c r="H822" s="70"/>
      <c r="I822" s="70"/>
      <c r="J822" s="70"/>
    </row>
    <row r="823">
      <c r="D823" s="70"/>
      <c r="E823" s="70"/>
      <c r="G823" s="70"/>
      <c r="H823" s="70"/>
      <c r="I823" s="70"/>
      <c r="J823" s="70"/>
    </row>
    <row r="824">
      <c r="D824" s="70"/>
      <c r="E824" s="70"/>
      <c r="G824" s="70"/>
      <c r="H824" s="70"/>
      <c r="I824" s="70"/>
      <c r="J824" s="70"/>
    </row>
    <row r="825">
      <c r="D825" s="70"/>
      <c r="E825" s="70"/>
      <c r="G825" s="70"/>
      <c r="H825" s="70"/>
      <c r="I825" s="70"/>
      <c r="J825" s="70"/>
    </row>
    <row r="826">
      <c r="D826" s="70"/>
      <c r="E826" s="70"/>
      <c r="G826" s="70"/>
      <c r="H826" s="70"/>
      <c r="I826" s="70"/>
      <c r="J826" s="70"/>
    </row>
    <row r="827">
      <c r="D827" s="70"/>
      <c r="E827" s="70"/>
      <c r="G827" s="70"/>
      <c r="H827" s="70"/>
      <c r="I827" s="70"/>
      <c r="J827" s="70"/>
    </row>
    <row r="828">
      <c r="D828" s="70"/>
      <c r="E828" s="70"/>
      <c r="G828" s="70"/>
      <c r="H828" s="70"/>
      <c r="I828" s="70"/>
      <c r="J828" s="70"/>
    </row>
    <row r="829">
      <c r="D829" s="70"/>
      <c r="E829" s="70"/>
      <c r="G829" s="70"/>
      <c r="H829" s="70"/>
      <c r="I829" s="70"/>
      <c r="J829" s="70"/>
    </row>
    <row r="830">
      <c r="D830" s="70"/>
      <c r="E830" s="70"/>
      <c r="G830" s="70"/>
      <c r="H830" s="70"/>
      <c r="I830" s="70"/>
      <c r="J830" s="70"/>
    </row>
    <row r="831">
      <c r="D831" s="70"/>
      <c r="E831" s="70"/>
      <c r="G831" s="70"/>
      <c r="H831" s="70"/>
      <c r="I831" s="70"/>
      <c r="J831" s="70"/>
    </row>
    <row r="832">
      <c r="D832" s="70"/>
      <c r="E832" s="70"/>
      <c r="G832" s="70"/>
      <c r="H832" s="70"/>
      <c r="I832" s="70"/>
      <c r="J832" s="70"/>
    </row>
    <row r="833">
      <c r="D833" s="70"/>
      <c r="E833" s="70"/>
      <c r="G833" s="70"/>
      <c r="H833" s="70"/>
      <c r="I833" s="70"/>
      <c r="J833" s="70"/>
    </row>
    <row r="834">
      <c r="D834" s="70"/>
      <c r="E834" s="70"/>
      <c r="G834" s="70"/>
      <c r="H834" s="70"/>
      <c r="I834" s="70"/>
      <c r="J834" s="70"/>
    </row>
    <row r="835">
      <c r="D835" s="70"/>
      <c r="E835" s="70"/>
      <c r="G835" s="70"/>
      <c r="H835" s="70"/>
      <c r="I835" s="70"/>
      <c r="J835" s="70"/>
    </row>
    <row r="836">
      <c r="D836" s="70"/>
      <c r="E836" s="70"/>
      <c r="G836" s="70"/>
      <c r="H836" s="70"/>
      <c r="I836" s="70"/>
      <c r="J836" s="70"/>
    </row>
    <row r="837">
      <c r="D837" s="70"/>
      <c r="E837" s="70"/>
      <c r="G837" s="70"/>
      <c r="H837" s="70"/>
      <c r="I837" s="70"/>
      <c r="J837" s="70"/>
    </row>
    <row r="838">
      <c r="D838" s="70"/>
      <c r="E838" s="70"/>
      <c r="G838" s="70"/>
      <c r="H838" s="70"/>
      <c r="I838" s="70"/>
      <c r="J838" s="70"/>
    </row>
    <row r="839">
      <c r="D839" s="70"/>
      <c r="E839" s="70"/>
      <c r="G839" s="70"/>
      <c r="H839" s="70"/>
      <c r="I839" s="70"/>
      <c r="J839" s="70"/>
    </row>
    <row r="840">
      <c r="D840" s="70"/>
      <c r="E840" s="70"/>
      <c r="G840" s="70"/>
      <c r="H840" s="70"/>
      <c r="I840" s="70"/>
      <c r="J840" s="70"/>
    </row>
    <row r="841">
      <c r="D841" s="70"/>
      <c r="E841" s="70"/>
      <c r="G841" s="70"/>
      <c r="H841" s="70"/>
      <c r="I841" s="70"/>
      <c r="J841" s="70"/>
    </row>
    <row r="842">
      <c r="D842" s="70"/>
      <c r="E842" s="70"/>
      <c r="G842" s="70"/>
      <c r="H842" s="70"/>
      <c r="I842" s="70"/>
      <c r="J842" s="70"/>
    </row>
    <row r="843">
      <c r="D843" s="70"/>
      <c r="E843" s="70"/>
      <c r="G843" s="70"/>
      <c r="H843" s="70"/>
      <c r="I843" s="70"/>
      <c r="J843" s="70"/>
    </row>
    <row r="844">
      <c r="D844" s="70"/>
      <c r="E844" s="70"/>
      <c r="G844" s="70"/>
      <c r="H844" s="70"/>
      <c r="I844" s="70"/>
      <c r="J844" s="70"/>
    </row>
    <row r="845">
      <c r="D845" s="70"/>
      <c r="E845" s="70"/>
      <c r="G845" s="70"/>
      <c r="H845" s="70"/>
      <c r="I845" s="70"/>
      <c r="J845" s="70"/>
    </row>
    <row r="846">
      <c r="D846" s="70"/>
      <c r="E846" s="70"/>
      <c r="G846" s="70"/>
      <c r="H846" s="70"/>
      <c r="I846" s="70"/>
      <c r="J846" s="70"/>
    </row>
    <row r="847">
      <c r="D847" s="70"/>
      <c r="E847" s="70"/>
      <c r="G847" s="70"/>
      <c r="H847" s="70"/>
      <c r="I847" s="70"/>
      <c r="J847" s="70"/>
    </row>
    <row r="848">
      <c r="D848" s="70"/>
      <c r="E848" s="70"/>
      <c r="G848" s="70"/>
      <c r="H848" s="70"/>
      <c r="I848" s="70"/>
      <c r="J848" s="70"/>
    </row>
    <row r="849">
      <c r="D849" s="70"/>
      <c r="E849" s="70"/>
      <c r="G849" s="70"/>
      <c r="H849" s="70"/>
      <c r="I849" s="70"/>
      <c r="J849" s="70"/>
    </row>
    <row r="850">
      <c r="D850" s="70"/>
      <c r="E850" s="70"/>
      <c r="G850" s="70"/>
      <c r="H850" s="70"/>
      <c r="I850" s="70"/>
      <c r="J850" s="70"/>
    </row>
    <row r="851">
      <c r="D851" s="70"/>
      <c r="E851" s="70"/>
      <c r="G851" s="70"/>
      <c r="H851" s="70"/>
      <c r="I851" s="70"/>
      <c r="J851" s="70"/>
    </row>
    <row r="852">
      <c r="D852" s="70"/>
      <c r="E852" s="70"/>
      <c r="G852" s="70"/>
      <c r="H852" s="70"/>
      <c r="I852" s="70"/>
      <c r="J852" s="70"/>
    </row>
    <row r="853">
      <c r="D853" s="70"/>
      <c r="E853" s="70"/>
      <c r="G853" s="70"/>
      <c r="H853" s="70"/>
      <c r="I853" s="70"/>
      <c r="J853" s="70"/>
    </row>
    <row r="854">
      <c r="D854" s="70"/>
      <c r="E854" s="70"/>
      <c r="G854" s="70"/>
      <c r="H854" s="70"/>
      <c r="I854" s="70"/>
      <c r="J854" s="70"/>
    </row>
    <row r="855">
      <c r="D855" s="70"/>
      <c r="E855" s="70"/>
      <c r="G855" s="70"/>
      <c r="H855" s="70"/>
      <c r="I855" s="70"/>
      <c r="J855" s="70"/>
    </row>
    <row r="856">
      <c r="D856" s="70"/>
      <c r="E856" s="70"/>
      <c r="G856" s="70"/>
      <c r="H856" s="70"/>
      <c r="I856" s="70"/>
      <c r="J856" s="70"/>
    </row>
    <row r="857">
      <c r="D857" s="70"/>
      <c r="E857" s="70"/>
      <c r="G857" s="70"/>
      <c r="H857" s="70"/>
      <c r="I857" s="70"/>
      <c r="J857" s="70"/>
    </row>
    <row r="858">
      <c r="D858" s="70"/>
      <c r="E858" s="70"/>
      <c r="G858" s="70"/>
      <c r="H858" s="70"/>
      <c r="I858" s="70"/>
      <c r="J858" s="70"/>
    </row>
    <row r="859">
      <c r="D859" s="70"/>
      <c r="E859" s="70"/>
      <c r="G859" s="70"/>
      <c r="H859" s="70"/>
      <c r="I859" s="70"/>
      <c r="J859" s="70"/>
    </row>
    <row r="860">
      <c r="D860" s="70"/>
      <c r="E860" s="70"/>
      <c r="G860" s="70"/>
      <c r="H860" s="70"/>
      <c r="I860" s="70"/>
      <c r="J860" s="70"/>
    </row>
    <row r="861">
      <c r="D861" s="70"/>
      <c r="E861" s="70"/>
      <c r="G861" s="70"/>
      <c r="H861" s="70"/>
      <c r="I861" s="70"/>
      <c r="J861" s="70"/>
    </row>
    <row r="862">
      <c r="D862" s="70"/>
      <c r="E862" s="70"/>
      <c r="G862" s="70"/>
      <c r="H862" s="70"/>
      <c r="I862" s="70"/>
      <c r="J862" s="70"/>
    </row>
    <row r="863">
      <c r="D863" s="70"/>
      <c r="E863" s="70"/>
      <c r="G863" s="70"/>
      <c r="H863" s="70"/>
      <c r="I863" s="70"/>
      <c r="J863" s="70"/>
    </row>
    <row r="864">
      <c r="D864" s="70"/>
      <c r="E864" s="70"/>
      <c r="G864" s="70"/>
      <c r="H864" s="70"/>
      <c r="I864" s="70"/>
      <c r="J864" s="70"/>
    </row>
    <row r="865">
      <c r="D865" s="70"/>
      <c r="E865" s="70"/>
      <c r="G865" s="70"/>
      <c r="H865" s="70"/>
      <c r="I865" s="70"/>
      <c r="J865" s="70"/>
    </row>
    <row r="866">
      <c r="D866" s="70"/>
      <c r="E866" s="70"/>
      <c r="G866" s="70"/>
      <c r="H866" s="70"/>
      <c r="I866" s="70"/>
      <c r="J866" s="70"/>
    </row>
    <row r="867">
      <c r="D867" s="70"/>
      <c r="E867" s="70"/>
      <c r="G867" s="70"/>
      <c r="H867" s="70"/>
      <c r="I867" s="70"/>
      <c r="J867" s="70"/>
    </row>
    <row r="868">
      <c r="D868" s="70"/>
      <c r="E868" s="70"/>
      <c r="G868" s="70"/>
      <c r="H868" s="70"/>
      <c r="I868" s="70"/>
      <c r="J868" s="70"/>
    </row>
    <row r="869">
      <c r="D869" s="70"/>
      <c r="E869" s="70"/>
      <c r="G869" s="70"/>
      <c r="H869" s="70"/>
      <c r="I869" s="70"/>
      <c r="J869" s="70"/>
    </row>
    <row r="870">
      <c r="D870" s="70"/>
      <c r="E870" s="70"/>
      <c r="G870" s="70"/>
      <c r="H870" s="70"/>
      <c r="I870" s="70"/>
      <c r="J870" s="70"/>
    </row>
    <row r="871">
      <c r="D871" s="70"/>
      <c r="E871" s="70"/>
      <c r="G871" s="70"/>
      <c r="H871" s="70"/>
      <c r="I871" s="70"/>
      <c r="J871" s="70"/>
    </row>
    <row r="872">
      <c r="D872" s="70"/>
      <c r="E872" s="70"/>
      <c r="G872" s="70"/>
      <c r="H872" s="70"/>
      <c r="I872" s="70"/>
      <c r="J872" s="70"/>
    </row>
    <row r="873">
      <c r="D873" s="70"/>
      <c r="E873" s="70"/>
      <c r="G873" s="70"/>
      <c r="H873" s="70"/>
      <c r="I873" s="70"/>
      <c r="J873" s="70"/>
    </row>
    <row r="874">
      <c r="D874" s="70"/>
      <c r="E874" s="70"/>
      <c r="G874" s="70"/>
      <c r="H874" s="70"/>
      <c r="I874" s="70"/>
      <c r="J874" s="70"/>
    </row>
    <row r="875">
      <c r="D875" s="70"/>
      <c r="E875" s="70"/>
      <c r="G875" s="70"/>
      <c r="H875" s="70"/>
      <c r="I875" s="70"/>
      <c r="J875" s="70"/>
    </row>
    <row r="876">
      <c r="D876" s="70"/>
      <c r="E876" s="70"/>
      <c r="G876" s="70"/>
      <c r="H876" s="70"/>
      <c r="I876" s="70"/>
      <c r="J876" s="70"/>
    </row>
    <row r="877">
      <c r="D877" s="70"/>
      <c r="E877" s="70"/>
      <c r="G877" s="70"/>
      <c r="H877" s="70"/>
      <c r="I877" s="70"/>
      <c r="J877" s="70"/>
    </row>
    <row r="878">
      <c r="D878" s="70"/>
      <c r="E878" s="70"/>
      <c r="G878" s="70"/>
      <c r="H878" s="70"/>
      <c r="I878" s="70"/>
      <c r="J878" s="70"/>
    </row>
    <row r="879">
      <c r="D879" s="70"/>
      <c r="E879" s="70"/>
      <c r="G879" s="70"/>
      <c r="H879" s="70"/>
      <c r="I879" s="70"/>
      <c r="J879" s="70"/>
    </row>
    <row r="880">
      <c r="D880" s="70"/>
      <c r="E880" s="70"/>
      <c r="G880" s="70"/>
      <c r="H880" s="70"/>
      <c r="I880" s="70"/>
      <c r="J880" s="70"/>
    </row>
    <row r="881">
      <c r="D881" s="70"/>
      <c r="E881" s="70"/>
      <c r="G881" s="70"/>
      <c r="H881" s="70"/>
      <c r="I881" s="70"/>
      <c r="J881" s="70"/>
    </row>
    <row r="882">
      <c r="D882" s="70"/>
      <c r="E882" s="70"/>
      <c r="G882" s="70"/>
      <c r="H882" s="70"/>
      <c r="I882" s="70"/>
      <c r="J882" s="70"/>
    </row>
    <row r="883">
      <c r="D883" s="70"/>
      <c r="E883" s="70"/>
      <c r="G883" s="70"/>
      <c r="H883" s="70"/>
      <c r="I883" s="70"/>
      <c r="J883" s="70"/>
    </row>
    <row r="884">
      <c r="D884" s="70"/>
      <c r="E884" s="70"/>
      <c r="G884" s="70"/>
      <c r="H884" s="70"/>
      <c r="I884" s="70"/>
      <c r="J884" s="70"/>
    </row>
    <row r="885">
      <c r="D885" s="70"/>
      <c r="E885" s="70"/>
      <c r="G885" s="70"/>
      <c r="H885" s="70"/>
      <c r="I885" s="70"/>
      <c r="J885" s="70"/>
    </row>
    <row r="886">
      <c r="D886" s="70"/>
      <c r="E886" s="70"/>
      <c r="G886" s="70"/>
      <c r="H886" s="70"/>
      <c r="I886" s="70"/>
      <c r="J886" s="70"/>
    </row>
    <row r="887">
      <c r="D887" s="70"/>
      <c r="E887" s="70"/>
      <c r="G887" s="70"/>
      <c r="H887" s="70"/>
      <c r="I887" s="70"/>
      <c r="J887" s="70"/>
    </row>
    <row r="888">
      <c r="D888" s="70"/>
      <c r="E888" s="70"/>
      <c r="G888" s="70"/>
      <c r="H888" s="70"/>
      <c r="I888" s="70"/>
      <c r="J888" s="70"/>
    </row>
    <row r="889">
      <c r="D889" s="70"/>
      <c r="E889" s="70"/>
      <c r="G889" s="70"/>
      <c r="H889" s="70"/>
      <c r="I889" s="70"/>
      <c r="J889" s="70"/>
    </row>
    <row r="890">
      <c r="D890" s="70"/>
      <c r="E890" s="70"/>
      <c r="G890" s="70"/>
      <c r="H890" s="70"/>
      <c r="I890" s="70"/>
      <c r="J890" s="70"/>
    </row>
    <row r="891">
      <c r="D891" s="70"/>
      <c r="E891" s="70"/>
      <c r="G891" s="70"/>
      <c r="H891" s="70"/>
      <c r="I891" s="70"/>
      <c r="J891" s="70"/>
    </row>
    <row r="892">
      <c r="D892" s="70"/>
      <c r="E892" s="70"/>
      <c r="G892" s="70"/>
      <c r="H892" s="70"/>
      <c r="I892" s="70"/>
      <c r="J892" s="70"/>
    </row>
    <row r="893">
      <c r="D893" s="70"/>
      <c r="E893" s="70"/>
      <c r="G893" s="70"/>
      <c r="H893" s="70"/>
      <c r="I893" s="70"/>
      <c r="J893" s="70"/>
    </row>
    <row r="894">
      <c r="D894" s="70"/>
      <c r="E894" s="70"/>
      <c r="G894" s="70"/>
      <c r="H894" s="70"/>
      <c r="I894" s="70"/>
      <c r="J894" s="70"/>
    </row>
    <row r="895">
      <c r="D895" s="70"/>
      <c r="E895" s="70"/>
      <c r="G895" s="70"/>
      <c r="H895" s="70"/>
      <c r="I895" s="70"/>
      <c r="J895" s="70"/>
    </row>
    <row r="896">
      <c r="D896" s="70"/>
      <c r="E896" s="70"/>
      <c r="G896" s="70"/>
      <c r="H896" s="70"/>
      <c r="I896" s="70"/>
      <c r="J896" s="70"/>
    </row>
    <row r="897">
      <c r="D897" s="70"/>
      <c r="E897" s="70"/>
      <c r="G897" s="70"/>
      <c r="H897" s="70"/>
      <c r="I897" s="70"/>
      <c r="J897" s="70"/>
    </row>
    <row r="898">
      <c r="D898" s="70"/>
      <c r="E898" s="70"/>
      <c r="G898" s="70"/>
      <c r="H898" s="70"/>
      <c r="I898" s="70"/>
      <c r="J898" s="70"/>
    </row>
    <row r="899">
      <c r="D899" s="70"/>
      <c r="E899" s="70"/>
      <c r="G899" s="70"/>
      <c r="H899" s="70"/>
      <c r="I899" s="70"/>
      <c r="J899" s="70"/>
    </row>
    <row r="900">
      <c r="D900" s="70"/>
      <c r="E900" s="70"/>
      <c r="G900" s="70"/>
      <c r="H900" s="70"/>
      <c r="I900" s="70"/>
      <c r="J900" s="70"/>
    </row>
    <row r="901">
      <c r="D901" s="70"/>
      <c r="E901" s="70"/>
      <c r="G901" s="70"/>
      <c r="H901" s="70"/>
      <c r="I901" s="70"/>
      <c r="J901" s="70"/>
    </row>
    <row r="902">
      <c r="D902" s="70"/>
      <c r="E902" s="70"/>
      <c r="G902" s="70"/>
      <c r="H902" s="70"/>
      <c r="I902" s="70"/>
      <c r="J902" s="70"/>
    </row>
    <row r="903">
      <c r="D903" s="70"/>
      <c r="E903" s="70"/>
      <c r="G903" s="70"/>
      <c r="H903" s="70"/>
      <c r="I903" s="70"/>
      <c r="J903" s="70"/>
    </row>
    <row r="904">
      <c r="D904" s="70"/>
      <c r="E904" s="70"/>
      <c r="G904" s="70"/>
      <c r="H904" s="70"/>
      <c r="I904" s="70"/>
      <c r="J904" s="70"/>
    </row>
    <row r="905">
      <c r="D905" s="70"/>
      <c r="E905" s="70"/>
      <c r="G905" s="70"/>
      <c r="H905" s="70"/>
      <c r="I905" s="70"/>
      <c r="J905" s="70"/>
    </row>
    <row r="906">
      <c r="D906" s="70"/>
      <c r="E906" s="70"/>
      <c r="G906" s="70"/>
      <c r="H906" s="70"/>
      <c r="I906" s="70"/>
      <c r="J906" s="70"/>
    </row>
    <row r="907">
      <c r="D907" s="70"/>
      <c r="E907" s="70"/>
      <c r="G907" s="70"/>
      <c r="H907" s="70"/>
      <c r="I907" s="70"/>
      <c r="J907" s="70"/>
    </row>
    <row r="908">
      <c r="D908" s="70"/>
      <c r="E908" s="70"/>
      <c r="G908" s="70"/>
      <c r="H908" s="70"/>
      <c r="I908" s="70"/>
      <c r="J908" s="70"/>
    </row>
    <row r="909">
      <c r="D909" s="70"/>
      <c r="E909" s="70"/>
      <c r="G909" s="70"/>
      <c r="H909" s="70"/>
      <c r="I909" s="70"/>
      <c r="J909" s="70"/>
    </row>
    <row r="910">
      <c r="D910" s="70"/>
      <c r="E910" s="70"/>
      <c r="G910" s="70"/>
      <c r="H910" s="70"/>
      <c r="I910" s="70"/>
      <c r="J910" s="70"/>
    </row>
    <row r="911">
      <c r="D911" s="70"/>
      <c r="E911" s="70"/>
      <c r="G911" s="70"/>
      <c r="H911" s="70"/>
      <c r="I911" s="70"/>
      <c r="J911" s="70"/>
    </row>
    <row r="912">
      <c r="D912" s="70"/>
      <c r="E912" s="70"/>
      <c r="G912" s="70"/>
      <c r="H912" s="70"/>
      <c r="I912" s="70"/>
      <c r="J912" s="70"/>
    </row>
    <row r="913">
      <c r="D913" s="70"/>
      <c r="E913" s="70"/>
      <c r="G913" s="70"/>
      <c r="H913" s="70"/>
      <c r="I913" s="70"/>
      <c r="J913" s="70"/>
    </row>
    <row r="914">
      <c r="D914" s="70"/>
      <c r="E914" s="70"/>
      <c r="G914" s="70"/>
      <c r="H914" s="70"/>
      <c r="I914" s="70"/>
      <c r="J914" s="70"/>
    </row>
    <row r="915">
      <c r="D915" s="70"/>
      <c r="E915" s="70"/>
      <c r="G915" s="70"/>
      <c r="H915" s="70"/>
      <c r="I915" s="70"/>
      <c r="J915" s="70"/>
    </row>
    <row r="916">
      <c r="D916" s="70"/>
      <c r="E916" s="70"/>
      <c r="G916" s="70"/>
      <c r="H916" s="70"/>
      <c r="I916" s="70"/>
      <c r="J916" s="70"/>
    </row>
    <row r="917">
      <c r="D917" s="70"/>
      <c r="E917" s="70"/>
      <c r="G917" s="70"/>
      <c r="H917" s="70"/>
      <c r="I917" s="70"/>
      <c r="J917" s="70"/>
    </row>
    <row r="918">
      <c r="D918" s="70"/>
      <c r="E918" s="70"/>
      <c r="G918" s="70"/>
      <c r="H918" s="70"/>
      <c r="I918" s="70"/>
      <c r="J918" s="70"/>
    </row>
    <row r="919">
      <c r="D919" s="70"/>
      <c r="E919" s="70"/>
      <c r="G919" s="70"/>
      <c r="H919" s="70"/>
      <c r="I919" s="70"/>
      <c r="J919" s="70"/>
    </row>
    <row r="920">
      <c r="D920" s="70"/>
      <c r="E920" s="70"/>
      <c r="G920" s="70"/>
      <c r="H920" s="70"/>
      <c r="I920" s="70"/>
      <c r="J920" s="70"/>
    </row>
    <row r="921">
      <c r="D921" s="70"/>
      <c r="E921" s="70"/>
      <c r="G921" s="70"/>
      <c r="H921" s="70"/>
      <c r="I921" s="70"/>
      <c r="J921" s="70"/>
    </row>
    <row r="922">
      <c r="D922" s="70"/>
      <c r="E922" s="70"/>
      <c r="G922" s="70"/>
      <c r="H922" s="70"/>
      <c r="I922" s="70"/>
      <c r="J922" s="70"/>
    </row>
    <row r="923">
      <c r="D923" s="70"/>
      <c r="E923" s="70"/>
      <c r="G923" s="70"/>
      <c r="H923" s="70"/>
      <c r="I923" s="70"/>
      <c r="J923" s="70"/>
    </row>
    <row r="924">
      <c r="D924" s="70"/>
      <c r="E924" s="70"/>
      <c r="G924" s="70"/>
      <c r="H924" s="70"/>
      <c r="I924" s="70"/>
      <c r="J924" s="70"/>
    </row>
    <row r="925">
      <c r="D925" s="70"/>
      <c r="E925" s="70"/>
      <c r="G925" s="70"/>
      <c r="H925" s="70"/>
      <c r="I925" s="70"/>
      <c r="J925" s="70"/>
    </row>
    <row r="926">
      <c r="D926" s="70"/>
      <c r="E926" s="70"/>
      <c r="G926" s="70"/>
      <c r="H926" s="70"/>
      <c r="I926" s="70"/>
      <c r="J926" s="70"/>
    </row>
    <row r="927">
      <c r="D927" s="70"/>
      <c r="E927" s="70"/>
      <c r="G927" s="70"/>
      <c r="H927" s="70"/>
      <c r="I927" s="70"/>
      <c r="J927" s="70"/>
    </row>
    <row r="928">
      <c r="D928" s="70"/>
      <c r="E928" s="70"/>
      <c r="G928" s="70"/>
      <c r="H928" s="70"/>
      <c r="I928" s="70"/>
      <c r="J928" s="70"/>
    </row>
    <row r="929">
      <c r="D929" s="70"/>
      <c r="E929" s="70"/>
      <c r="G929" s="70"/>
      <c r="H929" s="70"/>
      <c r="I929" s="70"/>
      <c r="J929" s="70"/>
    </row>
    <row r="930">
      <c r="D930" s="70"/>
      <c r="E930" s="70"/>
      <c r="G930" s="70"/>
      <c r="H930" s="70"/>
      <c r="I930" s="70"/>
      <c r="J930" s="70"/>
    </row>
    <row r="931">
      <c r="D931" s="70"/>
      <c r="E931" s="70"/>
      <c r="G931" s="70"/>
      <c r="H931" s="70"/>
      <c r="I931" s="70"/>
      <c r="J931" s="70"/>
    </row>
    <row r="932">
      <c r="D932" s="70"/>
      <c r="E932" s="70"/>
      <c r="G932" s="70"/>
      <c r="H932" s="70"/>
      <c r="I932" s="70"/>
      <c r="J932" s="70"/>
    </row>
    <row r="933">
      <c r="D933" s="70"/>
      <c r="E933" s="70"/>
      <c r="G933" s="70"/>
      <c r="H933" s="70"/>
      <c r="I933" s="70"/>
      <c r="J933" s="70"/>
    </row>
    <row r="934">
      <c r="D934" s="70"/>
      <c r="E934" s="70"/>
      <c r="G934" s="70"/>
      <c r="H934" s="70"/>
      <c r="I934" s="70"/>
      <c r="J934" s="70"/>
    </row>
    <row r="935">
      <c r="D935" s="70"/>
      <c r="E935" s="70"/>
      <c r="G935" s="70"/>
      <c r="H935" s="70"/>
      <c r="I935" s="70"/>
      <c r="J935" s="70"/>
    </row>
    <row r="936">
      <c r="D936" s="70"/>
      <c r="E936" s="70"/>
      <c r="G936" s="70"/>
      <c r="H936" s="70"/>
      <c r="I936" s="70"/>
      <c r="J936" s="70"/>
    </row>
    <row r="937">
      <c r="D937" s="70"/>
      <c r="E937" s="70"/>
      <c r="G937" s="70"/>
      <c r="H937" s="70"/>
      <c r="I937" s="70"/>
      <c r="J937" s="70"/>
    </row>
    <row r="938">
      <c r="D938" s="70"/>
      <c r="E938" s="70"/>
      <c r="G938" s="70"/>
      <c r="H938" s="70"/>
      <c r="I938" s="70"/>
      <c r="J938" s="70"/>
    </row>
    <row r="939">
      <c r="D939" s="70"/>
      <c r="E939" s="70"/>
      <c r="G939" s="70"/>
      <c r="H939" s="70"/>
      <c r="I939" s="70"/>
      <c r="J939" s="70"/>
    </row>
    <row r="940">
      <c r="D940" s="70"/>
      <c r="E940" s="70"/>
      <c r="G940" s="70"/>
      <c r="H940" s="70"/>
      <c r="I940" s="70"/>
      <c r="J940" s="70"/>
    </row>
    <row r="941">
      <c r="D941" s="70"/>
      <c r="E941" s="70"/>
      <c r="G941" s="70"/>
      <c r="H941" s="70"/>
      <c r="I941" s="70"/>
      <c r="J941" s="70"/>
    </row>
    <row r="942">
      <c r="D942" s="70"/>
      <c r="E942" s="70"/>
      <c r="G942" s="70"/>
      <c r="H942" s="70"/>
      <c r="I942" s="70"/>
      <c r="J942" s="70"/>
    </row>
    <row r="943">
      <c r="D943" s="70"/>
      <c r="E943" s="70"/>
      <c r="G943" s="70"/>
      <c r="H943" s="70"/>
      <c r="I943" s="70"/>
      <c r="J943" s="70"/>
    </row>
    <row r="944">
      <c r="D944" s="70"/>
      <c r="E944" s="70"/>
      <c r="G944" s="70"/>
      <c r="H944" s="70"/>
      <c r="I944" s="70"/>
      <c r="J944" s="70"/>
    </row>
    <row r="945">
      <c r="D945" s="70"/>
      <c r="E945" s="70"/>
      <c r="G945" s="70"/>
      <c r="H945" s="70"/>
      <c r="I945" s="70"/>
      <c r="J945" s="70"/>
    </row>
    <row r="946">
      <c r="D946" s="70"/>
      <c r="E946" s="70"/>
      <c r="G946" s="70"/>
      <c r="H946" s="70"/>
      <c r="I946" s="70"/>
      <c r="J946" s="70"/>
    </row>
    <row r="947">
      <c r="D947" s="70"/>
      <c r="E947" s="70"/>
      <c r="G947" s="70"/>
      <c r="H947" s="70"/>
      <c r="I947" s="70"/>
      <c r="J947" s="70"/>
    </row>
    <row r="948">
      <c r="D948" s="70"/>
      <c r="E948" s="70"/>
      <c r="G948" s="70"/>
      <c r="H948" s="70"/>
      <c r="I948" s="70"/>
      <c r="J948" s="70"/>
    </row>
    <row r="949">
      <c r="D949" s="70"/>
      <c r="E949" s="70"/>
      <c r="G949" s="70"/>
      <c r="H949" s="70"/>
      <c r="I949" s="70"/>
      <c r="J949" s="70"/>
    </row>
    <row r="950">
      <c r="D950" s="70"/>
      <c r="E950" s="70"/>
      <c r="G950" s="70"/>
      <c r="H950" s="70"/>
      <c r="I950" s="70"/>
      <c r="J950" s="70"/>
    </row>
    <row r="951">
      <c r="D951" s="70"/>
      <c r="E951" s="70"/>
      <c r="G951" s="70"/>
      <c r="H951" s="70"/>
      <c r="I951" s="70"/>
      <c r="J951" s="70"/>
    </row>
    <row r="952">
      <c r="D952" s="70"/>
      <c r="E952" s="70"/>
      <c r="G952" s="70"/>
      <c r="H952" s="70"/>
      <c r="I952" s="70"/>
      <c r="J952" s="70"/>
    </row>
    <row r="953">
      <c r="D953" s="70"/>
      <c r="E953" s="70"/>
      <c r="G953" s="70"/>
      <c r="H953" s="70"/>
      <c r="I953" s="70"/>
      <c r="J953" s="70"/>
    </row>
    <row r="954">
      <c r="D954" s="70"/>
      <c r="E954" s="70"/>
      <c r="G954" s="70"/>
      <c r="H954" s="70"/>
      <c r="I954" s="70"/>
      <c r="J954" s="70"/>
    </row>
    <row r="955">
      <c r="D955" s="70"/>
      <c r="E955" s="70"/>
      <c r="G955" s="70"/>
      <c r="H955" s="70"/>
      <c r="I955" s="70"/>
      <c r="J955" s="70"/>
    </row>
    <row r="956">
      <c r="D956" s="70"/>
      <c r="E956" s="70"/>
      <c r="G956" s="70"/>
      <c r="H956" s="70"/>
      <c r="I956" s="70"/>
      <c r="J956" s="70"/>
    </row>
    <row r="957">
      <c r="D957" s="70"/>
      <c r="E957" s="70"/>
      <c r="G957" s="70"/>
      <c r="H957" s="70"/>
      <c r="I957" s="70"/>
      <c r="J957" s="70"/>
    </row>
    <row r="958">
      <c r="D958" s="70"/>
      <c r="E958" s="70"/>
      <c r="G958" s="70"/>
      <c r="H958" s="70"/>
      <c r="I958" s="70"/>
      <c r="J958" s="70"/>
    </row>
    <row r="959">
      <c r="D959" s="70"/>
      <c r="E959" s="70"/>
      <c r="G959" s="70"/>
      <c r="H959" s="70"/>
      <c r="I959" s="70"/>
      <c r="J959" s="70"/>
    </row>
    <row r="960">
      <c r="D960" s="70"/>
      <c r="E960" s="70"/>
      <c r="G960" s="70"/>
      <c r="H960" s="70"/>
      <c r="I960" s="70"/>
      <c r="J960" s="70"/>
    </row>
    <row r="961">
      <c r="D961" s="70"/>
      <c r="E961" s="70"/>
      <c r="G961" s="70"/>
      <c r="H961" s="70"/>
      <c r="I961" s="70"/>
      <c r="J961" s="70"/>
    </row>
    <row r="962">
      <c r="D962" s="70"/>
      <c r="E962" s="70"/>
      <c r="G962" s="70"/>
      <c r="H962" s="70"/>
      <c r="I962" s="70"/>
      <c r="J962" s="70"/>
    </row>
    <row r="963">
      <c r="D963" s="70"/>
      <c r="E963" s="70"/>
      <c r="G963" s="70"/>
      <c r="H963" s="70"/>
      <c r="I963" s="70"/>
      <c r="J963" s="70"/>
    </row>
    <row r="964">
      <c r="D964" s="70"/>
      <c r="E964" s="70"/>
      <c r="G964" s="70"/>
      <c r="H964" s="70"/>
      <c r="I964" s="70"/>
      <c r="J964" s="70"/>
    </row>
    <row r="965">
      <c r="D965" s="70"/>
      <c r="E965" s="70"/>
      <c r="G965" s="70"/>
      <c r="H965" s="70"/>
      <c r="I965" s="70"/>
      <c r="J965" s="70"/>
    </row>
    <row r="966">
      <c r="D966" s="70"/>
      <c r="E966" s="70"/>
      <c r="G966" s="70"/>
      <c r="H966" s="70"/>
      <c r="I966" s="70"/>
      <c r="J966" s="70"/>
    </row>
    <row r="967">
      <c r="D967" s="70"/>
      <c r="E967" s="70"/>
      <c r="G967" s="70"/>
      <c r="H967" s="70"/>
      <c r="I967" s="70"/>
      <c r="J967" s="70"/>
    </row>
    <row r="968">
      <c r="D968" s="70"/>
      <c r="E968" s="70"/>
      <c r="G968" s="70"/>
      <c r="H968" s="70"/>
      <c r="I968" s="70"/>
      <c r="J968" s="70"/>
    </row>
    <row r="969">
      <c r="D969" s="70"/>
      <c r="E969" s="70"/>
      <c r="G969" s="70"/>
      <c r="H969" s="70"/>
      <c r="I969" s="70"/>
      <c r="J969" s="70"/>
    </row>
    <row r="970">
      <c r="D970" s="70"/>
      <c r="E970" s="70"/>
      <c r="G970" s="70"/>
      <c r="H970" s="70"/>
      <c r="I970" s="70"/>
      <c r="J970" s="70"/>
    </row>
    <row r="971">
      <c r="D971" s="70"/>
      <c r="E971" s="70"/>
      <c r="G971" s="70"/>
      <c r="H971" s="70"/>
      <c r="I971" s="70"/>
      <c r="J971" s="70"/>
    </row>
    <row r="972">
      <c r="D972" s="70"/>
      <c r="E972" s="70"/>
      <c r="G972" s="70"/>
      <c r="H972" s="70"/>
      <c r="I972" s="70"/>
      <c r="J972" s="70"/>
    </row>
    <row r="973">
      <c r="D973" s="70"/>
      <c r="E973" s="70"/>
      <c r="G973" s="70"/>
      <c r="H973" s="70"/>
      <c r="I973" s="70"/>
      <c r="J973" s="70"/>
    </row>
    <row r="974">
      <c r="D974" s="70"/>
      <c r="E974" s="70"/>
      <c r="G974" s="70"/>
      <c r="H974" s="70"/>
      <c r="I974" s="70"/>
      <c r="J974" s="70"/>
    </row>
    <row r="975">
      <c r="D975" s="70"/>
      <c r="E975" s="70"/>
      <c r="G975" s="70"/>
      <c r="H975" s="70"/>
      <c r="I975" s="70"/>
      <c r="J975" s="70"/>
    </row>
    <row r="976">
      <c r="D976" s="70"/>
      <c r="E976" s="70"/>
      <c r="G976" s="70"/>
      <c r="H976" s="70"/>
      <c r="I976" s="70"/>
      <c r="J976" s="70"/>
    </row>
    <row r="977">
      <c r="D977" s="70"/>
      <c r="E977" s="70"/>
      <c r="G977" s="70"/>
      <c r="H977" s="70"/>
      <c r="I977" s="70"/>
      <c r="J977" s="70"/>
    </row>
    <row r="978">
      <c r="D978" s="70"/>
      <c r="E978" s="70"/>
      <c r="G978" s="70"/>
      <c r="H978" s="70"/>
      <c r="I978" s="70"/>
      <c r="J978" s="70"/>
    </row>
    <row r="979">
      <c r="D979" s="70"/>
      <c r="E979" s="70"/>
      <c r="G979" s="70"/>
      <c r="H979" s="70"/>
      <c r="I979" s="70"/>
      <c r="J979" s="70"/>
    </row>
    <row r="980">
      <c r="D980" s="70"/>
      <c r="E980" s="70"/>
      <c r="G980" s="70"/>
      <c r="H980" s="70"/>
      <c r="I980" s="70"/>
      <c r="J980" s="70"/>
    </row>
    <row r="981">
      <c r="D981" s="70"/>
      <c r="E981" s="70"/>
      <c r="G981" s="70"/>
      <c r="H981" s="70"/>
      <c r="I981" s="70"/>
      <c r="J981" s="70"/>
    </row>
    <row r="982">
      <c r="D982" s="70"/>
      <c r="E982" s="70"/>
      <c r="G982" s="70"/>
      <c r="H982" s="70"/>
      <c r="I982" s="70"/>
      <c r="J982" s="70"/>
    </row>
    <row r="983">
      <c r="D983" s="70"/>
      <c r="E983" s="70"/>
      <c r="G983" s="70"/>
      <c r="H983" s="70"/>
      <c r="I983" s="70"/>
      <c r="J983" s="70"/>
    </row>
    <row r="984">
      <c r="D984" s="70"/>
      <c r="E984" s="70"/>
      <c r="G984" s="70"/>
      <c r="H984" s="70"/>
      <c r="I984" s="70"/>
      <c r="J984" s="70"/>
    </row>
    <row r="985">
      <c r="D985" s="70"/>
      <c r="E985" s="70"/>
      <c r="G985" s="70"/>
      <c r="H985" s="70"/>
      <c r="I985" s="70"/>
      <c r="J985" s="70"/>
    </row>
    <row r="986">
      <c r="D986" s="70"/>
      <c r="E986" s="70"/>
      <c r="G986" s="70"/>
      <c r="H986" s="70"/>
      <c r="I986" s="70"/>
      <c r="J986" s="70"/>
    </row>
    <row r="987">
      <c r="D987" s="70"/>
      <c r="E987" s="70"/>
      <c r="G987" s="70"/>
      <c r="H987" s="70"/>
      <c r="I987" s="70"/>
      <c r="J987" s="70"/>
    </row>
    <row r="988">
      <c r="D988" s="70"/>
      <c r="E988" s="70"/>
      <c r="G988" s="70"/>
      <c r="H988" s="70"/>
      <c r="I988" s="70"/>
      <c r="J988" s="70"/>
    </row>
    <row r="989">
      <c r="D989" s="70"/>
      <c r="E989" s="70"/>
      <c r="G989" s="70"/>
      <c r="H989" s="70"/>
      <c r="I989" s="70"/>
      <c r="J989" s="70"/>
    </row>
    <row r="990">
      <c r="D990" s="70"/>
      <c r="E990" s="70"/>
      <c r="G990" s="70"/>
      <c r="H990" s="70"/>
      <c r="I990" s="70"/>
      <c r="J990" s="70"/>
    </row>
    <row r="991">
      <c r="D991" s="70"/>
      <c r="E991" s="70"/>
      <c r="G991" s="70"/>
      <c r="H991" s="70"/>
      <c r="I991" s="70"/>
      <c r="J991" s="70"/>
    </row>
    <row r="992">
      <c r="D992" s="70"/>
      <c r="E992" s="70"/>
      <c r="G992" s="70"/>
      <c r="H992" s="70"/>
      <c r="I992" s="70"/>
      <c r="J992" s="70"/>
    </row>
    <row r="993">
      <c r="D993" s="70"/>
      <c r="E993" s="70"/>
      <c r="G993" s="70"/>
      <c r="H993" s="70"/>
      <c r="I993" s="70"/>
      <c r="J993" s="70"/>
    </row>
    <row r="994">
      <c r="D994" s="70"/>
      <c r="E994" s="70"/>
      <c r="G994" s="70"/>
      <c r="H994" s="70"/>
      <c r="I994" s="70"/>
      <c r="J994" s="70"/>
    </row>
    <row r="995">
      <c r="D995" s="70"/>
      <c r="E995" s="70"/>
      <c r="G995" s="70"/>
      <c r="H995" s="70"/>
      <c r="I995" s="70"/>
      <c r="J995" s="70"/>
    </row>
    <row r="996">
      <c r="D996" s="70"/>
      <c r="E996" s="70"/>
      <c r="G996" s="70"/>
      <c r="H996" s="70"/>
      <c r="I996" s="70"/>
      <c r="J996" s="70"/>
    </row>
    <row r="997">
      <c r="D997" s="70"/>
      <c r="E997" s="70"/>
      <c r="G997" s="70"/>
      <c r="H997" s="70"/>
      <c r="I997" s="70"/>
      <c r="J997" s="70"/>
    </row>
    <row r="998">
      <c r="D998" s="70"/>
      <c r="E998" s="70"/>
      <c r="G998" s="70"/>
      <c r="H998" s="70"/>
      <c r="I998" s="70"/>
      <c r="J998" s="70"/>
    </row>
    <row r="999">
      <c r="D999" s="70"/>
      <c r="E999" s="70"/>
      <c r="G999" s="70"/>
      <c r="H999" s="70"/>
      <c r="I999" s="70"/>
      <c r="J999" s="70"/>
    </row>
    <row r="1000">
      <c r="D1000" s="70"/>
      <c r="E1000" s="70"/>
      <c r="G1000" s="70"/>
      <c r="H1000" s="70"/>
      <c r="I1000" s="70"/>
      <c r="J1000" s="70"/>
    </row>
    <row r="1001">
      <c r="D1001" s="70"/>
      <c r="E1001" s="70"/>
      <c r="G1001" s="70"/>
      <c r="H1001" s="70"/>
      <c r="I1001" s="70"/>
      <c r="J1001" s="70"/>
    </row>
    <row r="1002">
      <c r="D1002" s="70"/>
      <c r="E1002" s="70"/>
      <c r="G1002" s="70"/>
      <c r="H1002" s="70"/>
      <c r="I1002" s="70"/>
      <c r="J1002" s="70"/>
    </row>
  </sheetData>
  <hyperlinks>
    <hyperlink r:id="rId1" ref="B2"/>
    <hyperlink r:id="rId2" ref="K2"/>
    <hyperlink r:id="rId3" ref="X2"/>
    <hyperlink r:id="rId4" ref="K3"/>
    <hyperlink r:id="rId5" ref="X3"/>
    <hyperlink r:id="rId6" ref="K4"/>
    <hyperlink r:id="rId7" ref="L4"/>
    <hyperlink r:id="rId8" ref="X4"/>
    <hyperlink r:id="rId9" ref="K5"/>
    <hyperlink r:id="rId10" ref="L5"/>
    <hyperlink r:id="rId11" ref="X5"/>
    <hyperlink r:id="rId12" ref="K6"/>
    <hyperlink r:id="rId13" ref="X6"/>
    <hyperlink r:id="rId14" ref="K7"/>
    <hyperlink r:id="rId15" ref="L7"/>
    <hyperlink r:id="rId16" ref="X7"/>
    <hyperlink r:id="rId17" ref="Y7"/>
    <hyperlink r:id="rId18" ref="K8"/>
    <hyperlink r:id="rId19" ref="L8"/>
    <hyperlink r:id="rId20" ref="X8"/>
    <hyperlink r:id="rId21" ref="Y8"/>
    <hyperlink r:id="rId22" ref="K9"/>
    <hyperlink r:id="rId23" ref="X9"/>
    <hyperlink r:id="rId24" ref="K10"/>
    <hyperlink r:id="rId25" ref="L10"/>
    <hyperlink r:id="rId26" ref="X10"/>
    <hyperlink r:id="rId27" ref="K11"/>
    <hyperlink r:id="rId28" ref="L11"/>
    <hyperlink r:id="rId29" ref="X11"/>
    <hyperlink r:id="rId30" ref="K12"/>
    <hyperlink r:id="rId31" ref="X12"/>
    <hyperlink r:id="rId32" ref="K13"/>
    <hyperlink r:id="rId33" ref="L13"/>
    <hyperlink r:id="rId34" ref="X13"/>
    <hyperlink r:id="rId35" ref="K14"/>
    <hyperlink r:id="rId36" ref="L14"/>
    <hyperlink r:id="rId37" ref="X14"/>
    <hyperlink r:id="rId38" ref="Y14"/>
    <hyperlink r:id="rId39" ref="K15"/>
    <hyperlink r:id="rId40" ref="X15"/>
    <hyperlink r:id="rId41" ref="K16"/>
    <hyperlink r:id="rId42" ref="X16"/>
    <hyperlink r:id="rId43" ref="K17"/>
    <hyperlink r:id="rId44" location="pre-training-data-6-public--1-private" ref="X17"/>
    <hyperlink r:id="rId45" ref="K18"/>
    <hyperlink r:id="rId46" ref="X18"/>
    <hyperlink r:id="rId47" ref="K19"/>
    <hyperlink r:id="rId48" ref="L19"/>
    <hyperlink r:id="rId49" ref="X19"/>
    <hyperlink r:id="rId50" ref="K20"/>
    <hyperlink r:id="rId51" ref="X20"/>
    <hyperlink r:id="rId52" ref="K21"/>
    <hyperlink r:id="rId53" ref="X21"/>
    <hyperlink r:id="rId54" ref="K22"/>
    <hyperlink r:id="rId55" ref="L22"/>
    <hyperlink r:id="rId56" ref="X22"/>
    <hyperlink r:id="rId57" ref="K23"/>
    <hyperlink r:id="rId58" ref="L23"/>
    <hyperlink r:id="rId59" ref="X23"/>
    <hyperlink r:id="rId60" ref="K24"/>
    <hyperlink r:id="rId61" ref="X24"/>
    <hyperlink r:id="rId62" ref="Y24"/>
    <hyperlink r:id="rId63" ref="K25"/>
    <hyperlink r:id="rId64" ref="L25"/>
    <hyperlink r:id="rId65" ref="X25"/>
    <hyperlink r:id="rId66" ref="Y25"/>
    <hyperlink r:id="rId67" ref="K26"/>
    <hyperlink r:id="rId68" ref="L26"/>
    <hyperlink r:id="rId69" ref="X26"/>
    <hyperlink r:id="rId70" ref="Y26"/>
    <hyperlink r:id="rId71" ref="K27"/>
    <hyperlink r:id="rId72" ref="X27"/>
    <hyperlink r:id="rId73" ref="Y27"/>
    <hyperlink r:id="rId74" ref="K28"/>
    <hyperlink r:id="rId75" ref="X28"/>
    <hyperlink r:id="rId76" ref="K29"/>
    <hyperlink r:id="rId77" ref="L29"/>
    <hyperlink r:id="rId78" ref="X29"/>
    <hyperlink r:id="rId79" ref="K30"/>
    <hyperlink r:id="rId80" ref="X30"/>
    <hyperlink r:id="rId81" ref="K31"/>
    <hyperlink r:id="rId82" ref="L31"/>
    <hyperlink r:id="rId83" ref="X31"/>
    <hyperlink r:id="rId84" ref="Y31"/>
    <hyperlink r:id="rId85" ref="K32"/>
    <hyperlink r:id="rId86" ref="X32"/>
    <hyperlink r:id="rId87" ref="Y32"/>
    <hyperlink r:id="rId88" ref="K33"/>
    <hyperlink r:id="rId89" ref="X33"/>
    <hyperlink r:id="rId90" ref="Y33"/>
    <hyperlink r:id="rId91" ref="K34"/>
    <hyperlink r:id="rId92" ref="L34"/>
    <hyperlink r:id="rId93" ref="X34"/>
    <hyperlink r:id="rId94" ref="Y34"/>
    <hyperlink r:id="rId95" ref="K35"/>
    <hyperlink r:id="rId96" ref="X35"/>
    <hyperlink r:id="rId97" ref="K36"/>
    <hyperlink r:id="rId98" ref="X36"/>
    <hyperlink r:id="rId99" ref="K37"/>
    <hyperlink r:id="rId100" ref="L37"/>
    <hyperlink r:id="rId101" ref="X37"/>
    <hyperlink r:id="rId102" ref="Y37"/>
    <hyperlink r:id="rId103" ref="K38"/>
    <hyperlink r:id="rId104" ref="X38"/>
    <hyperlink r:id="rId105" ref="K39"/>
    <hyperlink r:id="rId106" location="faq-tb-coll" ref="X39"/>
    <hyperlink r:id="rId107" ref="Y39"/>
    <hyperlink r:id="rId108" ref="K40"/>
    <hyperlink r:id="rId109" ref="L40"/>
    <hyperlink r:id="rId110" ref="X40"/>
    <hyperlink r:id="rId111" ref="K41"/>
    <hyperlink r:id="rId112" location="!/content/playContent/1-s2.0-S1959031813000237?returnurl=https:%2F%2Flinkinghub.elsevier.com%2Fretrieve%2Fpii%2FS1959031813000237%3Fshowall%3Dtrue&amp;referrer=" ref="L41"/>
    <hyperlink r:id="rId113" ref="X41"/>
    <hyperlink r:id="rId114" ref="K42"/>
    <hyperlink r:id="rId115" ref="X42"/>
    <hyperlink r:id="rId116" ref="K43"/>
    <hyperlink r:id="rId117" ref="X43"/>
    <hyperlink r:id="rId118" ref="K44"/>
    <hyperlink r:id="rId119" ref="L44"/>
    <hyperlink r:id="rId120" ref="X44"/>
    <hyperlink r:id="rId121" ref="K45"/>
    <hyperlink r:id="rId122" ref="X45"/>
    <hyperlink r:id="rId123" ref="Y45"/>
    <hyperlink r:id="rId124" ref="Z45"/>
    <hyperlink r:id="rId125" ref="K46"/>
    <hyperlink r:id="rId126" ref="L46"/>
    <hyperlink r:id="rId127" ref="X46"/>
    <hyperlink r:id="rId128" ref="K47"/>
    <hyperlink r:id="rId129" ref="L47"/>
    <hyperlink r:id="rId130" ref="X47"/>
    <hyperlink r:id="rId131" ref="K48"/>
    <hyperlink r:id="rId132" location="faq-tb-coll" ref="X48"/>
    <hyperlink r:id="rId133" ref="Y48"/>
    <hyperlink r:id="rId134" ref="K49"/>
    <hyperlink r:id="rId135" ref="L49"/>
    <hyperlink r:id="rId136" ref="X49"/>
    <hyperlink r:id="rId137" ref="K50"/>
    <hyperlink r:id="rId138" ref="L50"/>
    <hyperlink r:id="rId139" ref="X50"/>
    <hyperlink r:id="rId140" ref="K51"/>
    <hyperlink r:id="rId141" ref="Y51"/>
    <hyperlink r:id="rId142" ref="K52"/>
    <hyperlink r:id="rId143" ref="L52"/>
    <hyperlink r:id="rId144" ref="X52"/>
    <hyperlink r:id="rId145" ref="K53"/>
    <hyperlink r:id="rId146" ref="L53"/>
    <hyperlink r:id="rId147" ref="X53"/>
    <hyperlink r:id="rId148" ref="Y53"/>
    <hyperlink r:id="rId149" ref="K54"/>
    <hyperlink r:id="rId150" location="vicavr" ref="X54"/>
    <hyperlink r:id="rId151" ref="K55"/>
    <hyperlink r:id="rId152" ref="K56"/>
    <hyperlink r:id="rId153" ref="X56"/>
    <hyperlink r:id="rId154" ref="K57"/>
    <hyperlink r:id="rId155" ref="X57"/>
    <hyperlink r:id="rId156" ref="K58"/>
    <hyperlink r:id="rId157" ref="L58"/>
    <hyperlink r:id="rId158" ref="K59"/>
    <hyperlink r:id="rId159" ref="L59"/>
    <hyperlink r:id="rId160" ref="X59"/>
    <hyperlink r:id="rId161" ref="K60"/>
    <hyperlink r:id="rId162" ref="K61"/>
    <hyperlink r:id="rId163" ref="X61"/>
    <hyperlink r:id="rId164" ref="K62"/>
    <hyperlink r:id="rId165" ref="L62"/>
    <hyperlink r:id="rId166" ref="X62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6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8.0"/>
  </cols>
  <sheetData>
    <row r="1">
      <c r="A1" s="1" t="s">
        <v>2</v>
      </c>
      <c r="B1" s="1" t="s">
        <v>0</v>
      </c>
      <c r="E1" s="1" t="s">
        <v>4</v>
      </c>
      <c r="H1" s="1" t="s">
        <v>7</v>
      </c>
    </row>
    <row r="2">
      <c r="A2" s="5" t="s">
        <v>8</v>
      </c>
      <c r="B2" s="5" t="s">
        <v>13</v>
      </c>
      <c r="E2" s="5" t="s">
        <v>17</v>
      </c>
      <c r="F2" s="9"/>
      <c r="G2" s="9"/>
      <c r="H2" s="13" t="s">
        <v>22</v>
      </c>
    </row>
    <row r="3">
      <c r="A3" s="5" t="s">
        <v>44</v>
      </c>
      <c r="B3" s="5" t="s">
        <v>45</v>
      </c>
      <c r="E3" s="5" t="s">
        <v>17</v>
      </c>
      <c r="F3" s="9"/>
      <c r="G3" s="9"/>
      <c r="H3" s="13" t="s">
        <v>46</v>
      </c>
    </row>
    <row r="4">
      <c r="A4" s="5" t="s">
        <v>55</v>
      </c>
      <c r="B4" s="5" t="s">
        <v>56</v>
      </c>
      <c r="E4" s="5" t="s">
        <v>57</v>
      </c>
      <c r="F4" s="9"/>
      <c r="G4" s="9"/>
      <c r="H4" s="13" t="s">
        <v>58</v>
      </c>
    </row>
    <row r="5">
      <c r="A5" s="5" t="s">
        <v>71</v>
      </c>
      <c r="B5" s="5" t="s">
        <v>73</v>
      </c>
      <c r="E5" s="5" t="s">
        <v>75</v>
      </c>
      <c r="F5" s="9"/>
      <c r="G5" s="9"/>
      <c r="H5" s="13" t="s">
        <v>78</v>
      </c>
    </row>
    <row r="6">
      <c r="A6" s="5" t="s">
        <v>82</v>
      </c>
      <c r="B6" s="5" t="s">
        <v>83</v>
      </c>
      <c r="E6" s="5" t="s">
        <v>54</v>
      </c>
      <c r="F6" s="9"/>
      <c r="G6" s="9"/>
      <c r="H6" s="13" t="s">
        <v>86</v>
      </c>
    </row>
    <row r="7">
      <c r="A7" s="5" t="s">
        <v>89</v>
      </c>
      <c r="B7" s="5" t="s">
        <v>90</v>
      </c>
      <c r="E7" s="5" t="s">
        <v>91</v>
      </c>
      <c r="F7" s="9"/>
      <c r="G7" s="9"/>
      <c r="H7" s="13" t="s">
        <v>92</v>
      </c>
    </row>
    <row r="8">
      <c r="A8" s="5" t="s">
        <v>95</v>
      </c>
      <c r="B8" s="5" t="s">
        <v>98</v>
      </c>
      <c r="E8" s="5" t="s">
        <v>101</v>
      </c>
      <c r="F8" s="9"/>
      <c r="G8" s="9"/>
      <c r="H8" s="13" t="s">
        <v>102</v>
      </c>
    </row>
    <row r="9">
      <c r="A9" s="5" t="s">
        <v>108</v>
      </c>
      <c r="B9" s="5" t="s">
        <v>109</v>
      </c>
      <c r="E9" s="5" t="s">
        <v>64</v>
      </c>
      <c r="F9" s="9"/>
      <c r="G9" s="9"/>
      <c r="H9" s="13" t="s">
        <v>110</v>
      </c>
    </row>
    <row r="10">
      <c r="A10" s="18" t="s">
        <v>115</v>
      </c>
      <c r="B10" s="18" t="s">
        <v>115</v>
      </c>
      <c r="E10" s="1" t="s">
        <v>107</v>
      </c>
      <c r="H10" s="11" t="s">
        <v>119</v>
      </c>
    </row>
    <row r="11">
      <c r="A11" s="1" t="s">
        <v>128</v>
      </c>
      <c r="B11" s="18" t="s">
        <v>129</v>
      </c>
      <c r="E11" s="1" t="s">
        <v>100</v>
      </c>
      <c r="H11" s="11" t="s">
        <v>130</v>
      </c>
    </row>
    <row r="12">
      <c r="A12" s="1" t="s">
        <v>134</v>
      </c>
      <c r="B12" s="1" t="s">
        <v>134</v>
      </c>
      <c r="E12" s="1" t="s">
        <v>100</v>
      </c>
      <c r="H12" s="16" t="s">
        <v>135</v>
      </c>
    </row>
    <row r="13">
      <c r="A13" s="1" t="s">
        <v>139</v>
      </c>
      <c r="B13" s="1" t="s">
        <v>139</v>
      </c>
      <c r="E13" s="1" t="s">
        <v>64</v>
      </c>
      <c r="H13" s="16" t="s">
        <v>142</v>
      </c>
    </row>
    <row r="14">
      <c r="A14" s="1" t="s">
        <v>145</v>
      </c>
      <c r="B14" s="1" t="s">
        <v>146</v>
      </c>
      <c r="E14" s="18" t="s">
        <v>147</v>
      </c>
      <c r="H14" s="11" t="s">
        <v>148</v>
      </c>
    </row>
  </sheetData>
  <mergeCells count="16">
    <mergeCell ref="B5:D5"/>
    <mergeCell ref="B6:D6"/>
    <mergeCell ref="B7:D7"/>
    <mergeCell ref="B8:D8"/>
    <mergeCell ref="B9:D9"/>
    <mergeCell ref="H6:J6"/>
    <mergeCell ref="H7:J7"/>
    <mergeCell ref="H8:J8"/>
    <mergeCell ref="H9:J9"/>
    <mergeCell ref="B2:D2"/>
    <mergeCell ref="H2:J2"/>
    <mergeCell ref="B3:D3"/>
    <mergeCell ref="H3:J3"/>
    <mergeCell ref="B4:D4"/>
    <mergeCell ref="H4:J4"/>
    <mergeCell ref="H5:J5"/>
  </mergeCell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</hyperlinks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C1" s="11" t="s">
        <v>5</v>
      </c>
    </row>
    <row r="2">
      <c r="A2" s="1" t="s">
        <v>39</v>
      </c>
      <c r="C2" s="16" t="s">
        <v>40</v>
      </c>
    </row>
    <row r="3">
      <c r="A3" s="1" t="s">
        <v>51</v>
      </c>
      <c r="C3" s="16" t="s">
        <v>52</v>
      </c>
    </row>
    <row r="4">
      <c r="A4" s="1" t="s">
        <v>65</v>
      </c>
      <c r="C4" s="16" t="s">
        <v>67</v>
      </c>
    </row>
  </sheetData>
  <hyperlinks>
    <hyperlink r:id="rId1" ref="C1"/>
    <hyperlink r:id="rId2" ref="C2"/>
    <hyperlink r:id="rId3" ref="C3"/>
    <hyperlink r:id="rId4" ref="C4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72.25"/>
    <col customWidth="1" min="3" max="3" width="38.75"/>
  </cols>
  <sheetData>
    <row r="1">
      <c r="A1" s="2" t="s">
        <v>0</v>
      </c>
      <c r="B1" s="4" t="s">
        <v>3</v>
      </c>
      <c r="C1" s="6" t="s">
        <v>4</v>
      </c>
      <c r="D1" s="7" t="s">
        <v>14</v>
      </c>
      <c r="E1" s="8" t="s">
        <v>18</v>
      </c>
      <c r="F1" s="8" t="s">
        <v>20</v>
      </c>
      <c r="G1" s="8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>
      <c r="A2" s="2" t="s">
        <v>28</v>
      </c>
      <c r="B2" s="2" t="s">
        <v>29</v>
      </c>
      <c r="C2" s="6" t="s">
        <v>31</v>
      </c>
      <c r="D2" s="7">
        <v>480056.0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>
      <c r="A3" s="4" t="s">
        <v>37</v>
      </c>
      <c r="B3" s="2" t="s">
        <v>38</v>
      </c>
      <c r="C3" s="12" t="s">
        <v>17</v>
      </c>
      <c r="D3" s="7">
        <v>39191.0</v>
      </c>
      <c r="E3" s="8" t="b">
        <v>1</v>
      </c>
      <c r="F3" s="8" t="s">
        <v>43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>
      <c r="A4" s="4" t="s">
        <v>47</v>
      </c>
      <c r="B4" s="14" t="s">
        <v>48</v>
      </c>
      <c r="C4" s="12" t="s">
        <v>31</v>
      </c>
      <c r="D4" s="15">
        <v>292353.0</v>
      </c>
      <c r="E4" s="10"/>
      <c r="F4" s="10"/>
      <c r="G4" s="10"/>
      <c r="H4" s="10"/>
      <c r="I4" s="8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4" t="s">
        <v>47</v>
      </c>
      <c r="B5" s="14" t="s">
        <v>49</v>
      </c>
      <c r="C5" s="12" t="s">
        <v>50</v>
      </c>
      <c r="D5" s="15">
        <v>672675.0</v>
      </c>
      <c r="E5" s="10"/>
      <c r="F5" s="10"/>
      <c r="G5" s="10"/>
      <c r="H5" s="10"/>
      <c r="I5" s="8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>
      <c r="A6" s="4" t="s">
        <v>47</v>
      </c>
      <c r="B6" s="14" t="s">
        <v>53</v>
      </c>
      <c r="C6" s="12" t="s">
        <v>54</v>
      </c>
      <c r="D6" s="15">
        <v>389885.0</v>
      </c>
      <c r="E6" s="10"/>
      <c r="F6" s="10"/>
      <c r="G6" s="10"/>
      <c r="H6" s="10"/>
      <c r="I6" s="8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>
      <c r="A7" s="14" t="s">
        <v>59</v>
      </c>
      <c r="B7" s="2" t="s">
        <v>60</v>
      </c>
      <c r="C7" s="6" t="s">
        <v>61</v>
      </c>
      <c r="D7" s="7">
        <v>653136.0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>
      <c r="A8" s="4" t="s">
        <v>62</v>
      </c>
      <c r="B8" s="2" t="s">
        <v>63</v>
      </c>
      <c r="C8" s="6" t="s">
        <v>64</v>
      </c>
      <c r="D8" s="7">
        <v>401059.0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>
      <c r="A9" s="2" t="s">
        <v>76</v>
      </c>
      <c r="B9" s="2" t="s">
        <v>77</v>
      </c>
      <c r="C9" s="6" t="s">
        <v>31</v>
      </c>
      <c r="D9" s="7">
        <v>392560.0</v>
      </c>
      <c r="E9" s="8" t="b">
        <v>0</v>
      </c>
      <c r="F9" s="8" t="s">
        <v>43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>
      <c r="A10" s="4" t="s">
        <v>79</v>
      </c>
      <c r="B10" s="2" t="s">
        <v>80</v>
      </c>
      <c r="C10" s="6" t="s">
        <v>81</v>
      </c>
      <c r="D10" s="7">
        <v>377110.0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>
      <c r="A11" s="2" t="s">
        <v>84</v>
      </c>
      <c r="B11" s="2" t="s">
        <v>85</v>
      </c>
      <c r="C11" s="6" t="s">
        <v>61</v>
      </c>
      <c r="D11" s="7">
        <v>327680.0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>
      <c r="A12" s="4" t="s">
        <v>87</v>
      </c>
      <c r="B12" s="2" t="s">
        <v>88</v>
      </c>
      <c r="C12" s="6" t="s">
        <v>81</v>
      </c>
      <c r="D12" s="7">
        <v>223414.0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>
      <c r="A13" s="2" t="s">
        <v>93</v>
      </c>
      <c r="B13" s="2" t="s">
        <v>94</v>
      </c>
      <c r="C13" s="6" t="s">
        <v>81</v>
      </c>
      <c r="D13" s="7">
        <v>156525.0</v>
      </c>
      <c r="E13" s="8" t="b">
        <v>0</v>
      </c>
      <c r="F13" s="8" t="s">
        <v>43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>
      <c r="A14" s="4" t="s">
        <v>96</v>
      </c>
      <c r="B14" s="2" t="s">
        <v>99</v>
      </c>
      <c r="C14" s="12" t="s">
        <v>100</v>
      </c>
      <c r="D14" s="7">
        <v>88712.0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>
      <c r="A15" s="2" t="s">
        <v>103</v>
      </c>
      <c r="B15" s="2" t="s">
        <v>104</v>
      </c>
      <c r="C15" s="6" t="s">
        <v>61</v>
      </c>
      <c r="D15" s="7">
        <v>100000.0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>
      <c r="A16" s="2" t="s">
        <v>105</v>
      </c>
      <c r="B16" s="2" t="s">
        <v>106</v>
      </c>
      <c r="C16" s="6" t="s">
        <v>107</v>
      </c>
      <c r="D16" s="7">
        <v>1831457.0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>
      <c r="A17" s="4" t="s">
        <v>111</v>
      </c>
      <c r="B17" s="2" t="s">
        <v>112</v>
      </c>
      <c r="C17" s="6" t="s">
        <v>81</v>
      </c>
      <c r="D17" s="7">
        <v>112120.0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>
      <c r="A18" s="2" t="s">
        <v>113</v>
      </c>
      <c r="B18" s="2" t="s">
        <v>114</v>
      </c>
      <c r="C18" s="6" t="s">
        <v>107</v>
      </c>
      <c r="D18" s="7">
        <v>47238.0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>
      <c r="A19" s="4" t="s">
        <v>116</v>
      </c>
      <c r="B19" s="2" t="s">
        <v>117</v>
      </c>
      <c r="C19" s="19" t="s">
        <v>64</v>
      </c>
      <c r="D19" s="7">
        <v>537969.0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>
      <c r="A20" s="2" t="s">
        <v>125</v>
      </c>
      <c r="B20" s="2" t="s">
        <v>126</v>
      </c>
      <c r="C20" s="12" t="s">
        <v>54</v>
      </c>
      <c r="D20" s="7">
        <v>184741.0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>
      <c r="A21" s="4" t="s">
        <v>131</v>
      </c>
      <c r="B21" s="2" t="s">
        <v>132</v>
      </c>
      <c r="C21" s="12" t="s">
        <v>54</v>
      </c>
      <c r="D21" s="7">
        <v>882309.0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>
      <c r="A22" s="2" t="s">
        <v>1</v>
      </c>
      <c r="B22" s="2" t="s">
        <v>133</v>
      </c>
      <c r="C22" s="6" t="s">
        <v>61</v>
      </c>
      <c r="D22" s="7">
        <v>25000.0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>
      <c r="A23" s="4" t="s">
        <v>136</v>
      </c>
      <c r="B23" s="2" t="s">
        <v>137</v>
      </c>
      <c r="C23" s="2" t="s">
        <v>64</v>
      </c>
      <c r="D23" s="7">
        <v>16577.0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>
      <c r="A24" s="2" t="s">
        <v>140</v>
      </c>
      <c r="B24" s="2" t="s">
        <v>141</v>
      </c>
      <c r="C24" s="6" t="s">
        <v>81</v>
      </c>
      <c r="D24" s="7">
        <v>18000.0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>
      <c r="A25" s="4" t="s">
        <v>143</v>
      </c>
      <c r="B25" s="2" t="s">
        <v>144</v>
      </c>
      <c r="C25" s="12" t="s">
        <v>100</v>
      </c>
      <c r="D25" s="7">
        <v>14813.0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>
      <c r="A26" s="4" t="s">
        <v>149</v>
      </c>
      <c r="B26" s="2" t="s">
        <v>150</v>
      </c>
      <c r="C26" s="12" t="s">
        <v>100</v>
      </c>
      <c r="D26" s="7">
        <v>14430.0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>
      <c r="A27" s="4" t="s">
        <v>152</v>
      </c>
      <c r="B27" s="2" t="s">
        <v>153</v>
      </c>
      <c r="C27" s="6" t="s">
        <v>81</v>
      </c>
      <c r="D27" s="7">
        <v>15146.0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>
      <c r="A28" s="4" t="s">
        <v>155</v>
      </c>
      <c r="B28" s="2" t="s">
        <v>156</v>
      </c>
      <c r="C28" s="6" t="s">
        <v>81</v>
      </c>
      <c r="D28" s="7">
        <v>10466.0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>
      <c r="A29" s="4" t="s">
        <v>158</v>
      </c>
      <c r="B29" s="2" t="s">
        <v>159</v>
      </c>
      <c r="C29" s="6" t="s">
        <v>81</v>
      </c>
      <c r="D29" s="7">
        <v>8710.0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>
      <c r="A30" s="2" t="s">
        <v>160</v>
      </c>
      <c r="B30" s="2" t="s">
        <v>161</v>
      </c>
      <c r="C30" s="6" t="s">
        <v>81</v>
      </c>
      <c r="D30" s="7">
        <v>9125.0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>
      <c r="A31" s="2" t="s">
        <v>162</v>
      </c>
      <c r="B31" s="2" t="s">
        <v>163</v>
      </c>
      <c r="C31" s="6" t="s">
        <v>81</v>
      </c>
      <c r="D31" s="7">
        <v>7470.0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>
      <c r="A32" s="2" t="s">
        <v>164</v>
      </c>
      <c r="B32" s="2" t="s">
        <v>165</v>
      </c>
      <c r="C32" s="12" t="s">
        <v>100</v>
      </c>
      <c r="D32" s="7">
        <v>1200.0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>
      <c r="A33" s="2" t="s">
        <v>166</v>
      </c>
      <c r="B33" s="2" t="s">
        <v>167</v>
      </c>
      <c r="C33" s="6" t="s">
        <v>81</v>
      </c>
      <c r="D33" s="7">
        <v>3368.0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>
      <c r="A34" s="4" t="s">
        <v>169</v>
      </c>
      <c r="B34" s="2" t="s">
        <v>170</v>
      </c>
      <c r="C34" s="12" t="s">
        <v>171</v>
      </c>
      <c r="D34" s="7">
        <v>918.0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>
      <c r="A35" s="2" t="s">
        <v>172</v>
      </c>
      <c r="B35" s="2" t="s">
        <v>173</v>
      </c>
      <c r="C35" s="6" t="s">
        <v>107</v>
      </c>
      <c r="D35" s="7">
        <v>29887.0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>
      <c r="A36" s="2" t="s">
        <v>178</v>
      </c>
      <c r="B36" s="2" t="s">
        <v>179</v>
      </c>
      <c r="C36" s="6" t="s">
        <v>81</v>
      </c>
      <c r="D36" s="7">
        <v>686.0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>
      <c r="A37" s="2" t="s">
        <v>184</v>
      </c>
      <c r="B37" s="2" t="s">
        <v>185</v>
      </c>
      <c r="C37" s="12" t="s">
        <v>100</v>
      </c>
      <c r="D37" s="7">
        <v>800.0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>
      <c r="A38" s="2" t="s">
        <v>186</v>
      </c>
      <c r="B38" s="2" t="s">
        <v>187</v>
      </c>
      <c r="C38" s="12" t="s">
        <v>100</v>
      </c>
      <c r="D38" s="7">
        <v>558.0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>
      <c r="A39" s="2" t="s">
        <v>189</v>
      </c>
      <c r="B39" s="2" t="s">
        <v>190</v>
      </c>
      <c r="C39" s="6" t="s">
        <v>81</v>
      </c>
      <c r="D39" s="7">
        <v>500.0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>
      <c r="A40" s="2" t="s">
        <v>191</v>
      </c>
      <c r="B40" s="2" t="s">
        <v>192</v>
      </c>
      <c r="C40" s="12" t="s">
        <v>100</v>
      </c>
      <c r="D40" s="7">
        <v>397.0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>
      <c r="A41" s="4" t="s">
        <v>193</v>
      </c>
      <c r="B41" s="2" t="s">
        <v>194</v>
      </c>
      <c r="C41" s="12" t="s">
        <v>100</v>
      </c>
      <c r="D41" s="7">
        <v>970.0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>
      <c r="A42" s="4" t="s">
        <v>197</v>
      </c>
      <c r="B42" s="2" t="s">
        <v>198</v>
      </c>
      <c r="C42" s="12" t="s">
        <v>171</v>
      </c>
      <c r="D42" s="7">
        <v>500.0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>
      <c r="A43" s="2" t="s">
        <v>199</v>
      </c>
      <c r="B43" s="2" t="s">
        <v>200</v>
      </c>
      <c r="C43" s="6" t="s">
        <v>81</v>
      </c>
      <c r="D43" s="7">
        <v>245.0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>
      <c r="A44" s="2" t="s">
        <v>201</v>
      </c>
      <c r="B44" s="2" t="s">
        <v>202</v>
      </c>
      <c r="C44" s="12" t="s">
        <v>54</v>
      </c>
      <c r="D44" s="7">
        <v>780.0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>
      <c r="A45" s="2" t="s">
        <v>203</v>
      </c>
      <c r="B45" s="2" t="s">
        <v>204</v>
      </c>
      <c r="C45" s="6" t="s">
        <v>81</v>
      </c>
      <c r="D45" s="7">
        <v>138.0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>
      <c r="A46" s="4" t="s">
        <v>205</v>
      </c>
      <c r="B46" s="2" t="s">
        <v>206</v>
      </c>
      <c r="C46" s="12" t="s">
        <v>100</v>
      </c>
      <c r="D46" s="7">
        <v>311.0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>
      <c r="A47" s="2" t="s">
        <v>208</v>
      </c>
      <c r="B47" s="2" t="s">
        <v>209</v>
      </c>
      <c r="C47" s="12" t="s">
        <v>100</v>
      </c>
      <c r="D47" s="7">
        <v>110.0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>
      <c r="A48" s="2" t="s">
        <v>212</v>
      </c>
      <c r="B48" s="2" t="s">
        <v>213</v>
      </c>
      <c r="C48" s="12" t="s">
        <v>100</v>
      </c>
      <c r="D48" s="7">
        <v>303.0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>
      <c r="A49" s="2" t="s">
        <v>219</v>
      </c>
      <c r="B49" s="2" t="s">
        <v>220</v>
      </c>
      <c r="C49" s="6" t="s">
        <v>81</v>
      </c>
      <c r="D49" s="7">
        <v>139.0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>
      <c r="A50" s="2" t="s">
        <v>221</v>
      </c>
      <c r="B50" s="2" t="s">
        <v>222</v>
      </c>
      <c r="C50" s="12" t="s">
        <v>100</v>
      </c>
      <c r="D50" s="7">
        <v>232.0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>
      <c r="A51" s="2" t="s">
        <v>223</v>
      </c>
      <c r="B51" s="2" t="s">
        <v>224</v>
      </c>
      <c r="C51" s="12" t="s">
        <v>100</v>
      </c>
      <c r="D51" s="7">
        <v>48.0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>
      <c r="A52" s="2" t="s">
        <v>225</v>
      </c>
      <c r="B52" s="2" t="s">
        <v>226</v>
      </c>
      <c r="C52" s="12" t="s">
        <v>171</v>
      </c>
      <c r="D52" s="7">
        <v>117.0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>
      <c r="A53" s="4" t="s">
        <v>228</v>
      </c>
      <c r="B53" s="2" t="s">
        <v>229</v>
      </c>
      <c r="C53" s="12" t="s">
        <v>100</v>
      </c>
      <c r="D53" s="7">
        <v>28.0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>
      <c r="A54" s="4" t="s">
        <v>230</v>
      </c>
      <c r="B54" s="2" t="s">
        <v>231</v>
      </c>
      <c r="C54" s="12" t="s">
        <v>100</v>
      </c>
      <c r="D54" s="7">
        <v>40.0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>
      <c r="A55" s="4" t="s">
        <v>232</v>
      </c>
      <c r="B55" s="2" t="s">
        <v>233</v>
      </c>
      <c r="C55" s="12" t="s">
        <v>100</v>
      </c>
      <c r="D55" s="7">
        <v>22.0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>
      <c r="A56" s="14" t="s">
        <v>236</v>
      </c>
      <c r="B56" s="14" t="s">
        <v>237</v>
      </c>
      <c r="C56" s="12" t="s">
        <v>31</v>
      </c>
      <c r="D56" s="7">
        <v>1468751.0</v>
      </c>
      <c r="E56" s="10"/>
      <c r="F56" s="10"/>
      <c r="G56" s="10"/>
      <c r="H56" s="10"/>
      <c r="I56" s="8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>
      <c r="A57" s="14" t="s">
        <v>238</v>
      </c>
      <c r="B57" s="14" t="s">
        <v>239</v>
      </c>
      <c r="C57" s="12" t="s">
        <v>81</v>
      </c>
      <c r="D57" s="7">
        <v>821.0</v>
      </c>
      <c r="E57" s="10"/>
      <c r="F57" s="10"/>
      <c r="G57" s="10"/>
      <c r="H57" s="10"/>
      <c r="I57" s="8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>
      <c r="A58" s="14" t="s">
        <v>240</v>
      </c>
      <c r="B58" s="14" t="s">
        <v>241</v>
      </c>
      <c r="C58" s="14" t="s">
        <v>31</v>
      </c>
      <c r="D58" s="15">
        <v>251135.0</v>
      </c>
      <c r="E58" s="8" t="b">
        <v>1</v>
      </c>
      <c r="F58" s="8" t="s">
        <v>43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>
      <c r="A59" s="14" t="s">
        <v>242</v>
      </c>
      <c r="B59" s="14" t="s">
        <v>243</v>
      </c>
      <c r="C59" s="14" t="s">
        <v>31</v>
      </c>
      <c r="D59" s="7">
        <v>51230.0</v>
      </c>
      <c r="E59" s="8" t="b">
        <v>1</v>
      </c>
      <c r="F59" s="8" t="s">
        <v>43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>
      <c r="A60" s="14" t="s">
        <v>249</v>
      </c>
      <c r="B60" s="14" t="s">
        <v>250</v>
      </c>
      <c r="C60" s="14" t="s">
        <v>17</v>
      </c>
      <c r="D60" s="7">
        <v>335822.0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>
      <c r="A61" s="14" t="s">
        <v>254</v>
      </c>
      <c r="B61" s="14" t="s">
        <v>255</v>
      </c>
      <c r="C61" s="14" t="s">
        <v>17</v>
      </c>
      <c r="D61" s="7">
        <v>281937.0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>
      <c r="A62" s="14" t="s">
        <v>256</v>
      </c>
      <c r="B62" s="14" t="s">
        <v>257</v>
      </c>
      <c r="C62" s="14" t="s">
        <v>17</v>
      </c>
      <c r="D62" s="7">
        <v>18985.0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>
      <c r="A63" s="14" t="s">
        <v>258</v>
      </c>
      <c r="B63" s="14" t="s">
        <v>259</v>
      </c>
      <c r="C63" s="14" t="s">
        <v>17</v>
      </c>
      <c r="D63" s="24">
        <v>47130.0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>
      <c r="A64" s="14" t="s">
        <v>260</v>
      </c>
      <c r="B64" s="14" t="s">
        <v>261</v>
      </c>
      <c r="C64" s="14" t="s">
        <v>17</v>
      </c>
      <c r="D64" s="7">
        <v>385093.0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>
      <c r="A65" s="14" t="s">
        <v>265</v>
      </c>
      <c r="B65" s="14" t="s">
        <v>266</v>
      </c>
      <c r="C65" s="14" t="s">
        <v>17</v>
      </c>
      <c r="D65" s="7">
        <v>93892.0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>
      <c r="A66" s="14" t="s">
        <v>267</v>
      </c>
      <c r="B66" s="14" t="s">
        <v>268</v>
      </c>
      <c r="C66" s="14" t="s">
        <v>17</v>
      </c>
      <c r="D66" s="7">
        <v>290923.0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>
      <c r="A67" s="14" t="s">
        <v>269</v>
      </c>
      <c r="B67" s="14" t="s">
        <v>270</v>
      </c>
      <c r="C67" s="14" t="s">
        <v>17</v>
      </c>
      <c r="D67" s="7">
        <v>476353.0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>
      <c r="A68" s="14" t="s">
        <v>271</v>
      </c>
      <c r="B68" s="14" t="s">
        <v>273</v>
      </c>
      <c r="C68" s="14" t="s">
        <v>17</v>
      </c>
      <c r="D68" s="7">
        <v>90175.0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>
      <c r="A69" s="14" t="s">
        <v>274</v>
      </c>
      <c r="B69" s="14" t="s">
        <v>275</v>
      </c>
      <c r="C69" s="14" t="s">
        <v>31</v>
      </c>
      <c r="D69" s="15">
        <v>902.0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>
      <c r="A70" s="14" t="s">
        <v>282</v>
      </c>
      <c r="B70" s="14" t="s">
        <v>284</v>
      </c>
      <c r="C70" s="12" t="s">
        <v>31</v>
      </c>
      <c r="D70" s="7">
        <v>244527.0</v>
      </c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>
      <c r="A71" s="14" t="s">
        <v>293</v>
      </c>
      <c r="B71" s="14" t="s">
        <v>295</v>
      </c>
      <c r="C71" s="14" t="s">
        <v>31</v>
      </c>
      <c r="D71" s="7">
        <v>6814.0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>
      <c r="A72" s="14" t="s">
        <v>302</v>
      </c>
      <c r="B72" s="14" t="s">
        <v>303</v>
      </c>
      <c r="C72" s="12" t="s">
        <v>81</v>
      </c>
      <c r="D72" s="7">
        <v>5202.0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>
      <c r="A73" s="14" t="s">
        <v>305</v>
      </c>
      <c r="B73" s="14" t="s">
        <v>306</v>
      </c>
      <c r="C73" s="12" t="s">
        <v>81</v>
      </c>
      <c r="D73" s="7">
        <v>6671.0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>
      <c r="A74" s="14" t="s">
        <v>288</v>
      </c>
      <c r="B74" s="14" t="s">
        <v>289</v>
      </c>
      <c r="C74" s="14" t="s">
        <v>17</v>
      </c>
      <c r="D74" s="25">
        <v>1259589.0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>
      <c r="A75" s="14" t="s">
        <v>308</v>
      </c>
      <c r="B75" s="14" t="s">
        <v>309</v>
      </c>
      <c r="C75" s="14" t="s">
        <v>61</v>
      </c>
      <c r="D75" s="7">
        <v>1007.0</v>
      </c>
      <c r="E75" s="10"/>
      <c r="F75" s="10"/>
      <c r="G75" s="10"/>
      <c r="H75" s="8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>
      <c r="A76" s="14" t="s">
        <v>310</v>
      </c>
      <c r="B76" s="14" t="s">
        <v>311</v>
      </c>
      <c r="C76" s="14" t="s">
        <v>61</v>
      </c>
      <c r="D76" s="7">
        <v>151.0</v>
      </c>
      <c r="E76" s="10"/>
      <c r="F76" s="10"/>
      <c r="G76" s="10"/>
      <c r="H76" s="8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>
      <c r="A77" s="14" t="s">
        <v>313</v>
      </c>
      <c r="B77" s="14" t="s">
        <v>314</v>
      </c>
      <c r="C77" s="14" t="s">
        <v>61</v>
      </c>
      <c r="D77" s="7">
        <v>200.0</v>
      </c>
      <c r="E77" s="10"/>
      <c r="F77" s="10"/>
      <c r="G77" s="10"/>
      <c r="H77" s="8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>
      <c r="A78" s="14" t="s">
        <v>315</v>
      </c>
      <c r="B78" s="14" t="s">
        <v>316</v>
      </c>
      <c r="C78" s="14" t="s">
        <v>17</v>
      </c>
      <c r="D78" s="24">
        <v>102449.0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>
      <c r="A79" s="14" t="s">
        <v>317</v>
      </c>
      <c r="B79" s="14" t="s">
        <v>318</v>
      </c>
      <c r="C79" s="14" t="s">
        <v>17</v>
      </c>
      <c r="D79" s="7">
        <v>31790.0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>
      <c r="A80" s="14" t="s">
        <v>321</v>
      </c>
      <c r="B80" s="14" t="s">
        <v>322</v>
      </c>
      <c r="C80" s="14" t="s">
        <v>17</v>
      </c>
      <c r="D80" s="25">
        <v>2400.0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>
      <c r="A81" s="14" t="s">
        <v>323</v>
      </c>
      <c r="B81" s="14" t="s">
        <v>324</v>
      </c>
      <c r="C81" s="14" t="s">
        <v>61</v>
      </c>
      <c r="D81" s="25">
        <v>2031.0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>
      <c r="A82" s="14" t="s">
        <v>330</v>
      </c>
      <c r="B82" s="14" t="s">
        <v>332</v>
      </c>
      <c r="C82" s="14" t="s">
        <v>54</v>
      </c>
      <c r="D82" s="7">
        <v>536.0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>
      <c r="A83" s="14" t="s">
        <v>336</v>
      </c>
      <c r="B83" s="14" t="s">
        <v>337</v>
      </c>
      <c r="C83" s="14" t="s">
        <v>31</v>
      </c>
      <c r="D83" s="25">
        <v>9534.0</v>
      </c>
      <c r="E83" s="8" t="b">
        <v>1</v>
      </c>
      <c r="F83" s="8" t="s">
        <v>43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>
      <c r="A84" s="14" t="s">
        <v>339</v>
      </c>
      <c r="B84" s="14" t="s">
        <v>340</v>
      </c>
      <c r="C84" s="14" t="s">
        <v>31</v>
      </c>
      <c r="D84" s="25">
        <v>21220.0</v>
      </c>
      <c r="E84" s="8" t="b">
        <v>1</v>
      </c>
      <c r="F84" s="8" t="s">
        <v>43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>
      <c r="A85" s="14" t="s">
        <v>345</v>
      </c>
      <c r="B85" s="14" t="s">
        <v>346</v>
      </c>
      <c r="C85" s="14" t="s">
        <v>31</v>
      </c>
      <c r="D85" s="25">
        <v>31856.0</v>
      </c>
      <c r="E85" s="8" t="b">
        <v>1</v>
      </c>
      <c r="F85" s="8" t="s">
        <v>43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>
      <c r="A86" s="14" t="s">
        <v>350</v>
      </c>
      <c r="B86" s="14" t="s">
        <v>351</v>
      </c>
      <c r="C86" s="14" t="s">
        <v>81</v>
      </c>
      <c r="D86" s="25">
        <v>1257.0</v>
      </c>
      <c r="E86" s="8" t="b">
        <v>1</v>
      </c>
      <c r="F86" s="8" t="s">
        <v>43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>
      <c r="A87" s="14" t="s">
        <v>358</v>
      </c>
      <c r="B87" s="14" t="s">
        <v>359</v>
      </c>
      <c r="C87" s="14" t="s">
        <v>31</v>
      </c>
      <c r="D87" s="25">
        <v>3844.0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>
      <c r="A88" s="14" t="s">
        <v>360</v>
      </c>
      <c r="B88" s="14" t="s">
        <v>361</v>
      </c>
      <c r="C88" s="14" t="s">
        <v>31</v>
      </c>
      <c r="D88" s="25">
        <v>22489.0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>
      <c r="A89" s="14" t="s">
        <v>364</v>
      </c>
      <c r="B89" s="14" t="s">
        <v>365</v>
      </c>
      <c r="C89" s="14" t="s">
        <v>31</v>
      </c>
      <c r="D89" s="25">
        <v>81186.0</v>
      </c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>
      <c r="A90" s="14" t="s">
        <v>372</v>
      </c>
      <c r="B90" s="14" t="s">
        <v>373</v>
      </c>
      <c r="C90" s="14" t="s">
        <v>31</v>
      </c>
      <c r="D90" s="7">
        <v>346530.0</v>
      </c>
      <c r="E90" s="8" t="b">
        <v>1</v>
      </c>
      <c r="F90" s="8" t="s">
        <v>43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>
      <c r="A91" s="14" t="s">
        <v>374</v>
      </c>
      <c r="B91" s="14" t="s">
        <v>375</v>
      </c>
      <c r="C91" s="14" t="s">
        <v>31</v>
      </c>
      <c r="D91" s="25">
        <v>48931.0</v>
      </c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>
      <c r="A92" s="14" t="s">
        <v>377</v>
      </c>
      <c r="B92" s="14" t="s">
        <v>378</v>
      </c>
      <c r="C92" s="14" t="s">
        <v>17</v>
      </c>
      <c r="D92" s="7">
        <v>3861.0</v>
      </c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>
      <c r="A93" s="14" t="s">
        <v>382</v>
      </c>
      <c r="B93" s="14" t="s">
        <v>384</v>
      </c>
      <c r="C93" s="14" t="s">
        <v>100</v>
      </c>
      <c r="D93" s="7">
        <v>2256.0</v>
      </c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>
      <c r="A94" s="14" t="s">
        <v>388</v>
      </c>
      <c r="B94" s="14" t="s">
        <v>389</v>
      </c>
      <c r="C94" s="14" t="s">
        <v>17</v>
      </c>
      <c r="D94" s="7">
        <v>278.0</v>
      </c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>
      <c r="A95" s="14" t="s">
        <v>383</v>
      </c>
      <c r="B95" s="14" t="s">
        <v>385</v>
      </c>
      <c r="C95" s="14" t="s">
        <v>31</v>
      </c>
      <c r="D95" s="25">
        <v>347204.0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>
      <c r="A96" s="14" t="s">
        <v>397</v>
      </c>
      <c r="B96" s="14" t="s">
        <v>398</v>
      </c>
      <c r="C96" s="14" t="s">
        <v>81</v>
      </c>
      <c r="D96" s="7">
        <v>348.0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>
      <c r="A97" s="14" t="s">
        <v>400</v>
      </c>
      <c r="B97" s="14" t="s">
        <v>401</v>
      </c>
      <c r="C97" s="14" t="s">
        <v>31</v>
      </c>
      <c r="D97" s="7">
        <v>2780.0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>
      <c r="A98" s="14" t="s">
        <v>404</v>
      </c>
      <c r="B98" s="14" t="s">
        <v>405</v>
      </c>
      <c r="C98" s="14" t="s">
        <v>31</v>
      </c>
      <c r="D98" s="25">
        <v>18942.0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>
      <c r="A99" s="14" t="s">
        <v>409</v>
      </c>
      <c r="B99" s="14" t="s">
        <v>410</v>
      </c>
      <c r="C99" s="14" t="s">
        <v>17</v>
      </c>
      <c r="D99" s="25">
        <v>38320.0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>
      <c r="A100" s="14" t="s">
        <v>411</v>
      </c>
      <c r="B100" s="14" t="s">
        <v>412</v>
      </c>
      <c r="C100" s="14" t="s">
        <v>31</v>
      </c>
      <c r="D100" s="7">
        <v>18202.0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>
      <c r="A101" s="14" t="s">
        <v>416</v>
      </c>
      <c r="B101" s="14" t="s">
        <v>418</v>
      </c>
      <c r="C101" s="14" t="s">
        <v>107</v>
      </c>
      <c r="D101" s="7">
        <v>18218.0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>
      <c r="A102" s="14" t="s">
        <v>424</v>
      </c>
      <c r="B102" s="14" t="s">
        <v>425</v>
      </c>
      <c r="C102" s="14" t="s">
        <v>107</v>
      </c>
      <c r="D102" s="25">
        <v>8037.0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>
      <c r="A103" s="14" t="s">
        <v>297</v>
      </c>
      <c r="B103" s="14" t="s">
        <v>298</v>
      </c>
      <c r="C103" s="14" t="s">
        <v>31</v>
      </c>
      <c r="D103" s="25">
        <v>939871.0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>
      <c r="A104" s="14" t="s">
        <v>427</v>
      </c>
      <c r="B104" s="14" t="s">
        <v>257</v>
      </c>
      <c r="C104" s="14" t="s">
        <v>17</v>
      </c>
      <c r="D104" s="25">
        <v>18985.0</v>
      </c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>
      <c r="A105" s="14" t="s">
        <v>431</v>
      </c>
      <c r="B105" s="14" t="s">
        <v>433</v>
      </c>
      <c r="C105" s="14" t="s">
        <v>17</v>
      </c>
      <c r="D105" s="25">
        <v>1555.0</v>
      </c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>
      <c r="A106" s="14" t="s">
        <v>434</v>
      </c>
      <c r="B106" s="14" t="s">
        <v>435</v>
      </c>
      <c r="C106" s="14" t="s">
        <v>17</v>
      </c>
      <c r="D106" s="7">
        <v>1258.0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>
      <c r="A107" s="14" t="s">
        <v>436</v>
      </c>
      <c r="B107" s="14" t="s">
        <v>437</v>
      </c>
      <c r="C107" s="14" t="s">
        <v>17</v>
      </c>
      <c r="D107" s="7">
        <v>32530.0</v>
      </c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>
      <c r="A108" s="14" t="s">
        <v>413</v>
      </c>
      <c r="B108" s="14" t="s">
        <v>414</v>
      </c>
      <c r="C108" s="14" t="s">
        <v>17</v>
      </c>
      <c r="D108" s="7">
        <v>309251.0</v>
      </c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>
      <c r="A109" s="14" t="s">
        <v>442</v>
      </c>
      <c r="B109" s="14" t="s">
        <v>443</v>
      </c>
      <c r="C109" s="14" t="s">
        <v>64</v>
      </c>
      <c r="D109" s="25">
        <v>10379.0</v>
      </c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>
      <c r="A110" s="14" t="s">
        <v>444</v>
      </c>
      <c r="B110" s="14" t="s">
        <v>445</v>
      </c>
      <c r="C110" s="14" t="s">
        <v>64</v>
      </c>
      <c r="D110" s="25">
        <v>1211.0</v>
      </c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>
      <c r="A111" s="14" t="s">
        <v>251</v>
      </c>
      <c r="B111" s="14" t="s">
        <v>253</v>
      </c>
      <c r="C111" s="14" t="s">
        <v>31</v>
      </c>
      <c r="D111" s="24">
        <v>8044937.0</v>
      </c>
      <c r="E111" s="8" t="b">
        <v>1</v>
      </c>
      <c r="F111" s="8" t="s">
        <v>451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>
      <c r="A112" s="14" t="s">
        <v>452</v>
      </c>
      <c r="B112" s="14" t="s">
        <v>453</v>
      </c>
      <c r="C112" s="14" t="s">
        <v>17</v>
      </c>
      <c r="D112" s="25">
        <v>37110.0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>
      <c r="A113" s="14" t="s">
        <v>456</v>
      </c>
      <c r="B113" s="14" t="s">
        <v>457</v>
      </c>
      <c r="C113" s="14" t="s">
        <v>17</v>
      </c>
      <c r="D113" s="25">
        <v>23487.0</v>
      </c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>
      <c r="A114" s="14" t="s">
        <v>460</v>
      </c>
      <c r="B114" s="14" t="s">
        <v>461</v>
      </c>
      <c r="C114" s="14" t="s">
        <v>31</v>
      </c>
      <c r="D114" s="25">
        <v>54527.0</v>
      </c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>
      <c r="A115" s="14" t="s">
        <v>466</v>
      </c>
      <c r="B115" s="14" t="s">
        <v>467</v>
      </c>
      <c r="C115" s="14" t="s">
        <v>61</v>
      </c>
      <c r="D115" s="25">
        <v>1695.0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>
      <c r="A116" s="14" t="s">
        <v>469</v>
      </c>
      <c r="B116" s="14" t="s">
        <v>470</v>
      </c>
      <c r="C116" s="14" t="s">
        <v>61</v>
      </c>
      <c r="D116" s="25">
        <v>420.0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>
      <c r="A117" s="14" t="s">
        <v>472</v>
      </c>
      <c r="B117" s="14" t="s">
        <v>473</v>
      </c>
      <c r="C117" s="14" t="s">
        <v>61</v>
      </c>
      <c r="D117" s="7">
        <v>2770.0</v>
      </c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>
      <c r="A118" s="14" t="s">
        <v>478</v>
      </c>
      <c r="B118" s="14" t="s">
        <v>479</v>
      </c>
      <c r="C118" s="14" t="s">
        <v>61</v>
      </c>
      <c r="D118" s="7">
        <v>1144.0</v>
      </c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>
      <c r="A119" s="14" t="s">
        <v>475</v>
      </c>
      <c r="B119" s="14" t="s">
        <v>477</v>
      </c>
      <c r="C119" s="14" t="s">
        <v>31</v>
      </c>
      <c r="D119" s="25">
        <v>110003.0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>
      <c r="A120" s="14" t="s">
        <v>485</v>
      </c>
      <c r="B120" s="14" t="s">
        <v>486</v>
      </c>
      <c r="C120" s="14" t="s">
        <v>54</v>
      </c>
      <c r="D120" s="25">
        <v>780.0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>
      <c r="A121" s="14" t="s">
        <v>490</v>
      </c>
      <c r="B121" s="14" t="s">
        <v>491</v>
      </c>
      <c r="C121" s="14" t="s">
        <v>54</v>
      </c>
      <c r="D121" s="7">
        <v>15942.0</v>
      </c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>
      <c r="A122" s="14" t="s">
        <v>462</v>
      </c>
      <c r="B122" s="14" t="s">
        <v>463</v>
      </c>
      <c r="C122" s="14" t="s">
        <v>17</v>
      </c>
      <c r="D122" s="25">
        <v>138693.0</v>
      </c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>
      <c r="A123" s="14" t="s">
        <v>262</v>
      </c>
      <c r="B123" s="14" t="s">
        <v>263</v>
      </c>
      <c r="C123" s="14" t="s">
        <v>17</v>
      </c>
      <c r="D123" s="25">
        <v>2323927.0</v>
      </c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>
      <c r="A124" s="14" t="s">
        <v>502</v>
      </c>
      <c r="B124" s="14" t="s">
        <v>503</v>
      </c>
      <c r="C124" s="14" t="s">
        <v>17</v>
      </c>
      <c r="D124" s="25">
        <v>61029.0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>
      <c r="A125" s="14" t="s">
        <v>334</v>
      </c>
      <c r="B125" s="14" t="s">
        <v>335</v>
      </c>
      <c r="C125" s="14" t="s">
        <v>31</v>
      </c>
      <c r="D125" s="25">
        <v>421654.0</v>
      </c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>
      <c r="A126" s="14" t="s">
        <v>511</v>
      </c>
      <c r="B126" s="14" t="s">
        <v>513</v>
      </c>
      <c r="C126" s="14" t="s">
        <v>17</v>
      </c>
      <c r="D126" s="25">
        <v>376.0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>
      <c r="A127" s="14" t="s">
        <v>498</v>
      </c>
      <c r="B127" s="14" t="s">
        <v>499</v>
      </c>
      <c r="C127" s="14" t="s">
        <v>17</v>
      </c>
      <c r="D127" s="25">
        <v>92824.0</v>
      </c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>
      <c r="A128" s="14" t="s">
        <v>516</v>
      </c>
      <c r="B128" s="14" t="s">
        <v>519</v>
      </c>
      <c r="C128" s="14" t="s">
        <v>17</v>
      </c>
      <c r="D128" s="25">
        <v>70877.0</v>
      </c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>
      <c r="A129" s="14" t="s">
        <v>347</v>
      </c>
      <c r="B129" s="14" t="s">
        <v>348</v>
      </c>
      <c r="C129" s="14" t="s">
        <v>17</v>
      </c>
      <c r="D129" s="7">
        <v>398117.0</v>
      </c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>
      <c r="A130" s="14" t="s">
        <v>522</v>
      </c>
      <c r="B130" s="14" t="s">
        <v>524</v>
      </c>
      <c r="C130" s="14" t="s">
        <v>17</v>
      </c>
      <c r="D130" s="7">
        <v>39814.0</v>
      </c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>
      <c r="A131" s="14" t="s">
        <v>277</v>
      </c>
      <c r="B131" s="14" t="s">
        <v>278</v>
      </c>
      <c r="C131" s="14" t="s">
        <v>17</v>
      </c>
      <c r="D131" s="43">
        <v>1391255.0</v>
      </c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>
      <c r="A132" s="14" t="s">
        <v>532</v>
      </c>
      <c r="B132" s="14" t="s">
        <v>533</v>
      </c>
      <c r="C132" s="14" t="s">
        <v>17</v>
      </c>
      <c r="D132" s="43">
        <v>1120.0</v>
      </c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>
      <c r="A133" s="14" t="s">
        <v>407</v>
      </c>
      <c r="B133" s="14" t="s">
        <v>408</v>
      </c>
      <c r="C133" s="14" t="s">
        <v>54</v>
      </c>
      <c r="D133" s="7">
        <v>314395.0</v>
      </c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>
      <c r="A134" s="14" t="s">
        <v>536</v>
      </c>
      <c r="B134" s="14" t="s">
        <v>537</v>
      </c>
      <c r="C134" s="14" t="s">
        <v>17</v>
      </c>
      <c r="D134" s="15">
        <v>20282.0</v>
      </c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>
      <c r="A135" s="2"/>
      <c r="B135" s="2"/>
      <c r="C135" s="2"/>
      <c r="D135" s="44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>
      <c r="A136" s="2"/>
      <c r="B136" s="2"/>
      <c r="C136" s="2"/>
      <c r="D136" s="44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>
      <c r="A137" s="2"/>
      <c r="B137" s="2"/>
      <c r="C137" s="2"/>
      <c r="D137" s="44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>
      <c r="A138" s="2"/>
      <c r="B138" s="2"/>
      <c r="C138" s="2"/>
      <c r="D138" s="44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>
      <c r="A139" s="2"/>
      <c r="B139" s="2"/>
      <c r="C139" s="2"/>
      <c r="D139" s="44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>
      <c r="A140" s="2"/>
      <c r="B140" s="2"/>
      <c r="C140" s="2"/>
      <c r="D140" s="44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>
      <c r="A141" s="2"/>
      <c r="B141" s="2"/>
      <c r="C141" s="2"/>
      <c r="D141" s="44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>
      <c r="A142" s="2"/>
      <c r="B142" s="2"/>
      <c r="C142" s="2"/>
      <c r="D142" s="44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>
      <c r="A143" s="2"/>
      <c r="B143" s="2"/>
      <c r="C143" s="2"/>
      <c r="D143" s="44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>
      <c r="A144" s="2"/>
      <c r="B144" s="2"/>
      <c r="C144" s="2"/>
      <c r="D144" s="44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>
      <c r="A145" s="2"/>
      <c r="B145" s="2"/>
      <c r="C145" s="2"/>
      <c r="D145" s="44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>
      <c r="A146" s="2"/>
      <c r="B146" s="2"/>
      <c r="C146" s="2"/>
      <c r="D146" s="44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>
      <c r="A147" s="2"/>
      <c r="B147" s="2"/>
      <c r="C147" s="2"/>
      <c r="D147" s="44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>
      <c r="A148" s="2"/>
      <c r="B148" s="2"/>
      <c r="C148" s="2"/>
      <c r="D148" s="44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>
      <c r="A149" s="2"/>
      <c r="B149" s="2"/>
      <c r="C149" s="2"/>
      <c r="D149" s="44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>
      <c r="A150" s="2"/>
      <c r="B150" s="2"/>
      <c r="C150" s="2"/>
      <c r="D150" s="44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>
      <c r="A151" s="2"/>
      <c r="B151" s="2"/>
      <c r="C151" s="2"/>
      <c r="D151" s="44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>
      <c r="A152" s="2"/>
      <c r="B152" s="2"/>
      <c r="C152" s="2"/>
      <c r="D152" s="44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>
      <c r="A153" s="2"/>
      <c r="B153" s="2"/>
      <c r="C153" s="2"/>
      <c r="D153" s="44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>
      <c r="A154" s="2"/>
      <c r="B154" s="2"/>
      <c r="C154" s="2"/>
      <c r="D154" s="44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>
      <c r="A155" s="2"/>
      <c r="B155" s="2"/>
      <c r="C155" s="2"/>
      <c r="D155" s="44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>
      <c r="A156" s="2"/>
      <c r="B156" s="2"/>
      <c r="C156" s="2"/>
      <c r="D156" s="44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>
      <c r="A157" s="2"/>
      <c r="B157" s="2"/>
      <c r="C157" s="2"/>
      <c r="D157" s="44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>
      <c r="A158" s="2"/>
      <c r="B158" s="2"/>
      <c r="C158" s="2"/>
      <c r="D158" s="44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>
      <c r="A159" s="2"/>
      <c r="B159" s="2"/>
      <c r="C159" s="2"/>
      <c r="D159" s="44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>
      <c r="A160" s="2"/>
      <c r="B160" s="2"/>
      <c r="C160" s="2"/>
      <c r="D160" s="44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>
      <c r="A161" s="2"/>
      <c r="B161" s="2"/>
      <c r="C161" s="2"/>
      <c r="D161" s="44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>
      <c r="A162" s="2"/>
      <c r="B162" s="2"/>
      <c r="C162" s="2"/>
      <c r="D162" s="44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>
      <c r="A163" s="2"/>
      <c r="B163" s="2"/>
      <c r="C163" s="2"/>
      <c r="D163" s="44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>
      <c r="A164" s="2"/>
      <c r="B164" s="2"/>
      <c r="C164" s="2"/>
      <c r="D164" s="44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>
      <c r="A165" s="2"/>
      <c r="B165" s="2"/>
      <c r="C165" s="2"/>
      <c r="D165" s="44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>
      <c r="A166" s="2"/>
      <c r="B166" s="2"/>
      <c r="C166" s="2"/>
      <c r="D166" s="44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>
      <c r="A167" s="2"/>
      <c r="B167" s="2"/>
      <c r="C167" s="2"/>
      <c r="D167" s="44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>
      <c r="A168" s="2"/>
      <c r="B168" s="2"/>
      <c r="C168" s="2"/>
      <c r="D168" s="44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>
      <c r="A169" s="2"/>
      <c r="B169" s="2"/>
      <c r="C169" s="2"/>
      <c r="D169" s="44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>
      <c r="A170" s="2"/>
      <c r="B170" s="2"/>
      <c r="C170" s="2"/>
      <c r="D170" s="44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>
      <c r="A171" s="2"/>
      <c r="B171" s="2"/>
      <c r="C171" s="2"/>
      <c r="D171" s="44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>
      <c r="A172" s="2"/>
      <c r="B172" s="2"/>
      <c r="C172" s="2"/>
      <c r="D172" s="44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>
      <c r="A173" s="2"/>
      <c r="B173" s="2"/>
      <c r="C173" s="2"/>
      <c r="D173" s="44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>
      <c r="A174" s="2"/>
      <c r="B174" s="2"/>
      <c r="C174" s="2"/>
      <c r="D174" s="44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>
      <c r="A175" s="2"/>
      <c r="B175" s="2"/>
      <c r="C175" s="2"/>
      <c r="D175" s="44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>
      <c r="A176" s="2"/>
      <c r="B176" s="2"/>
      <c r="C176" s="2"/>
      <c r="D176" s="44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>
      <c r="A177" s="2"/>
      <c r="B177" s="2"/>
      <c r="C177" s="2"/>
      <c r="D177" s="44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>
      <c r="A178" s="2"/>
      <c r="B178" s="2"/>
      <c r="C178" s="2"/>
      <c r="D178" s="44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>
      <c r="A179" s="2"/>
      <c r="B179" s="2"/>
      <c r="C179" s="2"/>
      <c r="D179" s="44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>
      <c r="A180" s="2"/>
      <c r="B180" s="2"/>
      <c r="C180" s="2"/>
      <c r="D180" s="44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>
      <c r="A181" s="2"/>
      <c r="B181" s="2"/>
      <c r="C181" s="2"/>
      <c r="D181" s="44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>
      <c r="A182" s="2"/>
      <c r="B182" s="2"/>
      <c r="C182" s="2"/>
      <c r="D182" s="44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>
      <c r="A183" s="2"/>
      <c r="B183" s="2"/>
      <c r="C183" s="2"/>
      <c r="D183" s="44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>
      <c r="A184" s="2"/>
      <c r="B184" s="2"/>
      <c r="C184" s="2"/>
      <c r="D184" s="44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>
      <c r="A185" s="2"/>
      <c r="B185" s="2"/>
      <c r="C185" s="2"/>
      <c r="D185" s="44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>
      <c r="A186" s="2"/>
      <c r="B186" s="2"/>
      <c r="C186" s="2"/>
      <c r="D186" s="44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>
      <c r="A187" s="2"/>
      <c r="B187" s="2"/>
      <c r="C187" s="2"/>
      <c r="D187" s="44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>
      <c r="A188" s="2"/>
      <c r="B188" s="2"/>
      <c r="C188" s="2"/>
      <c r="D188" s="44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>
      <c r="A189" s="2"/>
      <c r="B189" s="2"/>
      <c r="C189" s="2"/>
      <c r="D189" s="44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>
      <c r="A190" s="2"/>
      <c r="B190" s="2"/>
      <c r="C190" s="2"/>
      <c r="D190" s="44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>
      <c r="A191" s="2"/>
      <c r="B191" s="2"/>
      <c r="C191" s="2"/>
      <c r="D191" s="44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>
      <c r="A192" s="2"/>
      <c r="B192" s="2"/>
      <c r="C192" s="2"/>
      <c r="D192" s="44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>
      <c r="A193" s="2"/>
      <c r="B193" s="2"/>
      <c r="C193" s="2"/>
      <c r="D193" s="44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>
      <c r="A194" s="2"/>
      <c r="B194" s="2"/>
      <c r="C194" s="2"/>
      <c r="D194" s="44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>
      <c r="A195" s="2"/>
      <c r="B195" s="2"/>
      <c r="C195" s="2"/>
      <c r="D195" s="44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>
      <c r="A196" s="2"/>
      <c r="B196" s="2"/>
      <c r="C196" s="2"/>
      <c r="D196" s="44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>
      <c r="A197" s="2"/>
      <c r="B197" s="2"/>
      <c r="C197" s="2"/>
      <c r="D197" s="44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>
      <c r="A198" s="2"/>
      <c r="B198" s="2"/>
      <c r="C198" s="2"/>
      <c r="D198" s="44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>
      <c r="A199" s="2"/>
      <c r="B199" s="2"/>
      <c r="C199" s="2"/>
      <c r="D199" s="44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>
      <c r="A200" s="2"/>
      <c r="B200" s="2"/>
      <c r="C200" s="2"/>
      <c r="D200" s="44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>
      <c r="A201" s="2"/>
      <c r="B201" s="2"/>
      <c r="C201" s="2"/>
      <c r="D201" s="44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>
      <c r="A202" s="2"/>
      <c r="B202" s="2"/>
      <c r="C202" s="2"/>
      <c r="D202" s="44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>
      <c r="A203" s="2"/>
      <c r="B203" s="2"/>
      <c r="C203" s="2"/>
      <c r="D203" s="44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>
      <c r="A204" s="2"/>
      <c r="B204" s="2"/>
      <c r="C204" s="2"/>
      <c r="D204" s="44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>
      <c r="A205" s="2"/>
      <c r="B205" s="2"/>
      <c r="C205" s="2"/>
      <c r="D205" s="44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>
      <c r="A206" s="2"/>
      <c r="B206" s="2"/>
      <c r="C206" s="2"/>
      <c r="D206" s="44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>
      <c r="A207" s="2"/>
      <c r="B207" s="2"/>
      <c r="C207" s="2"/>
      <c r="D207" s="44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>
      <c r="A208" s="2"/>
      <c r="B208" s="2"/>
      <c r="C208" s="2"/>
      <c r="D208" s="44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>
      <c r="A209" s="2"/>
      <c r="B209" s="2"/>
      <c r="C209" s="2"/>
      <c r="D209" s="44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>
      <c r="A210" s="2"/>
      <c r="B210" s="2"/>
      <c r="C210" s="2"/>
      <c r="D210" s="44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>
      <c r="A211" s="2"/>
      <c r="B211" s="2"/>
      <c r="C211" s="2"/>
      <c r="D211" s="44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>
      <c r="A212" s="2"/>
      <c r="B212" s="2"/>
      <c r="C212" s="2"/>
      <c r="D212" s="44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>
      <c r="A213" s="2"/>
      <c r="B213" s="2"/>
      <c r="C213" s="2"/>
      <c r="D213" s="44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>
      <c r="A214" s="2"/>
      <c r="B214" s="2"/>
      <c r="C214" s="2"/>
      <c r="D214" s="44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>
      <c r="A215" s="2"/>
      <c r="B215" s="2"/>
      <c r="C215" s="2"/>
      <c r="D215" s="44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>
      <c r="A216" s="2"/>
      <c r="B216" s="2"/>
      <c r="C216" s="2"/>
      <c r="D216" s="44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>
      <c r="A217" s="2"/>
      <c r="B217" s="2"/>
      <c r="C217" s="2"/>
      <c r="D217" s="44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>
      <c r="A218" s="2"/>
      <c r="B218" s="2"/>
      <c r="C218" s="2"/>
      <c r="D218" s="44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>
      <c r="A219" s="2"/>
      <c r="B219" s="2"/>
      <c r="C219" s="2"/>
      <c r="D219" s="44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>
      <c r="A220" s="2"/>
      <c r="B220" s="2"/>
      <c r="C220" s="2"/>
      <c r="D220" s="44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>
      <c r="A221" s="2"/>
      <c r="B221" s="2"/>
      <c r="C221" s="2"/>
      <c r="D221" s="44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>
      <c r="A222" s="2"/>
      <c r="B222" s="2"/>
      <c r="C222" s="2"/>
      <c r="D222" s="44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>
      <c r="A223" s="2"/>
      <c r="B223" s="2"/>
      <c r="C223" s="2"/>
      <c r="D223" s="44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>
      <c r="A224" s="2"/>
      <c r="B224" s="2"/>
      <c r="C224" s="2"/>
      <c r="D224" s="44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>
      <c r="A225" s="2"/>
      <c r="B225" s="2"/>
      <c r="C225" s="2"/>
      <c r="D225" s="44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>
      <c r="A226" s="2"/>
      <c r="B226" s="2"/>
      <c r="C226" s="2"/>
      <c r="D226" s="44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>
      <c r="A227" s="2"/>
      <c r="B227" s="2"/>
      <c r="C227" s="2"/>
      <c r="D227" s="44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>
      <c r="A228" s="2"/>
      <c r="B228" s="2"/>
      <c r="C228" s="2"/>
      <c r="D228" s="44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>
      <c r="A229" s="2"/>
      <c r="B229" s="2"/>
      <c r="C229" s="2"/>
      <c r="D229" s="44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>
      <c r="A230" s="2"/>
      <c r="B230" s="2"/>
      <c r="C230" s="2"/>
      <c r="D230" s="44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>
      <c r="A231" s="2"/>
      <c r="B231" s="2"/>
      <c r="C231" s="2"/>
      <c r="D231" s="44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>
      <c r="A232" s="2"/>
      <c r="B232" s="2"/>
      <c r="C232" s="2"/>
      <c r="D232" s="44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>
      <c r="A233" s="2"/>
      <c r="B233" s="2"/>
      <c r="C233" s="2"/>
      <c r="D233" s="44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>
      <c r="A234" s="2"/>
      <c r="B234" s="2"/>
      <c r="C234" s="2"/>
      <c r="D234" s="44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>
      <c r="A235" s="2"/>
      <c r="B235" s="2"/>
      <c r="C235" s="2"/>
      <c r="D235" s="44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>
      <c r="A236" s="2"/>
      <c r="B236" s="2"/>
      <c r="C236" s="2"/>
      <c r="D236" s="44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>
      <c r="A237" s="2"/>
      <c r="B237" s="2"/>
      <c r="C237" s="2"/>
      <c r="D237" s="44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>
      <c r="A238" s="2"/>
      <c r="B238" s="2"/>
      <c r="C238" s="2"/>
      <c r="D238" s="44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>
      <c r="A239" s="2"/>
      <c r="B239" s="2"/>
      <c r="C239" s="2"/>
      <c r="D239" s="44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>
      <c r="A240" s="2"/>
      <c r="B240" s="2"/>
      <c r="C240" s="2"/>
      <c r="D240" s="44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>
      <c r="A241" s="2"/>
      <c r="B241" s="2"/>
      <c r="C241" s="2"/>
      <c r="D241" s="44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>
      <c r="A242" s="2"/>
      <c r="B242" s="2"/>
      <c r="C242" s="2"/>
      <c r="D242" s="44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>
      <c r="A243" s="2"/>
      <c r="B243" s="2"/>
      <c r="C243" s="2"/>
      <c r="D243" s="44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>
      <c r="A244" s="2"/>
      <c r="B244" s="2"/>
      <c r="C244" s="2"/>
      <c r="D244" s="44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>
      <c r="A245" s="2"/>
      <c r="B245" s="2"/>
      <c r="C245" s="2"/>
      <c r="D245" s="44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>
      <c r="A246" s="2"/>
      <c r="B246" s="2"/>
      <c r="C246" s="2"/>
      <c r="D246" s="44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>
      <c r="A247" s="2"/>
      <c r="B247" s="2"/>
      <c r="C247" s="2"/>
      <c r="D247" s="44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>
      <c r="A248" s="2"/>
      <c r="B248" s="2"/>
      <c r="C248" s="2"/>
      <c r="D248" s="44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>
      <c r="A249" s="2"/>
      <c r="B249" s="2"/>
      <c r="C249" s="2"/>
      <c r="D249" s="44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>
      <c r="A250" s="2"/>
      <c r="B250" s="2"/>
      <c r="C250" s="2"/>
      <c r="D250" s="44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>
      <c r="A251" s="2"/>
      <c r="B251" s="2"/>
      <c r="C251" s="2"/>
      <c r="D251" s="44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>
      <c r="A252" s="2"/>
      <c r="B252" s="2"/>
      <c r="C252" s="2"/>
      <c r="D252" s="44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>
      <c r="A253" s="2"/>
      <c r="B253" s="2"/>
      <c r="C253" s="2"/>
      <c r="D253" s="44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>
      <c r="A254" s="2"/>
      <c r="B254" s="2"/>
      <c r="C254" s="2"/>
      <c r="D254" s="44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>
      <c r="A255" s="2"/>
      <c r="B255" s="2"/>
      <c r="C255" s="2"/>
      <c r="D255" s="44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>
      <c r="A256" s="2"/>
      <c r="B256" s="2"/>
      <c r="C256" s="2"/>
      <c r="D256" s="44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>
      <c r="A257" s="2"/>
      <c r="B257" s="2"/>
      <c r="C257" s="2"/>
      <c r="D257" s="44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>
      <c r="A258" s="2"/>
      <c r="B258" s="2"/>
      <c r="C258" s="2"/>
      <c r="D258" s="44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>
      <c r="A259" s="2"/>
      <c r="B259" s="2"/>
      <c r="C259" s="2"/>
      <c r="D259" s="44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>
      <c r="A260" s="2"/>
      <c r="B260" s="2"/>
      <c r="C260" s="2"/>
      <c r="D260" s="44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>
      <c r="A261" s="2"/>
      <c r="B261" s="2"/>
      <c r="C261" s="2"/>
      <c r="D261" s="44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>
      <c r="A262" s="2"/>
      <c r="B262" s="2"/>
      <c r="C262" s="2"/>
      <c r="D262" s="44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>
      <c r="A263" s="2"/>
      <c r="B263" s="2"/>
      <c r="C263" s="2"/>
      <c r="D263" s="44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>
      <c r="A264" s="2"/>
      <c r="B264" s="2"/>
      <c r="C264" s="2"/>
      <c r="D264" s="44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>
      <c r="A265" s="2"/>
      <c r="B265" s="2"/>
      <c r="C265" s="2"/>
      <c r="D265" s="44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>
      <c r="A266" s="2"/>
      <c r="B266" s="2"/>
      <c r="C266" s="2"/>
      <c r="D266" s="44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>
      <c r="A267" s="2"/>
      <c r="B267" s="2"/>
      <c r="C267" s="2"/>
      <c r="D267" s="44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>
      <c r="A268" s="2"/>
      <c r="B268" s="2"/>
      <c r="C268" s="2"/>
      <c r="D268" s="44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>
      <c r="A269" s="2"/>
      <c r="B269" s="2"/>
      <c r="C269" s="2"/>
      <c r="D269" s="44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>
      <c r="A270" s="2"/>
      <c r="B270" s="2"/>
      <c r="C270" s="2"/>
      <c r="D270" s="44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>
      <c r="A271" s="2"/>
      <c r="B271" s="2"/>
      <c r="C271" s="2"/>
      <c r="D271" s="44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>
      <c r="A272" s="2"/>
      <c r="B272" s="2"/>
      <c r="C272" s="2"/>
      <c r="D272" s="44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>
      <c r="A273" s="2"/>
      <c r="B273" s="2"/>
      <c r="C273" s="2"/>
      <c r="D273" s="44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>
      <c r="A274" s="2"/>
      <c r="B274" s="2"/>
      <c r="C274" s="2"/>
      <c r="D274" s="44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>
      <c r="A275" s="2"/>
      <c r="B275" s="2"/>
      <c r="C275" s="2"/>
      <c r="D275" s="44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>
      <c r="A276" s="2"/>
      <c r="B276" s="2"/>
      <c r="C276" s="2"/>
      <c r="D276" s="44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>
      <c r="A277" s="2"/>
      <c r="B277" s="2"/>
      <c r="C277" s="2"/>
      <c r="D277" s="44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>
      <c r="A278" s="2"/>
      <c r="B278" s="2"/>
      <c r="C278" s="2"/>
      <c r="D278" s="44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>
      <c r="A279" s="2"/>
      <c r="B279" s="2"/>
      <c r="C279" s="2"/>
      <c r="D279" s="44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>
      <c r="A280" s="2"/>
      <c r="B280" s="2"/>
      <c r="C280" s="2"/>
      <c r="D280" s="44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>
      <c r="A281" s="2"/>
      <c r="B281" s="2"/>
      <c r="C281" s="2"/>
      <c r="D281" s="44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>
      <c r="A282" s="2"/>
      <c r="B282" s="2"/>
      <c r="C282" s="2"/>
      <c r="D282" s="44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>
      <c r="A283" s="2"/>
      <c r="B283" s="2"/>
      <c r="C283" s="2"/>
      <c r="D283" s="44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>
      <c r="A284" s="2"/>
      <c r="B284" s="2"/>
      <c r="C284" s="2"/>
      <c r="D284" s="44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>
      <c r="A285" s="2"/>
      <c r="B285" s="2"/>
      <c r="C285" s="2"/>
      <c r="D285" s="44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>
      <c r="A286" s="2"/>
      <c r="B286" s="2"/>
      <c r="C286" s="2"/>
      <c r="D286" s="44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>
      <c r="A287" s="2"/>
      <c r="B287" s="2"/>
      <c r="C287" s="2"/>
      <c r="D287" s="44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>
      <c r="A288" s="2"/>
      <c r="B288" s="2"/>
      <c r="C288" s="2"/>
      <c r="D288" s="44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>
      <c r="A289" s="2"/>
      <c r="B289" s="2"/>
      <c r="C289" s="2"/>
      <c r="D289" s="44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>
      <c r="A290" s="2"/>
      <c r="B290" s="2"/>
      <c r="C290" s="2"/>
      <c r="D290" s="44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>
      <c r="A291" s="2"/>
      <c r="B291" s="2"/>
      <c r="C291" s="2"/>
      <c r="D291" s="44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>
      <c r="A292" s="2"/>
      <c r="B292" s="2"/>
      <c r="C292" s="2"/>
      <c r="D292" s="44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>
      <c r="A293" s="2"/>
      <c r="B293" s="2"/>
      <c r="C293" s="2"/>
      <c r="D293" s="44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>
      <c r="A294" s="2"/>
      <c r="B294" s="2"/>
      <c r="C294" s="2"/>
      <c r="D294" s="44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>
      <c r="A295" s="2"/>
      <c r="B295" s="2"/>
      <c r="C295" s="2"/>
      <c r="D295" s="44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>
      <c r="A296" s="2"/>
      <c r="B296" s="2"/>
      <c r="C296" s="2"/>
      <c r="D296" s="44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>
      <c r="A297" s="2"/>
      <c r="B297" s="2"/>
      <c r="C297" s="2"/>
      <c r="D297" s="44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>
      <c r="A298" s="2"/>
      <c r="B298" s="2"/>
      <c r="C298" s="2"/>
      <c r="D298" s="44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>
      <c r="A299" s="2"/>
      <c r="B299" s="2"/>
      <c r="C299" s="2"/>
      <c r="D299" s="44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>
      <c r="A300" s="2"/>
      <c r="B300" s="2"/>
      <c r="C300" s="2"/>
      <c r="D300" s="44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>
      <c r="A301" s="2"/>
      <c r="B301" s="2"/>
      <c r="C301" s="2"/>
      <c r="D301" s="44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>
      <c r="A302" s="2"/>
      <c r="B302" s="2"/>
      <c r="C302" s="2"/>
      <c r="D302" s="44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>
      <c r="A303" s="2"/>
      <c r="B303" s="2"/>
      <c r="C303" s="2"/>
      <c r="D303" s="44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>
      <c r="A304" s="2"/>
      <c r="B304" s="2"/>
      <c r="C304" s="2"/>
      <c r="D304" s="44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>
      <c r="A305" s="2"/>
      <c r="B305" s="2"/>
      <c r="C305" s="2"/>
      <c r="D305" s="44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>
      <c r="A306" s="2"/>
      <c r="B306" s="2"/>
      <c r="C306" s="2"/>
      <c r="D306" s="44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>
      <c r="A307" s="2"/>
      <c r="B307" s="2"/>
      <c r="C307" s="2"/>
      <c r="D307" s="44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>
      <c r="A308" s="2"/>
      <c r="B308" s="2"/>
      <c r="C308" s="2"/>
      <c r="D308" s="44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>
      <c r="A309" s="2"/>
      <c r="B309" s="2"/>
      <c r="C309" s="2"/>
      <c r="D309" s="44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>
      <c r="A310" s="2"/>
      <c r="B310" s="2"/>
      <c r="C310" s="2"/>
      <c r="D310" s="44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>
      <c r="A311" s="2"/>
      <c r="B311" s="2"/>
      <c r="C311" s="2"/>
      <c r="D311" s="44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>
      <c r="A312" s="2"/>
      <c r="B312" s="2"/>
      <c r="C312" s="2"/>
      <c r="D312" s="44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>
      <c r="A313" s="2"/>
      <c r="B313" s="2"/>
      <c r="C313" s="2"/>
      <c r="D313" s="44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>
      <c r="A314" s="2"/>
      <c r="B314" s="2"/>
      <c r="C314" s="2"/>
      <c r="D314" s="44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>
      <c r="A315" s="2"/>
      <c r="B315" s="2"/>
      <c r="C315" s="2"/>
      <c r="D315" s="44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>
      <c r="A316" s="2"/>
      <c r="B316" s="2"/>
      <c r="C316" s="2"/>
      <c r="D316" s="44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>
      <c r="A317" s="2"/>
      <c r="B317" s="2"/>
      <c r="C317" s="2"/>
      <c r="D317" s="44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>
      <c r="A318" s="2"/>
      <c r="B318" s="2"/>
      <c r="C318" s="2"/>
      <c r="D318" s="44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>
      <c r="A319" s="2"/>
      <c r="B319" s="2"/>
      <c r="C319" s="2"/>
      <c r="D319" s="44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>
      <c r="A320" s="2"/>
      <c r="B320" s="2"/>
      <c r="C320" s="2"/>
      <c r="D320" s="44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>
      <c r="A321" s="2"/>
      <c r="B321" s="2"/>
      <c r="C321" s="2"/>
      <c r="D321" s="44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>
      <c r="A322" s="2"/>
      <c r="B322" s="2"/>
      <c r="C322" s="2"/>
      <c r="D322" s="44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>
      <c r="A323" s="2"/>
      <c r="B323" s="2"/>
      <c r="C323" s="2"/>
      <c r="D323" s="44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>
      <c r="A324" s="2"/>
      <c r="B324" s="2"/>
      <c r="C324" s="2"/>
      <c r="D324" s="44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>
      <c r="A325" s="2"/>
      <c r="B325" s="2"/>
      <c r="C325" s="2"/>
      <c r="D325" s="44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>
      <c r="A326" s="2"/>
      <c r="B326" s="2"/>
      <c r="C326" s="2"/>
      <c r="D326" s="44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>
      <c r="A327" s="2"/>
      <c r="B327" s="2"/>
      <c r="C327" s="2"/>
      <c r="D327" s="44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>
      <c r="A328" s="2"/>
      <c r="B328" s="2"/>
      <c r="C328" s="2"/>
      <c r="D328" s="44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>
      <c r="A329" s="2"/>
      <c r="B329" s="2"/>
      <c r="C329" s="2"/>
      <c r="D329" s="44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>
      <c r="A330" s="2"/>
      <c r="B330" s="2"/>
      <c r="C330" s="2"/>
      <c r="D330" s="44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>
      <c r="A331" s="2"/>
      <c r="B331" s="2"/>
      <c r="C331" s="2"/>
      <c r="D331" s="44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>
      <c r="A332" s="2"/>
      <c r="B332" s="2"/>
      <c r="C332" s="2"/>
      <c r="D332" s="44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>
      <c r="A333" s="2"/>
      <c r="B333" s="2"/>
      <c r="C333" s="2"/>
      <c r="D333" s="44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>
      <c r="A334" s="2"/>
      <c r="B334" s="2"/>
      <c r="C334" s="2"/>
      <c r="D334" s="44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>
      <c r="A335" s="2"/>
      <c r="B335" s="2"/>
      <c r="C335" s="2"/>
      <c r="D335" s="44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>
      <c r="A336" s="2"/>
      <c r="B336" s="2"/>
      <c r="C336" s="2"/>
      <c r="D336" s="44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>
      <c r="A337" s="2"/>
      <c r="B337" s="2"/>
      <c r="C337" s="2"/>
      <c r="D337" s="44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>
      <c r="A338" s="2"/>
      <c r="B338" s="2"/>
      <c r="C338" s="2"/>
      <c r="D338" s="44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>
      <c r="A339" s="2"/>
      <c r="B339" s="2"/>
      <c r="C339" s="2"/>
      <c r="D339" s="44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>
      <c r="A340" s="2"/>
      <c r="B340" s="2"/>
      <c r="C340" s="2"/>
      <c r="D340" s="44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>
      <c r="A341" s="2"/>
      <c r="B341" s="2"/>
      <c r="C341" s="2"/>
      <c r="D341" s="44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>
      <c r="A342" s="2"/>
      <c r="B342" s="2"/>
      <c r="C342" s="2"/>
      <c r="D342" s="44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>
      <c r="A343" s="2"/>
      <c r="B343" s="2"/>
      <c r="C343" s="2"/>
      <c r="D343" s="44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>
      <c r="A344" s="2"/>
      <c r="B344" s="2"/>
      <c r="C344" s="2"/>
      <c r="D344" s="44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>
      <c r="A345" s="2"/>
      <c r="B345" s="2"/>
      <c r="C345" s="2"/>
      <c r="D345" s="44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>
      <c r="A346" s="2"/>
      <c r="B346" s="2"/>
      <c r="C346" s="2"/>
      <c r="D346" s="44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>
      <c r="A347" s="2"/>
      <c r="B347" s="2"/>
      <c r="C347" s="2"/>
      <c r="D347" s="44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>
      <c r="A348" s="2"/>
      <c r="B348" s="2"/>
      <c r="C348" s="2"/>
      <c r="D348" s="44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>
      <c r="A349" s="2"/>
      <c r="B349" s="2"/>
      <c r="C349" s="2"/>
      <c r="D349" s="44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>
      <c r="A350" s="2"/>
      <c r="B350" s="2"/>
      <c r="C350" s="2"/>
      <c r="D350" s="44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>
      <c r="A351" s="2"/>
      <c r="B351" s="2"/>
      <c r="C351" s="2"/>
      <c r="D351" s="44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>
      <c r="A352" s="2"/>
      <c r="B352" s="2"/>
      <c r="C352" s="2"/>
      <c r="D352" s="44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>
      <c r="A353" s="2"/>
      <c r="B353" s="2"/>
      <c r="C353" s="2"/>
      <c r="D353" s="44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>
      <c r="A354" s="2"/>
      <c r="B354" s="2"/>
      <c r="C354" s="2"/>
      <c r="D354" s="44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>
      <c r="A355" s="2"/>
      <c r="B355" s="2"/>
      <c r="C355" s="2"/>
      <c r="D355" s="44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>
      <c r="A356" s="2"/>
      <c r="B356" s="2"/>
      <c r="C356" s="2"/>
      <c r="D356" s="44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>
      <c r="A357" s="2"/>
      <c r="B357" s="2"/>
      <c r="C357" s="2"/>
      <c r="D357" s="44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>
      <c r="A358" s="2"/>
      <c r="B358" s="2"/>
      <c r="C358" s="2"/>
      <c r="D358" s="44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>
      <c r="A359" s="2"/>
      <c r="B359" s="2"/>
      <c r="C359" s="2"/>
      <c r="D359" s="44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>
      <c r="A360" s="2"/>
      <c r="B360" s="2"/>
      <c r="C360" s="2"/>
      <c r="D360" s="44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>
      <c r="A361" s="2"/>
      <c r="B361" s="2"/>
      <c r="C361" s="2"/>
      <c r="D361" s="44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>
      <c r="A362" s="2"/>
      <c r="B362" s="2"/>
      <c r="C362" s="2"/>
      <c r="D362" s="44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>
      <c r="A363" s="2"/>
      <c r="B363" s="2"/>
      <c r="C363" s="2"/>
      <c r="D363" s="44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>
      <c r="A364" s="2"/>
      <c r="B364" s="2"/>
      <c r="C364" s="2"/>
      <c r="D364" s="44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>
      <c r="A365" s="2"/>
      <c r="B365" s="2"/>
      <c r="C365" s="2"/>
      <c r="D365" s="44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>
      <c r="A366" s="2"/>
      <c r="B366" s="2"/>
      <c r="C366" s="2"/>
      <c r="D366" s="44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>
      <c r="A367" s="2"/>
      <c r="B367" s="2"/>
      <c r="C367" s="2"/>
      <c r="D367" s="44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>
      <c r="A368" s="2"/>
      <c r="B368" s="2"/>
      <c r="C368" s="2"/>
      <c r="D368" s="44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>
      <c r="A369" s="2"/>
      <c r="B369" s="2"/>
      <c r="C369" s="2"/>
      <c r="D369" s="44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>
      <c r="A370" s="2"/>
      <c r="B370" s="2"/>
      <c r="C370" s="2"/>
      <c r="D370" s="44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>
      <c r="A371" s="2"/>
      <c r="B371" s="2"/>
      <c r="C371" s="2"/>
      <c r="D371" s="44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>
      <c r="A372" s="2"/>
      <c r="B372" s="2"/>
      <c r="C372" s="2"/>
      <c r="D372" s="44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>
      <c r="A373" s="2"/>
      <c r="B373" s="2"/>
      <c r="C373" s="2"/>
      <c r="D373" s="44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>
      <c r="A374" s="2"/>
      <c r="B374" s="2"/>
      <c r="C374" s="2"/>
      <c r="D374" s="44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>
      <c r="A375" s="2"/>
      <c r="B375" s="2"/>
      <c r="C375" s="2"/>
      <c r="D375" s="44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>
      <c r="A376" s="2"/>
      <c r="B376" s="2"/>
      <c r="C376" s="2"/>
      <c r="D376" s="44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>
      <c r="A377" s="2"/>
      <c r="B377" s="2"/>
      <c r="C377" s="2"/>
      <c r="D377" s="44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>
      <c r="A378" s="2"/>
      <c r="B378" s="2"/>
      <c r="C378" s="2"/>
      <c r="D378" s="44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>
      <c r="A379" s="2"/>
      <c r="B379" s="2"/>
      <c r="C379" s="2"/>
      <c r="D379" s="44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>
      <c r="A380" s="2"/>
      <c r="B380" s="2"/>
      <c r="C380" s="2"/>
      <c r="D380" s="44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>
      <c r="A381" s="2"/>
      <c r="B381" s="2"/>
      <c r="C381" s="2"/>
      <c r="D381" s="44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>
      <c r="A382" s="2"/>
      <c r="B382" s="2"/>
      <c r="C382" s="2"/>
      <c r="D382" s="44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>
      <c r="A383" s="2"/>
      <c r="B383" s="2"/>
      <c r="C383" s="2"/>
      <c r="D383" s="44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>
      <c r="A384" s="2"/>
      <c r="B384" s="2"/>
      <c r="C384" s="2"/>
      <c r="D384" s="44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>
      <c r="A385" s="2"/>
      <c r="B385" s="2"/>
      <c r="C385" s="2"/>
      <c r="D385" s="44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>
      <c r="A386" s="2"/>
      <c r="B386" s="2"/>
      <c r="C386" s="2"/>
      <c r="D386" s="44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>
      <c r="A387" s="2"/>
      <c r="B387" s="2"/>
      <c r="C387" s="2"/>
      <c r="D387" s="44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>
      <c r="A388" s="2"/>
      <c r="B388" s="2"/>
      <c r="C388" s="2"/>
      <c r="D388" s="44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>
      <c r="A389" s="2"/>
      <c r="B389" s="2"/>
      <c r="C389" s="2"/>
      <c r="D389" s="44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>
      <c r="A390" s="2"/>
      <c r="B390" s="2"/>
      <c r="C390" s="2"/>
      <c r="D390" s="44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>
      <c r="A391" s="2"/>
      <c r="B391" s="2"/>
      <c r="C391" s="2"/>
      <c r="D391" s="44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>
      <c r="A392" s="2"/>
      <c r="B392" s="2"/>
      <c r="C392" s="2"/>
      <c r="D392" s="44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>
      <c r="A393" s="2"/>
      <c r="B393" s="2"/>
      <c r="C393" s="2"/>
      <c r="D393" s="44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>
      <c r="A394" s="2"/>
      <c r="B394" s="2"/>
      <c r="C394" s="2"/>
      <c r="D394" s="44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>
      <c r="A395" s="2"/>
      <c r="B395" s="2"/>
      <c r="C395" s="2"/>
      <c r="D395" s="44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>
      <c r="A396" s="2"/>
      <c r="B396" s="2"/>
      <c r="C396" s="2"/>
      <c r="D396" s="44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>
      <c r="A397" s="2"/>
      <c r="B397" s="2"/>
      <c r="C397" s="2"/>
      <c r="D397" s="44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>
      <c r="A398" s="2"/>
      <c r="B398" s="2"/>
      <c r="C398" s="2"/>
      <c r="D398" s="44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>
      <c r="A399" s="2"/>
      <c r="B399" s="2"/>
      <c r="C399" s="2"/>
      <c r="D399" s="44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>
      <c r="A400" s="2"/>
      <c r="B400" s="2"/>
      <c r="C400" s="2"/>
      <c r="D400" s="44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>
      <c r="A401" s="2"/>
      <c r="B401" s="2"/>
      <c r="C401" s="2"/>
      <c r="D401" s="44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>
      <c r="A402" s="2"/>
      <c r="B402" s="2"/>
      <c r="C402" s="2"/>
      <c r="D402" s="44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>
      <c r="A403" s="2"/>
      <c r="B403" s="2"/>
      <c r="C403" s="2"/>
      <c r="D403" s="44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>
      <c r="A404" s="2"/>
      <c r="B404" s="2"/>
      <c r="C404" s="2"/>
      <c r="D404" s="44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>
      <c r="A405" s="2"/>
      <c r="B405" s="2"/>
      <c r="C405" s="2"/>
      <c r="D405" s="44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>
      <c r="A406" s="2"/>
      <c r="B406" s="2"/>
      <c r="C406" s="2"/>
      <c r="D406" s="44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>
      <c r="A407" s="2"/>
      <c r="B407" s="2"/>
      <c r="C407" s="2"/>
      <c r="D407" s="44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>
      <c r="A408" s="2"/>
      <c r="B408" s="2"/>
      <c r="C408" s="2"/>
      <c r="D408" s="44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>
      <c r="A409" s="2"/>
      <c r="B409" s="2"/>
      <c r="C409" s="2"/>
      <c r="D409" s="44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>
      <c r="A410" s="2"/>
      <c r="B410" s="2"/>
      <c r="C410" s="2"/>
      <c r="D410" s="44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>
      <c r="A411" s="2"/>
      <c r="B411" s="2"/>
      <c r="C411" s="2"/>
      <c r="D411" s="44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>
      <c r="A412" s="2"/>
      <c r="B412" s="2"/>
      <c r="C412" s="2"/>
      <c r="D412" s="44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>
      <c r="A413" s="2"/>
      <c r="B413" s="2"/>
      <c r="C413" s="2"/>
      <c r="D413" s="44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>
      <c r="A414" s="2"/>
      <c r="B414" s="2"/>
      <c r="C414" s="2"/>
      <c r="D414" s="44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>
      <c r="A415" s="2"/>
      <c r="B415" s="2"/>
      <c r="C415" s="2"/>
      <c r="D415" s="44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>
      <c r="A416" s="2"/>
      <c r="B416" s="2"/>
      <c r="C416" s="2"/>
      <c r="D416" s="44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>
      <c r="A417" s="2"/>
      <c r="B417" s="2"/>
      <c r="C417" s="2"/>
      <c r="D417" s="44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>
      <c r="A418" s="2"/>
      <c r="B418" s="2"/>
      <c r="C418" s="2"/>
      <c r="D418" s="44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>
      <c r="A419" s="2"/>
      <c r="B419" s="2"/>
      <c r="C419" s="2"/>
      <c r="D419" s="44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>
      <c r="A420" s="2"/>
      <c r="B420" s="2"/>
      <c r="C420" s="2"/>
      <c r="D420" s="44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>
      <c r="A421" s="2"/>
      <c r="B421" s="2"/>
      <c r="C421" s="2"/>
      <c r="D421" s="44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>
      <c r="A422" s="2"/>
      <c r="B422" s="2"/>
      <c r="C422" s="2"/>
      <c r="D422" s="44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>
      <c r="A423" s="2"/>
      <c r="B423" s="2"/>
      <c r="C423" s="2"/>
      <c r="D423" s="44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>
      <c r="A424" s="2"/>
      <c r="B424" s="2"/>
      <c r="C424" s="2"/>
      <c r="D424" s="44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>
      <c r="A425" s="2"/>
      <c r="B425" s="2"/>
      <c r="C425" s="2"/>
      <c r="D425" s="44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>
      <c r="A426" s="2"/>
      <c r="B426" s="2"/>
      <c r="C426" s="2"/>
      <c r="D426" s="44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>
      <c r="A427" s="2"/>
      <c r="B427" s="2"/>
      <c r="C427" s="2"/>
      <c r="D427" s="44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>
      <c r="A428" s="2"/>
      <c r="B428" s="2"/>
      <c r="C428" s="2"/>
      <c r="D428" s="44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>
      <c r="A429" s="2"/>
      <c r="B429" s="2"/>
      <c r="C429" s="2"/>
      <c r="D429" s="44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>
      <c r="A430" s="2"/>
      <c r="B430" s="2"/>
      <c r="C430" s="2"/>
      <c r="D430" s="44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>
      <c r="A431" s="2"/>
      <c r="B431" s="2"/>
      <c r="C431" s="2"/>
      <c r="D431" s="44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>
      <c r="A432" s="2"/>
      <c r="B432" s="2"/>
      <c r="C432" s="2"/>
      <c r="D432" s="44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>
      <c r="A433" s="2"/>
      <c r="B433" s="2"/>
      <c r="C433" s="2"/>
      <c r="D433" s="44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>
      <c r="A434" s="2"/>
      <c r="B434" s="2"/>
      <c r="C434" s="2"/>
      <c r="D434" s="44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>
      <c r="A435" s="2"/>
      <c r="B435" s="2"/>
      <c r="C435" s="2"/>
      <c r="D435" s="44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>
      <c r="A436" s="2"/>
      <c r="B436" s="2"/>
      <c r="C436" s="2"/>
      <c r="D436" s="44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>
      <c r="A437" s="2"/>
      <c r="B437" s="2"/>
      <c r="C437" s="2"/>
      <c r="D437" s="44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>
      <c r="A438" s="2"/>
      <c r="B438" s="2"/>
      <c r="C438" s="2"/>
      <c r="D438" s="44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>
      <c r="A439" s="2"/>
      <c r="B439" s="2"/>
      <c r="C439" s="2"/>
      <c r="D439" s="44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>
      <c r="A440" s="2"/>
      <c r="B440" s="2"/>
      <c r="C440" s="2"/>
      <c r="D440" s="44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>
      <c r="A441" s="2"/>
      <c r="B441" s="2"/>
      <c r="C441" s="2"/>
      <c r="D441" s="44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>
      <c r="A442" s="2"/>
      <c r="B442" s="2"/>
      <c r="C442" s="2"/>
      <c r="D442" s="44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>
      <c r="A443" s="2"/>
      <c r="B443" s="2"/>
      <c r="C443" s="2"/>
      <c r="D443" s="44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>
      <c r="A444" s="2"/>
      <c r="B444" s="2"/>
      <c r="C444" s="2"/>
      <c r="D444" s="44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>
      <c r="A445" s="2"/>
      <c r="B445" s="2"/>
      <c r="C445" s="2"/>
      <c r="D445" s="44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>
      <c r="A446" s="2"/>
      <c r="B446" s="2"/>
      <c r="C446" s="2"/>
      <c r="D446" s="44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>
      <c r="A447" s="2"/>
      <c r="B447" s="2"/>
      <c r="C447" s="2"/>
      <c r="D447" s="44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>
      <c r="A448" s="2"/>
      <c r="B448" s="2"/>
      <c r="C448" s="2"/>
      <c r="D448" s="44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>
      <c r="A449" s="2"/>
      <c r="B449" s="2"/>
      <c r="C449" s="2"/>
      <c r="D449" s="44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>
      <c r="A450" s="2"/>
      <c r="B450" s="2"/>
      <c r="C450" s="2"/>
      <c r="D450" s="44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>
      <c r="A451" s="2"/>
      <c r="B451" s="2"/>
      <c r="C451" s="2"/>
      <c r="D451" s="44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>
      <c r="A452" s="2"/>
      <c r="B452" s="2"/>
      <c r="C452" s="2"/>
      <c r="D452" s="44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>
      <c r="A453" s="2"/>
      <c r="B453" s="2"/>
      <c r="C453" s="2"/>
      <c r="D453" s="44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>
      <c r="A454" s="2"/>
      <c r="B454" s="2"/>
      <c r="C454" s="2"/>
      <c r="D454" s="44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>
      <c r="A455" s="2"/>
      <c r="B455" s="2"/>
      <c r="C455" s="2"/>
      <c r="D455" s="44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>
      <c r="A456" s="2"/>
      <c r="B456" s="2"/>
      <c r="C456" s="2"/>
      <c r="D456" s="44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>
      <c r="A457" s="2"/>
      <c r="B457" s="2"/>
      <c r="C457" s="2"/>
      <c r="D457" s="44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>
      <c r="A458" s="2"/>
      <c r="B458" s="2"/>
      <c r="C458" s="2"/>
      <c r="D458" s="44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>
      <c r="A459" s="2"/>
      <c r="B459" s="2"/>
      <c r="C459" s="2"/>
      <c r="D459" s="44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>
      <c r="A460" s="2"/>
      <c r="B460" s="2"/>
      <c r="C460" s="2"/>
      <c r="D460" s="44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>
      <c r="A461" s="2"/>
      <c r="B461" s="2"/>
      <c r="C461" s="2"/>
      <c r="D461" s="44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>
      <c r="A462" s="2"/>
      <c r="B462" s="2"/>
      <c r="C462" s="2"/>
      <c r="D462" s="44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>
      <c r="A463" s="2"/>
      <c r="B463" s="2"/>
      <c r="C463" s="2"/>
      <c r="D463" s="44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>
      <c r="A464" s="2"/>
      <c r="B464" s="2"/>
      <c r="C464" s="2"/>
      <c r="D464" s="44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>
      <c r="A465" s="2"/>
      <c r="B465" s="2"/>
      <c r="C465" s="2"/>
      <c r="D465" s="44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>
      <c r="A466" s="2"/>
      <c r="B466" s="2"/>
      <c r="C466" s="2"/>
      <c r="D466" s="44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>
      <c r="A467" s="2"/>
      <c r="B467" s="2"/>
      <c r="C467" s="2"/>
      <c r="D467" s="44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>
      <c r="A468" s="2"/>
      <c r="B468" s="2"/>
      <c r="C468" s="2"/>
      <c r="D468" s="44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>
      <c r="A469" s="2"/>
      <c r="B469" s="2"/>
      <c r="C469" s="2"/>
      <c r="D469" s="44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>
      <c r="A470" s="2"/>
      <c r="B470" s="2"/>
      <c r="C470" s="2"/>
      <c r="D470" s="44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>
      <c r="A471" s="2"/>
      <c r="B471" s="2"/>
      <c r="C471" s="2"/>
      <c r="D471" s="44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>
      <c r="A472" s="2"/>
      <c r="B472" s="2"/>
      <c r="C472" s="2"/>
      <c r="D472" s="44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>
      <c r="A473" s="2"/>
      <c r="B473" s="2"/>
      <c r="C473" s="2"/>
      <c r="D473" s="44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>
      <c r="A474" s="2"/>
      <c r="B474" s="2"/>
      <c r="C474" s="2"/>
      <c r="D474" s="44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>
      <c r="A475" s="2"/>
      <c r="B475" s="2"/>
      <c r="C475" s="2"/>
      <c r="D475" s="44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>
      <c r="A476" s="2"/>
      <c r="B476" s="2"/>
      <c r="C476" s="2"/>
      <c r="D476" s="44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>
      <c r="A477" s="2"/>
      <c r="B477" s="2"/>
      <c r="C477" s="2"/>
      <c r="D477" s="44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>
      <c r="A478" s="2"/>
      <c r="B478" s="2"/>
      <c r="C478" s="2"/>
      <c r="D478" s="44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>
      <c r="A479" s="2"/>
      <c r="B479" s="2"/>
      <c r="C479" s="2"/>
      <c r="D479" s="44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>
      <c r="A480" s="2"/>
      <c r="B480" s="2"/>
      <c r="C480" s="2"/>
      <c r="D480" s="44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>
      <c r="A481" s="2"/>
      <c r="B481" s="2"/>
      <c r="C481" s="2"/>
      <c r="D481" s="44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>
      <c r="A482" s="2"/>
      <c r="B482" s="2"/>
      <c r="C482" s="2"/>
      <c r="D482" s="44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>
      <c r="A483" s="2"/>
      <c r="B483" s="2"/>
      <c r="C483" s="2"/>
      <c r="D483" s="44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>
      <c r="A484" s="2"/>
      <c r="B484" s="2"/>
      <c r="C484" s="2"/>
      <c r="D484" s="44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>
      <c r="A485" s="2"/>
      <c r="B485" s="2"/>
      <c r="C485" s="2"/>
      <c r="D485" s="44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>
      <c r="A486" s="2"/>
      <c r="B486" s="2"/>
      <c r="C486" s="2"/>
      <c r="D486" s="44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>
      <c r="A487" s="2"/>
      <c r="B487" s="2"/>
      <c r="C487" s="2"/>
      <c r="D487" s="44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>
      <c r="A488" s="2"/>
      <c r="B488" s="2"/>
      <c r="C488" s="2"/>
      <c r="D488" s="44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>
      <c r="A489" s="2"/>
      <c r="B489" s="2"/>
      <c r="C489" s="2"/>
      <c r="D489" s="44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>
      <c r="A490" s="2"/>
      <c r="B490" s="2"/>
      <c r="C490" s="2"/>
      <c r="D490" s="44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>
      <c r="A491" s="2"/>
      <c r="B491" s="2"/>
      <c r="C491" s="2"/>
      <c r="D491" s="44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>
      <c r="A492" s="2"/>
      <c r="B492" s="2"/>
      <c r="C492" s="2"/>
      <c r="D492" s="44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>
      <c r="A493" s="2"/>
      <c r="B493" s="2"/>
      <c r="C493" s="2"/>
      <c r="D493" s="44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>
      <c r="A494" s="2"/>
      <c r="B494" s="2"/>
      <c r="C494" s="2"/>
      <c r="D494" s="44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>
      <c r="A495" s="2"/>
      <c r="B495" s="2"/>
      <c r="C495" s="2"/>
      <c r="D495" s="44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>
      <c r="A496" s="2"/>
      <c r="B496" s="2"/>
      <c r="C496" s="2"/>
      <c r="D496" s="44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>
      <c r="A497" s="2"/>
      <c r="B497" s="2"/>
      <c r="C497" s="2"/>
      <c r="D497" s="44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>
      <c r="A498" s="2"/>
      <c r="B498" s="2"/>
      <c r="C498" s="2"/>
      <c r="D498" s="44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>
      <c r="A499" s="2"/>
      <c r="B499" s="2"/>
      <c r="C499" s="2"/>
      <c r="D499" s="44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>
      <c r="A500" s="2"/>
      <c r="B500" s="2"/>
      <c r="C500" s="2"/>
      <c r="D500" s="44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>
      <c r="A501" s="2"/>
      <c r="B501" s="2"/>
      <c r="C501" s="2"/>
      <c r="D501" s="44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>
      <c r="A502" s="2"/>
      <c r="B502" s="2"/>
      <c r="C502" s="2"/>
      <c r="D502" s="44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>
      <c r="A503" s="2"/>
      <c r="B503" s="2"/>
      <c r="C503" s="2"/>
      <c r="D503" s="44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>
      <c r="A504" s="2"/>
      <c r="B504" s="2"/>
      <c r="C504" s="2"/>
      <c r="D504" s="44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>
      <c r="A505" s="2"/>
      <c r="B505" s="2"/>
      <c r="C505" s="2"/>
      <c r="D505" s="44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>
      <c r="A506" s="2"/>
      <c r="B506" s="2"/>
      <c r="C506" s="2"/>
      <c r="D506" s="44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>
      <c r="A507" s="2"/>
      <c r="B507" s="2"/>
      <c r="C507" s="2"/>
      <c r="D507" s="44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>
      <c r="A508" s="2"/>
      <c r="B508" s="2"/>
      <c r="C508" s="2"/>
      <c r="D508" s="44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>
      <c r="A509" s="2"/>
      <c r="B509" s="2"/>
      <c r="C509" s="2"/>
      <c r="D509" s="44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>
      <c r="A510" s="2"/>
      <c r="B510" s="2"/>
      <c r="C510" s="2"/>
      <c r="D510" s="44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>
      <c r="A511" s="2"/>
      <c r="B511" s="2"/>
      <c r="C511" s="2"/>
      <c r="D511" s="44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>
      <c r="A512" s="2"/>
      <c r="B512" s="2"/>
      <c r="C512" s="2"/>
      <c r="D512" s="44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>
      <c r="A513" s="2"/>
      <c r="B513" s="2"/>
      <c r="C513" s="2"/>
      <c r="D513" s="44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>
      <c r="A514" s="2"/>
      <c r="B514" s="2"/>
      <c r="C514" s="2"/>
      <c r="D514" s="44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>
      <c r="A515" s="2"/>
      <c r="B515" s="2"/>
      <c r="C515" s="2"/>
      <c r="D515" s="44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>
      <c r="A516" s="2"/>
      <c r="B516" s="2"/>
      <c r="C516" s="2"/>
      <c r="D516" s="44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>
      <c r="A517" s="2"/>
      <c r="B517" s="2"/>
      <c r="C517" s="2"/>
      <c r="D517" s="44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>
      <c r="A518" s="2"/>
      <c r="B518" s="2"/>
      <c r="C518" s="2"/>
      <c r="D518" s="44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>
      <c r="A519" s="2"/>
      <c r="B519" s="2"/>
      <c r="C519" s="2"/>
      <c r="D519" s="44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>
      <c r="A520" s="2"/>
      <c r="B520" s="2"/>
      <c r="C520" s="2"/>
      <c r="D520" s="44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>
      <c r="A521" s="2"/>
      <c r="B521" s="2"/>
      <c r="C521" s="2"/>
      <c r="D521" s="44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>
      <c r="A522" s="2"/>
      <c r="B522" s="2"/>
      <c r="C522" s="2"/>
      <c r="D522" s="44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>
      <c r="A523" s="2"/>
      <c r="B523" s="2"/>
      <c r="C523" s="2"/>
      <c r="D523" s="44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>
      <c r="A524" s="2"/>
      <c r="B524" s="2"/>
      <c r="C524" s="2"/>
      <c r="D524" s="44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>
      <c r="A525" s="2"/>
      <c r="B525" s="2"/>
      <c r="C525" s="2"/>
      <c r="D525" s="44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>
      <c r="A526" s="2"/>
      <c r="B526" s="2"/>
      <c r="C526" s="2"/>
      <c r="D526" s="44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>
      <c r="A527" s="2"/>
      <c r="B527" s="2"/>
      <c r="C527" s="2"/>
      <c r="D527" s="44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>
      <c r="A528" s="2"/>
      <c r="B528" s="2"/>
      <c r="C528" s="2"/>
      <c r="D528" s="44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>
      <c r="A529" s="2"/>
      <c r="B529" s="2"/>
      <c r="C529" s="2"/>
      <c r="D529" s="44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>
      <c r="A530" s="2"/>
      <c r="B530" s="2"/>
      <c r="C530" s="2"/>
      <c r="D530" s="44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>
      <c r="A531" s="2"/>
      <c r="B531" s="2"/>
      <c r="C531" s="2"/>
      <c r="D531" s="44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>
      <c r="A532" s="2"/>
      <c r="B532" s="2"/>
      <c r="C532" s="2"/>
      <c r="D532" s="44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>
      <c r="A533" s="2"/>
      <c r="B533" s="2"/>
      <c r="C533" s="2"/>
      <c r="D533" s="44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>
      <c r="A534" s="2"/>
      <c r="B534" s="2"/>
      <c r="C534" s="2"/>
      <c r="D534" s="44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>
      <c r="A535" s="2"/>
      <c r="B535" s="2"/>
      <c r="C535" s="2"/>
      <c r="D535" s="44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>
      <c r="A536" s="2"/>
      <c r="B536" s="2"/>
      <c r="C536" s="2"/>
      <c r="D536" s="44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>
      <c r="A537" s="2"/>
      <c r="B537" s="2"/>
      <c r="C537" s="2"/>
      <c r="D537" s="44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>
      <c r="A538" s="2"/>
      <c r="B538" s="2"/>
      <c r="C538" s="2"/>
      <c r="D538" s="44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>
      <c r="A539" s="2"/>
      <c r="B539" s="2"/>
      <c r="C539" s="2"/>
      <c r="D539" s="44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>
      <c r="A540" s="2"/>
      <c r="B540" s="2"/>
      <c r="C540" s="2"/>
      <c r="D540" s="44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>
      <c r="A541" s="2"/>
      <c r="B541" s="2"/>
      <c r="C541" s="2"/>
      <c r="D541" s="44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>
      <c r="A542" s="2"/>
      <c r="B542" s="2"/>
      <c r="C542" s="2"/>
      <c r="D542" s="44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>
      <c r="A543" s="2"/>
      <c r="B543" s="2"/>
      <c r="C543" s="2"/>
      <c r="D543" s="44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>
      <c r="A544" s="2"/>
      <c r="B544" s="2"/>
      <c r="C544" s="2"/>
      <c r="D544" s="44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>
      <c r="A545" s="2"/>
      <c r="B545" s="2"/>
      <c r="C545" s="2"/>
      <c r="D545" s="44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>
      <c r="A546" s="2"/>
      <c r="B546" s="2"/>
      <c r="C546" s="2"/>
      <c r="D546" s="44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>
      <c r="A547" s="2"/>
      <c r="B547" s="2"/>
      <c r="C547" s="2"/>
      <c r="D547" s="44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>
      <c r="A548" s="2"/>
      <c r="B548" s="2"/>
      <c r="C548" s="2"/>
      <c r="D548" s="44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>
      <c r="A549" s="2"/>
      <c r="B549" s="2"/>
      <c r="C549" s="2"/>
      <c r="D549" s="44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>
      <c r="A550" s="2"/>
      <c r="B550" s="2"/>
      <c r="C550" s="2"/>
      <c r="D550" s="44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>
      <c r="A551" s="2"/>
      <c r="B551" s="2"/>
      <c r="C551" s="2"/>
      <c r="D551" s="44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>
      <c r="A552" s="2"/>
      <c r="B552" s="2"/>
      <c r="C552" s="2"/>
      <c r="D552" s="44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>
      <c r="A553" s="2"/>
      <c r="B553" s="2"/>
      <c r="C553" s="2"/>
      <c r="D553" s="44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>
      <c r="A554" s="2"/>
      <c r="B554" s="2"/>
      <c r="C554" s="2"/>
      <c r="D554" s="44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>
      <c r="A555" s="2"/>
      <c r="B555" s="2"/>
      <c r="C555" s="2"/>
      <c r="D555" s="44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>
      <c r="A556" s="2"/>
      <c r="B556" s="2"/>
      <c r="C556" s="2"/>
      <c r="D556" s="44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>
      <c r="A557" s="2"/>
      <c r="B557" s="2"/>
      <c r="C557" s="2"/>
      <c r="D557" s="44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>
      <c r="A558" s="2"/>
      <c r="B558" s="2"/>
      <c r="C558" s="2"/>
      <c r="D558" s="44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>
      <c r="A559" s="2"/>
      <c r="B559" s="2"/>
      <c r="C559" s="2"/>
      <c r="D559" s="44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>
      <c r="A560" s="2"/>
      <c r="B560" s="2"/>
      <c r="C560" s="2"/>
      <c r="D560" s="44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>
      <c r="A561" s="2"/>
      <c r="B561" s="2"/>
      <c r="C561" s="2"/>
      <c r="D561" s="44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>
      <c r="A562" s="2"/>
      <c r="B562" s="2"/>
      <c r="C562" s="2"/>
      <c r="D562" s="44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>
      <c r="A563" s="2"/>
      <c r="B563" s="2"/>
      <c r="C563" s="2"/>
      <c r="D563" s="44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>
      <c r="A564" s="2"/>
      <c r="B564" s="2"/>
      <c r="C564" s="2"/>
      <c r="D564" s="44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>
      <c r="A565" s="2"/>
      <c r="B565" s="2"/>
      <c r="C565" s="2"/>
      <c r="D565" s="44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>
      <c r="A566" s="2"/>
      <c r="B566" s="2"/>
      <c r="C566" s="2"/>
      <c r="D566" s="44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>
      <c r="A567" s="2"/>
      <c r="B567" s="2"/>
      <c r="C567" s="2"/>
      <c r="D567" s="44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>
      <c r="A568" s="2"/>
      <c r="B568" s="2"/>
      <c r="C568" s="2"/>
      <c r="D568" s="44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>
      <c r="A569" s="2"/>
      <c r="B569" s="2"/>
      <c r="C569" s="2"/>
      <c r="D569" s="44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>
      <c r="A570" s="2"/>
      <c r="B570" s="2"/>
      <c r="C570" s="2"/>
      <c r="D570" s="44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>
      <c r="A571" s="2"/>
      <c r="B571" s="2"/>
      <c r="C571" s="2"/>
      <c r="D571" s="44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>
      <c r="A572" s="2"/>
      <c r="B572" s="2"/>
      <c r="C572" s="2"/>
      <c r="D572" s="44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>
      <c r="A573" s="2"/>
      <c r="B573" s="2"/>
      <c r="C573" s="2"/>
      <c r="D573" s="44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>
      <c r="A574" s="2"/>
      <c r="B574" s="2"/>
      <c r="C574" s="2"/>
      <c r="D574" s="44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>
      <c r="A575" s="2"/>
      <c r="B575" s="2"/>
      <c r="C575" s="2"/>
      <c r="D575" s="44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>
      <c r="A576" s="2"/>
      <c r="B576" s="2"/>
      <c r="C576" s="2"/>
      <c r="D576" s="44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>
      <c r="A577" s="2"/>
      <c r="B577" s="2"/>
      <c r="C577" s="2"/>
      <c r="D577" s="44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>
      <c r="A578" s="2"/>
      <c r="B578" s="2"/>
      <c r="C578" s="2"/>
      <c r="D578" s="44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>
      <c r="A579" s="2"/>
      <c r="B579" s="2"/>
      <c r="C579" s="2"/>
      <c r="D579" s="44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>
      <c r="A580" s="2"/>
      <c r="B580" s="2"/>
      <c r="C580" s="2"/>
      <c r="D580" s="44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>
      <c r="A581" s="2"/>
      <c r="B581" s="2"/>
      <c r="C581" s="2"/>
      <c r="D581" s="44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>
      <c r="A582" s="2"/>
      <c r="B582" s="2"/>
      <c r="C582" s="2"/>
      <c r="D582" s="44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>
      <c r="A583" s="2"/>
      <c r="B583" s="2"/>
      <c r="C583" s="2"/>
      <c r="D583" s="44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>
      <c r="A584" s="2"/>
      <c r="B584" s="2"/>
      <c r="C584" s="2"/>
      <c r="D584" s="44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>
      <c r="A585" s="2"/>
      <c r="B585" s="2"/>
      <c r="C585" s="2"/>
      <c r="D585" s="44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>
      <c r="A586" s="2"/>
      <c r="B586" s="2"/>
      <c r="C586" s="2"/>
      <c r="D586" s="44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>
      <c r="A587" s="2"/>
      <c r="B587" s="2"/>
      <c r="C587" s="2"/>
      <c r="D587" s="44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>
      <c r="A588" s="2"/>
      <c r="B588" s="2"/>
      <c r="C588" s="2"/>
      <c r="D588" s="44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>
      <c r="A589" s="2"/>
      <c r="B589" s="2"/>
      <c r="C589" s="2"/>
      <c r="D589" s="44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>
      <c r="A590" s="2"/>
      <c r="B590" s="2"/>
      <c r="C590" s="2"/>
      <c r="D590" s="44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>
      <c r="A591" s="2"/>
      <c r="B591" s="2"/>
      <c r="C591" s="2"/>
      <c r="D591" s="44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>
      <c r="A592" s="2"/>
      <c r="B592" s="2"/>
      <c r="C592" s="2"/>
      <c r="D592" s="44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>
      <c r="A593" s="2"/>
      <c r="B593" s="2"/>
      <c r="C593" s="2"/>
      <c r="D593" s="44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>
      <c r="A594" s="2"/>
      <c r="B594" s="2"/>
      <c r="C594" s="2"/>
      <c r="D594" s="44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>
      <c r="A595" s="2"/>
      <c r="B595" s="2"/>
      <c r="C595" s="2"/>
      <c r="D595" s="44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>
      <c r="A596" s="2"/>
      <c r="B596" s="2"/>
      <c r="C596" s="2"/>
      <c r="D596" s="44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>
      <c r="A597" s="2"/>
      <c r="B597" s="2"/>
      <c r="C597" s="2"/>
      <c r="D597" s="44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>
      <c r="A598" s="2"/>
      <c r="B598" s="2"/>
      <c r="C598" s="2"/>
      <c r="D598" s="44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>
      <c r="A599" s="2"/>
      <c r="B599" s="2"/>
      <c r="C599" s="2"/>
      <c r="D599" s="44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>
      <c r="A600" s="2"/>
      <c r="B600" s="2"/>
      <c r="C600" s="2"/>
      <c r="D600" s="44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>
      <c r="A601" s="2"/>
      <c r="B601" s="2"/>
      <c r="C601" s="2"/>
      <c r="D601" s="44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>
      <c r="A602" s="2"/>
      <c r="B602" s="2"/>
      <c r="C602" s="2"/>
      <c r="D602" s="44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>
      <c r="A603" s="2"/>
      <c r="B603" s="2"/>
      <c r="C603" s="2"/>
      <c r="D603" s="44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>
      <c r="A604" s="2"/>
      <c r="B604" s="2"/>
      <c r="C604" s="2"/>
      <c r="D604" s="44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>
      <c r="A605" s="2"/>
      <c r="B605" s="2"/>
      <c r="C605" s="2"/>
      <c r="D605" s="44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>
      <c r="A606" s="2"/>
      <c r="B606" s="2"/>
      <c r="C606" s="2"/>
      <c r="D606" s="44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>
      <c r="A607" s="2"/>
      <c r="B607" s="2"/>
      <c r="C607" s="2"/>
      <c r="D607" s="44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>
      <c r="A608" s="2"/>
      <c r="B608" s="2"/>
      <c r="C608" s="2"/>
      <c r="D608" s="44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>
      <c r="A609" s="2"/>
      <c r="B609" s="2"/>
      <c r="C609" s="2"/>
      <c r="D609" s="44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>
      <c r="A610" s="2"/>
      <c r="B610" s="2"/>
      <c r="C610" s="2"/>
      <c r="D610" s="44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>
      <c r="A611" s="2"/>
      <c r="B611" s="2"/>
      <c r="C611" s="2"/>
      <c r="D611" s="44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>
      <c r="A612" s="2"/>
      <c r="B612" s="2"/>
      <c r="C612" s="2"/>
      <c r="D612" s="44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>
      <c r="A613" s="2"/>
      <c r="B613" s="2"/>
      <c r="C613" s="2"/>
      <c r="D613" s="44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>
      <c r="A614" s="2"/>
      <c r="B614" s="2"/>
      <c r="C614" s="2"/>
      <c r="D614" s="44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>
      <c r="A615" s="2"/>
      <c r="B615" s="2"/>
      <c r="C615" s="2"/>
      <c r="D615" s="44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>
      <c r="A616" s="2"/>
      <c r="B616" s="2"/>
      <c r="C616" s="2"/>
      <c r="D616" s="44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>
      <c r="A617" s="2"/>
      <c r="B617" s="2"/>
      <c r="C617" s="2"/>
      <c r="D617" s="44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>
      <c r="A618" s="2"/>
      <c r="B618" s="2"/>
      <c r="C618" s="2"/>
      <c r="D618" s="44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>
      <c r="A619" s="2"/>
      <c r="B619" s="2"/>
      <c r="C619" s="2"/>
      <c r="D619" s="44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>
      <c r="A620" s="2"/>
      <c r="B620" s="2"/>
      <c r="C620" s="2"/>
      <c r="D620" s="44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>
      <c r="A621" s="2"/>
      <c r="B621" s="2"/>
      <c r="C621" s="2"/>
      <c r="D621" s="44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>
      <c r="A622" s="2"/>
      <c r="B622" s="2"/>
      <c r="C622" s="2"/>
      <c r="D622" s="44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>
      <c r="A623" s="2"/>
      <c r="B623" s="2"/>
      <c r="C623" s="2"/>
      <c r="D623" s="44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>
      <c r="A624" s="2"/>
      <c r="B624" s="2"/>
      <c r="C624" s="2"/>
      <c r="D624" s="44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>
      <c r="A625" s="2"/>
      <c r="B625" s="2"/>
      <c r="C625" s="2"/>
      <c r="D625" s="44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>
      <c r="A626" s="2"/>
      <c r="B626" s="2"/>
      <c r="C626" s="2"/>
      <c r="D626" s="44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>
      <c r="A627" s="2"/>
      <c r="B627" s="2"/>
      <c r="C627" s="2"/>
      <c r="D627" s="44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>
      <c r="A628" s="2"/>
      <c r="B628" s="2"/>
      <c r="C628" s="2"/>
      <c r="D628" s="44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>
      <c r="A629" s="2"/>
      <c r="B629" s="2"/>
      <c r="C629" s="2"/>
      <c r="D629" s="44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>
      <c r="A630" s="2"/>
      <c r="B630" s="2"/>
      <c r="C630" s="2"/>
      <c r="D630" s="44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>
      <c r="A631" s="2"/>
      <c r="B631" s="2"/>
      <c r="C631" s="2"/>
      <c r="D631" s="44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>
      <c r="A632" s="2"/>
      <c r="B632" s="2"/>
      <c r="C632" s="2"/>
      <c r="D632" s="44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>
      <c r="A633" s="2"/>
      <c r="B633" s="2"/>
      <c r="C633" s="2"/>
      <c r="D633" s="44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>
      <c r="A634" s="2"/>
      <c r="B634" s="2"/>
      <c r="C634" s="2"/>
      <c r="D634" s="44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>
      <c r="A635" s="2"/>
      <c r="B635" s="2"/>
      <c r="C635" s="2"/>
      <c r="D635" s="44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>
      <c r="A636" s="2"/>
      <c r="B636" s="2"/>
      <c r="C636" s="2"/>
      <c r="D636" s="44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>
      <c r="A637" s="2"/>
      <c r="B637" s="2"/>
      <c r="C637" s="2"/>
      <c r="D637" s="44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>
      <c r="A638" s="2"/>
      <c r="B638" s="2"/>
      <c r="C638" s="2"/>
      <c r="D638" s="44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>
      <c r="A639" s="2"/>
      <c r="B639" s="2"/>
      <c r="C639" s="2"/>
      <c r="D639" s="44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>
      <c r="A640" s="2"/>
      <c r="B640" s="2"/>
      <c r="C640" s="2"/>
      <c r="D640" s="44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>
      <c r="A641" s="2"/>
      <c r="B641" s="2"/>
      <c r="C641" s="2"/>
      <c r="D641" s="44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>
      <c r="A642" s="2"/>
      <c r="B642" s="2"/>
      <c r="C642" s="2"/>
      <c r="D642" s="44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>
      <c r="A643" s="2"/>
      <c r="B643" s="2"/>
      <c r="C643" s="2"/>
      <c r="D643" s="44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>
      <c r="A644" s="2"/>
      <c r="B644" s="2"/>
      <c r="C644" s="2"/>
      <c r="D644" s="44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>
      <c r="A645" s="2"/>
      <c r="B645" s="2"/>
      <c r="C645" s="2"/>
      <c r="D645" s="44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>
      <c r="A646" s="2"/>
      <c r="B646" s="2"/>
      <c r="C646" s="2"/>
      <c r="D646" s="44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>
      <c r="A647" s="2"/>
      <c r="B647" s="2"/>
      <c r="C647" s="2"/>
      <c r="D647" s="44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>
      <c r="A648" s="2"/>
      <c r="B648" s="2"/>
      <c r="C648" s="2"/>
      <c r="D648" s="44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>
      <c r="A649" s="2"/>
      <c r="B649" s="2"/>
      <c r="C649" s="2"/>
      <c r="D649" s="44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>
      <c r="A650" s="2"/>
      <c r="B650" s="2"/>
      <c r="C650" s="2"/>
      <c r="D650" s="44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>
      <c r="A651" s="2"/>
      <c r="B651" s="2"/>
      <c r="C651" s="2"/>
      <c r="D651" s="44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>
      <c r="A652" s="2"/>
      <c r="B652" s="2"/>
      <c r="C652" s="2"/>
      <c r="D652" s="44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>
      <c r="A653" s="2"/>
      <c r="B653" s="2"/>
      <c r="C653" s="2"/>
      <c r="D653" s="44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>
      <c r="A654" s="2"/>
      <c r="B654" s="2"/>
      <c r="C654" s="2"/>
      <c r="D654" s="44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>
      <c r="A655" s="2"/>
      <c r="B655" s="2"/>
      <c r="C655" s="2"/>
      <c r="D655" s="44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>
      <c r="A656" s="2"/>
      <c r="B656" s="2"/>
      <c r="C656" s="2"/>
      <c r="D656" s="44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>
      <c r="A657" s="2"/>
      <c r="B657" s="2"/>
      <c r="C657" s="2"/>
      <c r="D657" s="44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>
      <c r="A658" s="2"/>
      <c r="B658" s="2"/>
      <c r="C658" s="2"/>
      <c r="D658" s="44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>
      <c r="A659" s="2"/>
      <c r="B659" s="2"/>
      <c r="C659" s="2"/>
      <c r="D659" s="44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>
      <c r="A660" s="2"/>
      <c r="B660" s="2"/>
      <c r="C660" s="2"/>
      <c r="D660" s="44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>
      <c r="A661" s="2"/>
      <c r="B661" s="2"/>
      <c r="C661" s="2"/>
      <c r="D661" s="44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>
      <c r="A662" s="2"/>
      <c r="B662" s="2"/>
      <c r="C662" s="2"/>
      <c r="D662" s="44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>
      <c r="A663" s="2"/>
      <c r="B663" s="2"/>
      <c r="C663" s="2"/>
      <c r="D663" s="44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>
      <c r="A664" s="2"/>
      <c r="B664" s="2"/>
      <c r="C664" s="2"/>
      <c r="D664" s="44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>
      <c r="A665" s="2"/>
      <c r="B665" s="2"/>
      <c r="C665" s="2"/>
      <c r="D665" s="44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>
      <c r="A666" s="2"/>
      <c r="B666" s="2"/>
      <c r="C666" s="2"/>
      <c r="D666" s="44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>
      <c r="A667" s="2"/>
      <c r="B667" s="2"/>
      <c r="C667" s="2"/>
      <c r="D667" s="44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>
      <c r="A668" s="2"/>
      <c r="B668" s="2"/>
      <c r="C668" s="2"/>
      <c r="D668" s="44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>
      <c r="A669" s="2"/>
      <c r="B669" s="2"/>
      <c r="C669" s="2"/>
      <c r="D669" s="44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>
      <c r="A670" s="2"/>
      <c r="B670" s="2"/>
      <c r="C670" s="2"/>
      <c r="D670" s="44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>
      <c r="A671" s="2"/>
      <c r="B671" s="2"/>
      <c r="C671" s="2"/>
      <c r="D671" s="44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>
      <c r="A672" s="2"/>
      <c r="B672" s="2"/>
      <c r="C672" s="2"/>
      <c r="D672" s="44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>
      <c r="A673" s="2"/>
      <c r="B673" s="2"/>
      <c r="C673" s="2"/>
      <c r="D673" s="44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>
      <c r="A674" s="2"/>
      <c r="B674" s="2"/>
      <c r="C674" s="2"/>
      <c r="D674" s="44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>
      <c r="A675" s="2"/>
      <c r="B675" s="2"/>
      <c r="C675" s="2"/>
      <c r="D675" s="44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>
      <c r="A676" s="2"/>
      <c r="B676" s="2"/>
      <c r="C676" s="2"/>
      <c r="D676" s="44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>
      <c r="A677" s="2"/>
      <c r="B677" s="2"/>
      <c r="C677" s="2"/>
      <c r="D677" s="44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>
      <c r="A678" s="2"/>
      <c r="B678" s="2"/>
      <c r="C678" s="2"/>
      <c r="D678" s="44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>
      <c r="A679" s="2"/>
      <c r="B679" s="2"/>
      <c r="C679" s="2"/>
      <c r="D679" s="44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>
      <c r="A680" s="2"/>
      <c r="B680" s="2"/>
      <c r="C680" s="2"/>
      <c r="D680" s="44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>
      <c r="A681" s="2"/>
      <c r="B681" s="2"/>
      <c r="C681" s="2"/>
      <c r="D681" s="44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>
      <c r="A682" s="2"/>
      <c r="B682" s="2"/>
      <c r="C682" s="2"/>
      <c r="D682" s="44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>
      <c r="A683" s="2"/>
      <c r="B683" s="2"/>
      <c r="C683" s="2"/>
      <c r="D683" s="44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>
      <c r="A684" s="2"/>
      <c r="B684" s="2"/>
      <c r="C684" s="2"/>
      <c r="D684" s="44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>
      <c r="A685" s="2"/>
      <c r="B685" s="2"/>
      <c r="C685" s="2"/>
      <c r="D685" s="44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>
      <c r="A686" s="2"/>
      <c r="B686" s="2"/>
      <c r="C686" s="2"/>
      <c r="D686" s="44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>
      <c r="A687" s="2"/>
      <c r="B687" s="2"/>
      <c r="C687" s="2"/>
      <c r="D687" s="44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>
      <c r="A688" s="2"/>
      <c r="B688" s="2"/>
      <c r="C688" s="2"/>
      <c r="D688" s="44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>
      <c r="A689" s="2"/>
      <c r="B689" s="2"/>
      <c r="C689" s="2"/>
      <c r="D689" s="44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>
      <c r="A690" s="2"/>
      <c r="B690" s="2"/>
      <c r="C690" s="2"/>
      <c r="D690" s="44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>
      <c r="A691" s="2"/>
      <c r="B691" s="2"/>
      <c r="C691" s="2"/>
      <c r="D691" s="44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>
      <c r="A692" s="2"/>
      <c r="B692" s="2"/>
      <c r="C692" s="2"/>
      <c r="D692" s="44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>
      <c r="A693" s="2"/>
      <c r="B693" s="2"/>
      <c r="C693" s="2"/>
      <c r="D693" s="44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>
      <c r="A694" s="2"/>
      <c r="B694" s="2"/>
      <c r="C694" s="2"/>
      <c r="D694" s="44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>
      <c r="A695" s="2"/>
      <c r="B695" s="2"/>
      <c r="C695" s="2"/>
      <c r="D695" s="44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>
      <c r="A696" s="2"/>
      <c r="B696" s="2"/>
      <c r="C696" s="2"/>
      <c r="D696" s="44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>
      <c r="A697" s="2"/>
      <c r="B697" s="2"/>
      <c r="C697" s="2"/>
      <c r="D697" s="44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>
      <c r="A698" s="2"/>
      <c r="B698" s="2"/>
      <c r="C698" s="2"/>
      <c r="D698" s="44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>
      <c r="A699" s="2"/>
      <c r="B699" s="2"/>
      <c r="C699" s="2"/>
      <c r="D699" s="44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>
      <c r="A700" s="2"/>
      <c r="B700" s="2"/>
      <c r="C700" s="2"/>
      <c r="D700" s="44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>
      <c r="A701" s="2"/>
      <c r="B701" s="2"/>
      <c r="C701" s="2"/>
      <c r="D701" s="44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>
      <c r="A702" s="2"/>
      <c r="B702" s="2"/>
      <c r="C702" s="2"/>
      <c r="D702" s="44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>
      <c r="A703" s="2"/>
      <c r="B703" s="2"/>
      <c r="C703" s="2"/>
      <c r="D703" s="44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>
      <c r="A704" s="2"/>
      <c r="B704" s="2"/>
      <c r="C704" s="2"/>
      <c r="D704" s="44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>
      <c r="A705" s="2"/>
      <c r="B705" s="2"/>
      <c r="C705" s="2"/>
      <c r="D705" s="44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>
      <c r="A706" s="2"/>
      <c r="B706" s="2"/>
      <c r="C706" s="2"/>
      <c r="D706" s="44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>
      <c r="A707" s="2"/>
      <c r="B707" s="2"/>
      <c r="C707" s="2"/>
      <c r="D707" s="44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>
      <c r="A708" s="2"/>
      <c r="B708" s="2"/>
      <c r="C708" s="2"/>
      <c r="D708" s="44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>
      <c r="A709" s="2"/>
      <c r="B709" s="2"/>
      <c r="C709" s="2"/>
      <c r="D709" s="44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>
      <c r="A710" s="2"/>
      <c r="B710" s="2"/>
      <c r="C710" s="2"/>
      <c r="D710" s="44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>
      <c r="A711" s="2"/>
      <c r="B711" s="2"/>
      <c r="C711" s="2"/>
      <c r="D711" s="44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>
      <c r="A712" s="2"/>
      <c r="B712" s="2"/>
      <c r="C712" s="2"/>
      <c r="D712" s="44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>
      <c r="A713" s="2"/>
      <c r="B713" s="2"/>
      <c r="C713" s="2"/>
      <c r="D713" s="44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>
      <c r="A714" s="2"/>
      <c r="B714" s="2"/>
      <c r="C714" s="2"/>
      <c r="D714" s="44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>
      <c r="A715" s="2"/>
      <c r="B715" s="2"/>
      <c r="C715" s="2"/>
      <c r="D715" s="44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>
      <c r="A716" s="2"/>
      <c r="B716" s="2"/>
      <c r="C716" s="2"/>
      <c r="D716" s="44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>
      <c r="A717" s="2"/>
      <c r="B717" s="2"/>
      <c r="C717" s="2"/>
      <c r="D717" s="44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>
      <c r="A718" s="2"/>
      <c r="B718" s="2"/>
      <c r="C718" s="2"/>
      <c r="D718" s="44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>
      <c r="A719" s="2"/>
      <c r="B719" s="2"/>
      <c r="C719" s="2"/>
      <c r="D719" s="44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>
      <c r="A720" s="2"/>
      <c r="B720" s="2"/>
      <c r="C720" s="2"/>
      <c r="D720" s="44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>
      <c r="A721" s="2"/>
      <c r="B721" s="2"/>
      <c r="C721" s="2"/>
      <c r="D721" s="44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>
      <c r="A722" s="2"/>
      <c r="B722" s="2"/>
      <c r="C722" s="2"/>
      <c r="D722" s="44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>
      <c r="A723" s="2"/>
      <c r="B723" s="2"/>
      <c r="C723" s="2"/>
      <c r="D723" s="44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>
      <c r="A724" s="2"/>
      <c r="B724" s="2"/>
      <c r="C724" s="2"/>
      <c r="D724" s="44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>
      <c r="A725" s="2"/>
      <c r="B725" s="2"/>
      <c r="C725" s="2"/>
      <c r="D725" s="44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>
      <c r="A726" s="2"/>
      <c r="B726" s="2"/>
      <c r="C726" s="2"/>
      <c r="D726" s="44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>
      <c r="A727" s="2"/>
      <c r="B727" s="2"/>
      <c r="C727" s="2"/>
      <c r="D727" s="44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>
      <c r="A728" s="2"/>
      <c r="B728" s="2"/>
      <c r="C728" s="2"/>
      <c r="D728" s="44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>
      <c r="A729" s="2"/>
      <c r="B729" s="2"/>
      <c r="C729" s="2"/>
      <c r="D729" s="44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>
      <c r="A730" s="2"/>
      <c r="B730" s="2"/>
      <c r="C730" s="2"/>
      <c r="D730" s="44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>
      <c r="A731" s="2"/>
      <c r="B731" s="2"/>
      <c r="C731" s="2"/>
      <c r="D731" s="44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>
      <c r="A732" s="2"/>
      <c r="B732" s="2"/>
      <c r="C732" s="2"/>
      <c r="D732" s="44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>
      <c r="A733" s="2"/>
      <c r="B733" s="2"/>
      <c r="C733" s="2"/>
      <c r="D733" s="44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>
      <c r="A734" s="2"/>
      <c r="B734" s="2"/>
      <c r="C734" s="2"/>
      <c r="D734" s="44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>
      <c r="A735" s="2"/>
      <c r="B735" s="2"/>
      <c r="C735" s="2"/>
      <c r="D735" s="44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>
      <c r="A736" s="2"/>
      <c r="B736" s="2"/>
      <c r="C736" s="2"/>
      <c r="D736" s="44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>
      <c r="A737" s="2"/>
      <c r="B737" s="2"/>
      <c r="C737" s="2"/>
      <c r="D737" s="44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>
      <c r="A738" s="2"/>
      <c r="B738" s="2"/>
      <c r="C738" s="2"/>
      <c r="D738" s="44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>
      <c r="A739" s="2"/>
      <c r="B739" s="2"/>
      <c r="C739" s="2"/>
      <c r="D739" s="44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>
      <c r="A740" s="2"/>
      <c r="B740" s="2"/>
      <c r="C740" s="2"/>
      <c r="D740" s="44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>
      <c r="A741" s="2"/>
      <c r="B741" s="2"/>
      <c r="C741" s="2"/>
      <c r="D741" s="44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>
      <c r="A742" s="2"/>
      <c r="B742" s="2"/>
      <c r="C742" s="2"/>
      <c r="D742" s="44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>
      <c r="A743" s="2"/>
      <c r="B743" s="2"/>
      <c r="C743" s="2"/>
      <c r="D743" s="44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>
      <c r="A744" s="2"/>
      <c r="B744" s="2"/>
      <c r="C744" s="2"/>
      <c r="D744" s="44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>
      <c r="A745" s="2"/>
      <c r="B745" s="2"/>
      <c r="C745" s="2"/>
      <c r="D745" s="44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>
      <c r="A746" s="2"/>
      <c r="B746" s="2"/>
      <c r="C746" s="2"/>
      <c r="D746" s="44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>
      <c r="A747" s="2"/>
      <c r="B747" s="2"/>
      <c r="C747" s="2"/>
      <c r="D747" s="44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>
      <c r="A748" s="2"/>
      <c r="B748" s="2"/>
      <c r="C748" s="2"/>
      <c r="D748" s="44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>
      <c r="A749" s="2"/>
      <c r="B749" s="2"/>
      <c r="C749" s="2"/>
      <c r="D749" s="44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>
      <c r="A750" s="2"/>
      <c r="B750" s="2"/>
      <c r="C750" s="2"/>
      <c r="D750" s="44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>
      <c r="A751" s="2"/>
      <c r="B751" s="2"/>
      <c r="C751" s="2"/>
      <c r="D751" s="44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>
      <c r="A752" s="2"/>
      <c r="B752" s="2"/>
      <c r="C752" s="2"/>
      <c r="D752" s="44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>
      <c r="A753" s="2"/>
      <c r="B753" s="2"/>
      <c r="C753" s="2"/>
      <c r="D753" s="44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>
      <c r="A754" s="2"/>
      <c r="B754" s="2"/>
      <c r="C754" s="2"/>
      <c r="D754" s="44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>
      <c r="A755" s="2"/>
      <c r="B755" s="2"/>
      <c r="C755" s="2"/>
      <c r="D755" s="44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>
      <c r="A756" s="2"/>
      <c r="B756" s="2"/>
      <c r="C756" s="2"/>
      <c r="D756" s="44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>
      <c r="A757" s="2"/>
      <c r="B757" s="2"/>
      <c r="C757" s="2"/>
      <c r="D757" s="44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>
      <c r="A758" s="2"/>
      <c r="B758" s="2"/>
      <c r="C758" s="2"/>
      <c r="D758" s="44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>
      <c r="A759" s="2"/>
      <c r="B759" s="2"/>
      <c r="C759" s="2"/>
      <c r="D759" s="44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>
      <c r="A760" s="2"/>
      <c r="B760" s="2"/>
      <c r="C760" s="2"/>
      <c r="D760" s="44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>
      <c r="A761" s="2"/>
      <c r="B761" s="2"/>
      <c r="C761" s="2"/>
      <c r="D761" s="44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>
      <c r="A762" s="2"/>
      <c r="B762" s="2"/>
      <c r="C762" s="2"/>
      <c r="D762" s="44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>
      <c r="A763" s="2"/>
      <c r="B763" s="2"/>
      <c r="C763" s="2"/>
      <c r="D763" s="44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>
      <c r="A764" s="2"/>
      <c r="B764" s="2"/>
      <c r="C764" s="2"/>
      <c r="D764" s="44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>
      <c r="A765" s="2"/>
      <c r="B765" s="2"/>
      <c r="C765" s="2"/>
      <c r="D765" s="44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>
      <c r="A766" s="2"/>
      <c r="B766" s="2"/>
      <c r="C766" s="2"/>
      <c r="D766" s="44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>
      <c r="A767" s="2"/>
      <c r="B767" s="2"/>
      <c r="C767" s="2"/>
      <c r="D767" s="44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>
      <c r="A768" s="2"/>
      <c r="B768" s="2"/>
      <c r="C768" s="2"/>
      <c r="D768" s="44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>
      <c r="A769" s="2"/>
      <c r="B769" s="2"/>
      <c r="C769" s="2"/>
      <c r="D769" s="44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>
      <c r="A770" s="2"/>
      <c r="B770" s="2"/>
      <c r="C770" s="2"/>
      <c r="D770" s="44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>
      <c r="A771" s="2"/>
      <c r="B771" s="2"/>
      <c r="C771" s="2"/>
      <c r="D771" s="44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>
      <c r="A772" s="2"/>
      <c r="B772" s="2"/>
      <c r="C772" s="2"/>
      <c r="D772" s="44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>
      <c r="A773" s="2"/>
      <c r="B773" s="2"/>
      <c r="C773" s="2"/>
      <c r="D773" s="44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>
      <c r="A774" s="2"/>
      <c r="B774" s="2"/>
      <c r="C774" s="2"/>
      <c r="D774" s="44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>
      <c r="A775" s="2"/>
      <c r="B775" s="2"/>
      <c r="C775" s="2"/>
      <c r="D775" s="44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>
      <c r="A776" s="2"/>
      <c r="B776" s="2"/>
      <c r="C776" s="2"/>
      <c r="D776" s="44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>
      <c r="A777" s="2"/>
      <c r="B777" s="2"/>
      <c r="C777" s="2"/>
      <c r="D777" s="44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>
      <c r="A778" s="2"/>
      <c r="B778" s="2"/>
      <c r="C778" s="2"/>
      <c r="D778" s="44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>
      <c r="A779" s="2"/>
      <c r="B779" s="2"/>
      <c r="C779" s="2"/>
      <c r="D779" s="44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>
      <c r="A780" s="2"/>
      <c r="B780" s="2"/>
      <c r="C780" s="2"/>
      <c r="D780" s="44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>
      <c r="A781" s="2"/>
      <c r="B781" s="2"/>
      <c r="C781" s="2"/>
      <c r="D781" s="44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>
      <c r="A782" s="2"/>
      <c r="B782" s="2"/>
      <c r="C782" s="2"/>
      <c r="D782" s="44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>
      <c r="A783" s="2"/>
      <c r="B783" s="2"/>
      <c r="C783" s="2"/>
      <c r="D783" s="44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>
      <c r="A784" s="2"/>
      <c r="B784" s="2"/>
      <c r="C784" s="2"/>
      <c r="D784" s="44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>
      <c r="A785" s="2"/>
      <c r="B785" s="2"/>
      <c r="C785" s="2"/>
      <c r="D785" s="44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>
      <c r="A786" s="2"/>
      <c r="B786" s="2"/>
      <c r="C786" s="2"/>
      <c r="D786" s="44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>
      <c r="A787" s="2"/>
      <c r="B787" s="2"/>
      <c r="C787" s="2"/>
      <c r="D787" s="44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>
      <c r="A788" s="2"/>
      <c r="B788" s="2"/>
      <c r="C788" s="2"/>
      <c r="D788" s="44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>
      <c r="A789" s="2"/>
      <c r="B789" s="2"/>
      <c r="C789" s="2"/>
      <c r="D789" s="44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>
      <c r="A790" s="2"/>
      <c r="B790" s="2"/>
      <c r="C790" s="2"/>
      <c r="D790" s="44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>
      <c r="A791" s="2"/>
      <c r="B791" s="2"/>
      <c r="C791" s="2"/>
      <c r="D791" s="44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>
      <c r="A792" s="2"/>
      <c r="B792" s="2"/>
      <c r="C792" s="2"/>
      <c r="D792" s="44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>
      <c r="A793" s="2"/>
      <c r="B793" s="2"/>
      <c r="C793" s="2"/>
      <c r="D793" s="44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>
      <c r="A794" s="2"/>
      <c r="B794" s="2"/>
      <c r="C794" s="2"/>
      <c r="D794" s="44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>
      <c r="A795" s="2"/>
      <c r="B795" s="2"/>
      <c r="C795" s="2"/>
      <c r="D795" s="44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>
      <c r="A796" s="2"/>
      <c r="B796" s="2"/>
      <c r="C796" s="2"/>
      <c r="D796" s="44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>
      <c r="A797" s="2"/>
      <c r="B797" s="2"/>
      <c r="C797" s="2"/>
      <c r="D797" s="44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>
      <c r="A798" s="2"/>
      <c r="B798" s="2"/>
      <c r="C798" s="2"/>
      <c r="D798" s="44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>
      <c r="A799" s="2"/>
      <c r="B799" s="2"/>
      <c r="C799" s="2"/>
      <c r="D799" s="44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>
      <c r="A800" s="2"/>
      <c r="B800" s="2"/>
      <c r="C800" s="2"/>
      <c r="D800" s="44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>
      <c r="A801" s="2"/>
      <c r="B801" s="2"/>
      <c r="C801" s="2"/>
      <c r="D801" s="44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>
      <c r="A802" s="2"/>
      <c r="B802" s="2"/>
      <c r="C802" s="2"/>
      <c r="D802" s="44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>
      <c r="A803" s="2"/>
      <c r="B803" s="2"/>
      <c r="C803" s="2"/>
      <c r="D803" s="44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>
      <c r="A804" s="2"/>
      <c r="B804" s="2"/>
      <c r="C804" s="2"/>
      <c r="D804" s="44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>
      <c r="A805" s="2"/>
      <c r="B805" s="2"/>
      <c r="C805" s="2"/>
      <c r="D805" s="44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>
      <c r="A806" s="2"/>
      <c r="B806" s="2"/>
      <c r="C806" s="2"/>
      <c r="D806" s="44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>
      <c r="A807" s="2"/>
      <c r="B807" s="2"/>
      <c r="C807" s="2"/>
      <c r="D807" s="44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>
      <c r="A808" s="2"/>
      <c r="B808" s="2"/>
      <c r="C808" s="2"/>
      <c r="D808" s="44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>
      <c r="A809" s="2"/>
      <c r="B809" s="2"/>
      <c r="C809" s="2"/>
      <c r="D809" s="44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>
      <c r="A810" s="2"/>
      <c r="B810" s="2"/>
      <c r="C810" s="2"/>
      <c r="D810" s="44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>
      <c r="A811" s="2"/>
      <c r="B811" s="2"/>
      <c r="C811" s="2"/>
      <c r="D811" s="44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>
      <c r="A812" s="2"/>
      <c r="B812" s="2"/>
      <c r="C812" s="2"/>
      <c r="D812" s="44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>
      <c r="A813" s="2"/>
      <c r="B813" s="2"/>
      <c r="C813" s="2"/>
      <c r="D813" s="44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>
      <c r="A814" s="2"/>
      <c r="B814" s="2"/>
      <c r="C814" s="2"/>
      <c r="D814" s="44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>
      <c r="A815" s="2"/>
      <c r="B815" s="2"/>
      <c r="C815" s="2"/>
      <c r="D815" s="44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>
      <c r="A816" s="2"/>
      <c r="B816" s="2"/>
      <c r="C816" s="2"/>
      <c r="D816" s="44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>
      <c r="A817" s="2"/>
      <c r="B817" s="2"/>
      <c r="C817" s="2"/>
      <c r="D817" s="44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>
      <c r="A818" s="2"/>
      <c r="B818" s="2"/>
      <c r="C818" s="2"/>
      <c r="D818" s="44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>
      <c r="A819" s="2"/>
      <c r="B819" s="2"/>
      <c r="C819" s="2"/>
      <c r="D819" s="44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>
      <c r="A820" s="2"/>
      <c r="B820" s="2"/>
      <c r="C820" s="2"/>
      <c r="D820" s="44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>
      <c r="A821" s="2"/>
      <c r="B821" s="2"/>
      <c r="C821" s="2"/>
      <c r="D821" s="44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>
      <c r="A822" s="2"/>
      <c r="B822" s="2"/>
      <c r="C822" s="2"/>
      <c r="D822" s="44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>
      <c r="A823" s="2"/>
      <c r="B823" s="2"/>
      <c r="C823" s="2"/>
      <c r="D823" s="44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>
      <c r="A824" s="2"/>
      <c r="B824" s="2"/>
      <c r="C824" s="2"/>
      <c r="D824" s="44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>
      <c r="A825" s="2"/>
      <c r="B825" s="2"/>
      <c r="C825" s="2"/>
      <c r="D825" s="44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>
      <c r="A826" s="2"/>
      <c r="B826" s="2"/>
      <c r="C826" s="2"/>
      <c r="D826" s="44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>
      <c r="A827" s="2"/>
      <c r="B827" s="2"/>
      <c r="C827" s="2"/>
      <c r="D827" s="44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>
      <c r="A828" s="2"/>
      <c r="B828" s="2"/>
      <c r="C828" s="2"/>
      <c r="D828" s="44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>
      <c r="A829" s="2"/>
      <c r="B829" s="2"/>
      <c r="C829" s="2"/>
      <c r="D829" s="44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>
      <c r="A830" s="2"/>
      <c r="B830" s="2"/>
      <c r="C830" s="2"/>
      <c r="D830" s="44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>
      <c r="A831" s="2"/>
      <c r="B831" s="2"/>
      <c r="C831" s="2"/>
      <c r="D831" s="44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>
      <c r="A832" s="2"/>
      <c r="B832" s="2"/>
      <c r="C832" s="2"/>
      <c r="D832" s="44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>
      <c r="A833" s="2"/>
      <c r="B833" s="2"/>
      <c r="C833" s="2"/>
      <c r="D833" s="44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>
      <c r="A834" s="2"/>
      <c r="B834" s="2"/>
      <c r="C834" s="2"/>
      <c r="D834" s="44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>
      <c r="A835" s="2"/>
      <c r="B835" s="2"/>
      <c r="C835" s="2"/>
      <c r="D835" s="44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>
      <c r="A836" s="2"/>
      <c r="B836" s="2"/>
      <c r="C836" s="2"/>
      <c r="D836" s="44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>
      <c r="A837" s="2"/>
      <c r="B837" s="2"/>
      <c r="C837" s="2"/>
      <c r="D837" s="44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>
      <c r="A838" s="2"/>
      <c r="B838" s="2"/>
      <c r="C838" s="2"/>
      <c r="D838" s="44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>
      <c r="A839" s="2"/>
      <c r="B839" s="2"/>
      <c r="C839" s="2"/>
      <c r="D839" s="44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>
      <c r="A840" s="2"/>
      <c r="B840" s="2"/>
      <c r="C840" s="2"/>
      <c r="D840" s="44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>
      <c r="A841" s="2"/>
      <c r="B841" s="2"/>
      <c r="C841" s="2"/>
      <c r="D841" s="44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>
      <c r="A842" s="2"/>
      <c r="B842" s="2"/>
      <c r="C842" s="2"/>
      <c r="D842" s="44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>
      <c r="A843" s="2"/>
      <c r="B843" s="2"/>
      <c r="C843" s="2"/>
      <c r="D843" s="44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>
      <c r="A844" s="2"/>
      <c r="B844" s="2"/>
      <c r="C844" s="2"/>
      <c r="D844" s="44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>
      <c r="A845" s="2"/>
      <c r="B845" s="2"/>
      <c r="C845" s="2"/>
      <c r="D845" s="44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>
      <c r="A846" s="2"/>
      <c r="B846" s="2"/>
      <c r="C846" s="2"/>
      <c r="D846" s="44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>
      <c r="A847" s="2"/>
      <c r="B847" s="2"/>
      <c r="C847" s="2"/>
      <c r="D847" s="44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>
      <c r="A848" s="2"/>
      <c r="B848" s="2"/>
      <c r="C848" s="2"/>
      <c r="D848" s="44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>
      <c r="A849" s="2"/>
      <c r="B849" s="2"/>
      <c r="C849" s="2"/>
      <c r="D849" s="44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>
      <c r="A850" s="2"/>
      <c r="B850" s="2"/>
      <c r="C850" s="2"/>
      <c r="D850" s="44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>
      <c r="A851" s="2"/>
      <c r="B851" s="2"/>
      <c r="C851" s="2"/>
      <c r="D851" s="44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>
      <c r="A852" s="2"/>
      <c r="B852" s="2"/>
      <c r="C852" s="2"/>
      <c r="D852" s="44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>
      <c r="A853" s="2"/>
      <c r="B853" s="2"/>
      <c r="C853" s="2"/>
      <c r="D853" s="44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>
      <c r="A854" s="2"/>
      <c r="B854" s="2"/>
      <c r="C854" s="2"/>
      <c r="D854" s="44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>
      <c r="A855" s="2"/>
      <c r="B855" s="2"/>
      <c r="C855" s="2"/>
      <c r="D855" s="44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>
      <c r="A856" s="2"/>
      <c r="B856" s="2"/>
      <c r="C856" s="2"/>
      <c r="D856" s="44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>
      <c r="A857" s="2"/>
      <c r="B857" s="2"/>
      <c r="C857" s="2"/>
      <c r="D857" s="44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>
      <c r="A858" s="2"/>
      <c r="B858" s="2"/>
      <c r="C858" s="2"/>
      <c r="D858" s="44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>
      <c r="A859" s="2"/>
      <c r="B859" s="2"/>
      <c r="C859" s="2"/>
      <c r="D859" s="44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>
      <c r="A860" s="2"/>
      <c r="B860" s="2"/>
      <c r="C860" s="2"/>
      <c r="D860" s="44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>
      <c r="A861" s="2"/>
      <c r="B861" s="2"/>
      <c r="C861" s="2"/>
      <c r="D861" s="44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>
      <c r="A862" s="2"/>
      <c r="B862" s="2"/>
      <c r="C862" s="2"/>
      <c r="D862" s="44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>
      <c r="A863" s="2"/>
      <c r="B863" s="2"/>
      <c r="C863" s="2"/>
      <c r="D863" s="44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>
      <c r="A864" s="2"/>
      <c r="B864" s="2"/>
      <c r="C864" s="2"/>
      <c r="D864" s="44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>
      <c r="A865" s="2"/>
      <c r="B865" s="2"/>
      <c r="C865" s="2"/>
      <c r="D865" s="44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>
      <c r="A866" s="2"/>
      <c r="B866" s="2"/>
      <c r="C866" s="2"/>
      <c r="D866" s="44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>
      <c r="A867" s="2"/>
      <c r="B867" s="2"/>
      <c r="C867" s="2"/>
      <c r="D867" s="44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>
      <c r="A868" s="2"/>
      <c r="B868" s="2"/>
      <c r="C868" s="2"/>
      <c r="D868" s="44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>
      <c r="A869" s="2"/>
      <c r="B869" s="2"/>
      <c r="C869" s="2"/>
      <c r="D869" s="44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>
      <c r="A870" s="2"/>
      <c r="B870" s="2"/>
      <c r="C870" s="2"/>
      <c r="D870" s="44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>
      <c r="A871" s="2"/>
      <c r="B871" s="2"/>
      <c r="C871" s="2"/>
      <c r="D871" s="44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>
      <c r="A872" s="2"/>
      <c r="B872" s="2"/>
      <c r="C872" s="2"/>
      <c r="D872" s="44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>
      <c r="A873" s="2"/>
      <c r="B873" s="2"/>
      <c r="C873" s="2"/>
      <c r="D873" s="44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>
      <c r="A874" s="2"/>
      <c r="B874" s="2"/>
      <c r="C874" s="2"/>
      <c r="D874" s="44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>
      <c r="A875" s="2"/>
      <c r="B875" s="2"/>
      <c r="C875" s="2"/>
      <c r="D875" s="44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>
      <c r="A876" s="2"/>
      <c r="B876" s="2"/>
      <c r="C876" s="2"/>
      <c r="D876" s="44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>
      <c r="A877" s="2"/>
      <c r="B877" s="2"/>
      <c r="C877" s="2"/>
      <c r="D877" s="44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>
      <c r="A878" s="2"/>
      <c r="B878" s="2"/>
      <c r="C878" s="2"/>
      <c r="D878" s="44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>
      <c r="A879" s="2"/>
      <c r="B879" s="2"/>
      <c r="C879" s="2"/>
      <c r="D879" s="44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>
      <c r="A880" s="2"/>
      <c r="B880" s="2"/>
      <c r="C880" s="2"/>
      <c r="D880" s="44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>
      <c r="A881" s="2"/>
      <c r="B881" s="2"/>
      <c r="C881" s="2"/>
      <c r="D881" s="44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>
      <c r="A882" s="2"/>
      <c r="B882" s="2"/>
      <c r="C882" s="2"/>
      <c r="D882" s="44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>
      <c r="A883" s="2"/>
      <c r="B883" s="2"/>
      <c r="C883" s="2"/>
      <c r="D883" s="44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>
      <c r="A884" s="2"/>
      <c r="B884" s="2"/>
      <c r="C884" s="2"/>
      <c r="D884" s="44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>
      <c r="A885" s="2"/>
      <c r="B885" s="2"/>
      <c r="C885" s="2"/>
      <c r="D885" s="44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>
      <c r="A886" s="2"/>
      <c r="B886" s="2"/>
      <c r="C886" s="2"/>
      <c r="D886" s="44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>
      <c r="A887" s="2"/>
      <c r="B887" s="2"/>
      <c r="C887" s="2"/>
      <c r="D887" s="44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>
      <c r="A888" s="2"/>
      <c r="B888" s="2"/>
      <c r="C888" s="2"/>
      <c r="D888" s="44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>
      <c r="A889" s="2"/>
      <c r="B889" s="2"/>
      <c r="C889" s="2"/>
      <c r="D889" s="44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>
      <c r="A890" s="2"/>
      <c r="B890" s="2"/>
      <c r="C890" s="2"/>
      <c r="D890" s="44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>
      <c r="A891" s="2"/>
      <c r="B891" s="2"/>
      <c r="C891" s="2"/>
      <c r="D891" s="44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>
      <c r="A892" s="2"/>
      <c r="B892" s="2"/>
      <c r="C892" s="2"/>
      <c r="D892" s="44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>
      <c r="A893" s="2"/>
      <c r="B893" s="2"/>
      <c r="C893" s="2"/>
      <c r="D893" s="44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>
      <c r="A894" s="2"/>
      <c r="B894" s="2"/>
      <c r="C894" s="2"/>
      <c r="D894" s="44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>
      <c r="A895" s="2"/>
      <c r="B895" s="2"/>
      <c r="C895" s="2"/>
      <c r="D895" s="44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>
      <c r="A896" s="2"/>
      <c r="B896" s="2"/>
      <c r="C896" s="2"/>
      <c r="D896" s="44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>
      <c r="A897" s="2"/>
      <c r="B897" s="2"/>
      <c r="C897" s="2"/>
      <c r="D897" s="44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>
      <c r="A898" s="2"/>
      <c r="B898" s="2"/>
      <c r="C898" s="2"/>
      <c r="D898" s="44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>
      <c r="A899" s="2"/>
      <c r="B899" s="2"/>
      <c r="C899" s="2"/>
      <c r="D899" s="44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>
      <c r="A900" s="2"/>
      <c r="B900" s="2"/>
      <c r="C900" s="2"/>
      <c r="D900" s="44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>
      <c r="A901" s="2"/>
      <c r="B901" s="2"/>
      <c r="C901" s="2"/>
      <c r="D901" s="44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>
      <c r="A902" s="2"/>
      <c r="B902" s="2"/>
      <c r="C902" s="2"/>
      <c r="D902" s="44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>
      <c r="A903" s="2"/>
      <c r="B903" s="2"/>
      <c r="C903" s="2"/>
      <c r="D903" s="44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>
      <c r="A904" s="2"/>
      <c r="B904" s="2"/>
      <c r="C904" s="2"/>
      <c r="D904" s="44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>
      <c r="A905" s="2"/>
      <c r="B905" s="2"/>
      <c r="C905" s="2"/>
      <c r="D905" s="44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>
      <c r="A906" s="2"/>
      <c r="B906" s="2"/>
      <c r="C906" s="2"/>
      <c r="D906" s="44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>
      <c r="A907" s="2"/>
      <c r="B907" s="2"/>
      <c r="C907" s="2"/>
      <c r="D907" s="44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>
      <c r="A908" s="2"/>
      <c r="B908" s="2"/>
      <c r="C908" s="2"/>
      <c r="D908" s="44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>
      <c r="A909" s="2"/>
      <c r="B909" s="2"/>
      <c r="C909" s="2"/>
      <c r="D909" s="44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>
      <c r="A910" s="2"/>
      <c r="B910" s="2"/>
      <c r="C910" s="2"/>
      <c r="D910" s="44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>
      <c r="A911" s="2"/>
      <c r="B911" s="2"/>
      <c r="C911" s="2"/>
      <c r="D911" s="44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>
      <c r="A912" s="2"/>
      <c r="B912" s="2"/>
      <c r="C912" s="2"/>
      <c r="D912" s="44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>
      <c r="A913" s="2"/>
      <c r="B913" s="2"/>
      <c r="C913" s="2"/>
      <c r="D913" s="44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>
      <c r="A914" s="2"/>
      <c r="B914" s="2"/>
      <c r="C914" s="2"/>
      <c r="D914" s="44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>
      <c r="A915" s="2"/>
      <c r="B915" s="2"/>
      <c r="C915" s="2"/>
      <c r="D915" s="44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>
      <c r="A916" s="2"/>
      <c r="B916" s="2"/>
      <c r="C916" s="2"/>
      <c r="D916" s="44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>
      <c r="A917" s="2"/>
      <c r="B917" s="2"/>
      <c r="C917" s="2"/>
      <c r="D917" s="44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>
      <c r="A918" s="2"/>
      <c r="B918" s="2"/>
      <c r="C918" s="2"/>
      <c r="D918" s="44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>
      <c r="A919" s="2"/>
      <c r="B919" s="2"/>
      <c r="C919" s="2"/>
      <c r="D919" s="44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>
      <c r="A920" s="2"/>
      <c r="B920" s="2"/>
      <c r="C920" s="2"/>
      <c r="D920" s="44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>
      <c r="A921" s="2"/>
      <c r="B921" s="2"/>
      <c r="C921" s="2"/>
      <c r="D921" s="44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>
      <c r="A922" s="2"/>
      <c r="B922" s="2"/>
      <c r="C922" s="2"/>
      <c r="D922" s="44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>
      <c r="A923" s="2"/>
      <c r="B923" s="2"/>
      <c r="C923" s="2"/>
      <c r="D923" s="44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>
      <c r="A924" s="2"/>
      <c r="B924" s="2"/>
      <c r="C924" s="2"/>
      <c r="D924" s="44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>
      <c r="A925" s="2"/>
      <c r="B925" s="2"/>
      <c r="C925" s="2"/>
      <c r="D925" s="44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>
      <c r="A926" s="2"/>
      <c r="B926" s="2"/>
      <c r="C926" s="2"/>
      <c r="D926" s="44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>
      <c r="A927" s="2"/>
      <c r="B927" s="2"/>
      <c r="C927" s="2"/>
      <c r="D927" s="44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>
      <c r="A928" s="2"/>
      <c r="B928" s="2"/>
      <c r="C928" s="2"/>
      <c r="D928" s="44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>
      <c r="A929" s="2"/>
      <c r="B929" s="2"/>
      <c r="C929" s="2"/>
      <c r="D929" s="44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>
      <c r="A930" s="2"/>
      <c r="B930" s="2"/>
      <c r="C930" s="2"/>
      <c r="D930" s="44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>
      <c r="A931" s="2"/>
      <c r="B931" s="2"/>
      <c r="C931" s="2"/>
      <c r="D931" s="44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>
      <c r="A932" s="2"/>
      <c r="B932" s="2"/>
      <c r="C932" s="2"/>
      <c r="D932" s="44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>
      <c r="A933" s="2"/>
      <c r="B933" s="2"/>
      <c r="C933" s="2"/>
      <c r="D933" s="44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>
      <c r="A934" s="2"/>
      <c r="B934" s="2"/>
      <c r="C934" s="2"/>
      <c r="D934" s="44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>
      <c r="A935" s="2"/>
      <c r="B935" s="2"/>
      <c r="C935" s="2"/>
      <c r="D935" s="44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>
      <c r="A936" s="2"/>
      <c r="B936" s="2"/>
      <c r="C936" s="2"/>
      <c r="D936" s="44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>
      <c r="A937" s="2"/>
      <c r="B937" s="2"/>
      <c r="C937" s="2"/>
      <c r="D937" s="44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>
      <c r="A938" s="2"/>
      <c r="B938" s="2"/>
      <c r="C938" s="2"/>
      <c r="D938" s="44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>
      <c r="A939" s="2"/>
      <c r="B939" s="2"/>
      <c r="C939" s="2"/>
      <c r="D939" s="44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>
      <c r="A940" s="2"/>
      <c r="B940" s="2"/>
      <c r="C940" s="2"/>
      <c r="D940" s="44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>
      <c r="A941" s="2"/>
      <c r="B941" s="2"/>
      <c r="C941" s="2"/>
      <c r="D941" s="44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>
      <c r="A942" s="2"/>
      <c r="B942" s="2"/>
      <c r="C942" s="2"/>
      <c r="D942" s="44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>
      <c r="A943" s="2"/>
      <c r="B943" s="2"/>
      <c r="C943" s="2"/>
      <c r="D943" s="44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>
      <c r="A944" s="2"/>
      <c r="B944" s="2"/>
      <c r="C944" s="2"/>
      <c r="D944" s="44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>
      <c r="A945" s="2"/>
      <c r="B945" s="2"/>
      <c r="C945" s="2"/>
      <c r="D945" s="44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>
      <c r="A946" s="2"/>
      <c r="B946" s="2"/>
      <c r="C946" s="2"/>
      <c r="D946" s="44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>
      <c r="A947" s="2"/>
      <c r="B947" s="2"/>
      <c r="C947" s="2"/>
      <c r="D947" s="44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>
      <c r="A948" s="2"/>
      <c r="B948" s="2"/>
      <c r="C948" s="2"/>
      <c r="D948" s="44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>
      <c r="A949" s="2"/>
      <c r="B949" s="2"/>
      <c r="C949" s="2"/>
      <c r="D949" s="44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>
      <c r="A950" s="2"/>
      <c r="B950" s="2"/>
      <c r="C950" s="2"/>
      <c r="D950" s="44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>
      <c r="A951" s="2"/>
      <c r="B951" s="2"/>
      <c r="C951" s="2"/>
      <c r="D951" s="44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>
      <c r="A952" s="2"/>
      <c r="B952" s="2"/>
      <c r="C952" s="2"/>
      <c r="D952" s="44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>
      <c r="A953" s="2"/>
      <c r="B953" s="2"/>
      <c r="C953" s="2"/>
      <c r="D953" s="44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>
      <c r="A954" s="2"/>
      <c r="B954" s="2"/>
      <c r="C954" s="2"/>
      <c r="D954" s="44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>
      <c r="A955" s="2"/>
      <c r="B955" s="2"/>
      <c r="C955" s="2"/>
      <c r="D955" s="44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>
      <c r="A956" s="2"/>
      <c r="B956" s="2"/>
      <c r="C956" s="2"/>
      <c r="D956" s="44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>
      <c r="A957" s="2"/>
      <c r="B957" s="2"/>
      <c r="C957" s="2"/>
      <c r="D957" s="44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>
      <c r="A958" s="2"/>
      <c r="B958" s="2"/>
      <c r="C958" s="2"/>
      <c r="D958" s="44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>
      <c r="A959" s="2"/>
      <c r="B959" s="2"/>
      <c r="C959" s="2"/>
      <c r="D959" s="44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>
      <c r="A960" s="2"/>
      <c r="B960" s="2"/>
      <c r="C960" s="2"/>
      <c r="D960" s="44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>
      <c r="A961" s="2"/>
      <c r="B961" s="2"/>
      <c r="C961" s="2"/>
      <c r="D961" s="44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>
      <c r="A962" s="2"/>
      <c r="B962" s="2"/>
      <c r="C962" s="2"/>
      <c r="D962" s="44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>
      <c r="A963" s="2"/>
      <c r="B963" s="2"/>
      <c r="C963" s="2"/>
      <c r="D963" s="44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>
      <c r="A964" s="2"/>
      <c r="B964" s="2"/>
      <c r="C964" s="2"/>
      <c r="D964" s="44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>
      <c r="A965" s="2"/>
      <c r="B965" s="2"/>
      <c r="C965" s="2"/>
      <c r="D965" s="44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>
      <c r="A966" s="2"/>
      <c r="B966" s="2"/>
      <c r="C966" s="2"/>
      <c r="D966" s="44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>
      <c r="A967" s="2"/>
      <c r="B967" s="2"/>
      <c r="C967" s="2"/>
      <c r="D967" s="44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>
      <c r="A968" s="2"/>
      <c r="B968" s="2"/>
      <c r="C968" s="2"/>
      <c r="D968" s="44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>
      <c r="A969" s="2"/>
      <c r="B969" s="2"/>
      <c r="C969" s="2"/>
      <c r="D969" s="44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>
      <c r="A970" s="2"/>
      <c r="B970" s="2"/>
      <c r="C970" s="2"/>
      <c r="D970" s="44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>
      <c r="A971" s="2"/>
      <c r="B971" s="2"/>
      <c r="C971" s="2"/>
      <c r="D971" s="44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>
      <c r="A972" s="2"/>
      <c r="B972" s="2"/>
      <c r="C972" s="2"/>
      <c r="D972" s="44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>
      <c r="A973" s="2"/>
      <c r="B973" s="2"/>
      <c r="C973" s="2"/>
      <c r="D973" s="44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>
      <c r="A974" s="2"/>
      <c r="B974" s="2"/>
      <c r="C974" s="2"/>
      <c r="D974" s="44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>
      <c r="A975" s="2"/>
      <c r="B975" s="2"/>
      <c r="C975" s="2"/>
      <c r="D975" s="44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>
      <c r="A976" s="2"/>
      <c r="B976" s="2"/>
      <c r="C976" s="2"/>
      <c r="D976" s="44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>
      <c r="A977" s="2"/>
      <c r="B977" s="2"/>
      <c r="C977" s="2"/>
      <c r="D977" s="44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>
      <c r="A978" s="2"/>
      <c r="B978" s="2"/>
      <c r="C978" s="2"/>
      <c r="D978" s="44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>
      <c r="A979" s="2"/>
      <c r="B979" s="2"/>
      <c r="C979" s="2"/>
      <c r="D979" s="44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>
      <c r="A980" s="2"/>
      <c r="B980" s="2"/>
      <c r="C980" s="2"/>
      <c r="D980" s="44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>
      <c r="A981" s="2"/>
      <c r="B981" s="2"/>
      <c r="C981" s="2"/>
      <c r="D981" s="44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>
      <c r="A982" s="2"/>
      <c r="B982" s="2"/>
      <c r="C982" s="2"/>
      <c r="D982" s="44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>
      <c r="A983" s="2"/>
      <c r="B983" s="2"/>
      <c r="C983" s="2"/>
      <c r="D983" s="44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>
      <c r="A984" s="2"/>
      <c r="B984" s="2"/>
      <c r="C984" s="2"/>
      <c r="D984" s="44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>
      <c r="A985" s="2"/>
      <c r="B985" s="2"/>
      <c r="C985" s="2"/>
      <c r="D985" s="44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>
      <c r="A986" s="2"/>
      <c r="B986" s="2"/>
      <c r="C986" s="2"/>
      <c r="D986" s="44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>
      <c r="A987" s="2"/>
      <c r="B987" s="2"/>
      <c r="C987" s="2"/>
      <c r="D987" s="44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>
      <c r="A988" s="2"/>
      <c r="B988" s="2"/>
      <c r="C988" s="2"/>
      <c r="D988" s="44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>
      <c r="A989" s="2"/>
      <c r="B989" s="2"/>
      <c r="C989" s="2"/>
      <c r="D989" s="44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</sheetData>
  <autoFilter ref="$C$1:$C$989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138</v>
      </c>
      <c r="C1" s="1" t="s">
        <v>23</v>
      </c>
    </row>
    <row r="2">
      <c r="A2" s="1" t="s">
        <v>31</v>
      </c>
      <c r="B2" s="1">
        <v>5.0</v>
      </c>
      <c r="C2" s="17">
        <f>int(Sheet1!N2/4+Sheet1!N3+Sheet1!N4/8+Sheet1!N7/3+Sheet1!N10)</f>
        <v>6782500</v>
      </c>
    </row>
    <row r="3">
      <c r="A3" s="1" t="s">
        <v>17</v>
      </c>
      <c r="B3" s="1">
        <v>6.0</v>
      </c>
      <c r="C3" s="17">
        <f>int(Sheet1!N2/4+Sheet1!N4/8+Sheet1!N5+Sheet1!N6+Sheet1!N7/3+Sheet1!N21)</f>
        <v>6066027</v>
      </c>
    </row>
    <row r="4">
      <c r="A4" s="1" t="s">
        <v>81</v>
      </c>
      <c r="B4" s="1">
        <v>19.0</v>
      </c>
      <c r="C4" s="17">
        <f>int(Sheet1!N2/4+Sheet1!N4/8+Sheet1!N11+SUM(Sheet1!N13:N14)+Sheet1!N18+SUM(Sheet1!N26:N27)+SUM(Sheet1!N30:N34)+Sheet1!N36+Sheet1!N39+Sheet1!N42+Sheet1!N46+Sheet1!N48+Sheet1!N53)</f>
        <v>2714752</v>
      </c>
    </row>
    <row r="5">
      <c r="A5" s="1" t="s">
        <v>168</v>
      </c>
      <c r="B5" s="1">
        <v>5.0</v>
      </c>
      <c r="C5" s="17">
        <f>int(Sheet1!N2/4+Sheet1!N7/3+Sheet1!N22+Sheet1!N23+Sheet1!N47)</f>
        <v>1738127</v>
      </c>
    </row>
    <row r="6">
      <c r="A6" s="1" t="s">
        <v>61</v>
      </c>
      <c r="B6" s="1">
        <v>5.0</v>
      </c>
      <c r="C6" s="17">
        <f>int(Sheet1!N4/8+Sheet1!N8+Sheet1!N12+Sheet1!N16+Sheet1!N24)</f>
        <v>1501855</v>
      </c>
    </row>
    <row r="7">
      <c r="A7" s="1" t="s">
        <v>107</v>
      </c>
      <c r="B7" s="1">
        <v>4.0</v>
      </c>
      <c r="C7" s="17">
        <f>int(Sheet1!N4/8+Sheet1!N17+Sheet1!N19+Sheet1!N38)</f>
        <v>644343</v>
      </c>
    </row>
    <row r="8">
      <c r="A8" s="1" t="s">
        <v>188</v>
      </c>
      <c r="B8" s="1">
        <v>24.0</v>
      </c>
      <c r="C8" s="17">
        <f>int(SUM(Sheet1!N4/8,Sheet1!N15,Sheet1!N28:N29,Sheet1!N35,Sheet1!N37,Sheet1!N40:N41,Sheet1!N43:N45,Sheet1!N49:N52,Sheet1!N54:N62))</f>
        <v>606538</v>
      </c>
    </row>
    <row r="9">
      <c r="A9" s="1" t="s">
        <v>64</v>
      </c>
      <c r="B9" s="1">
        <v>3.0</v>
      </c>
      <c r="C9" s="17">
        <f>int(Sheet1!N9+Sheet1!N20+Sheet1!N25)</f>
        <v>476187</v>
      </c>
    </row>
    <row r="10">
      <c r="A10" s="1" t="s">
        <v>196</v>
      </c>
      <c r="B10" s="1">
        <v>1.0</v>
      </c>
      <c r="C10" s="17">
        <f>int(Sheet1!N4/8)</f>
        <v>471185</v>
      </c>
    </row>
    <row r="17">
      <c r="A17" s="3"/>
    </row>
  </sheetData>
  <autoFilter ref="$A$1:$Z$1000">
    <sortState ref="A1:Z1000">
      <sortCondition descending="1" ref="C1:C1000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72.25"/>
    <col customWidth="1" min="3" max="4" width="38.75"/>
  </cols>
  <sheetData>
    <row r="1">
      <c r="A1" s="21" t="s">
        <v>0</v>
      </c>
      <c r="B1" s="4" t="s">
        <v>3</v>
      </c>
      <c r="C1" s="6" t="s">
        <v>4</v>
      </c>
      <c r="D1" s="7" t="s">
        <v>14</v>
      </c>
      <c r="E1" s="1" t="s">
        <v>245</v>
      </c>
      <c r="F1" s="1" t="s">
        <v>247</v>
      </c>
    </row>
    <row r="2">
      <c r="A2" s="22" t="s">
        <v>251</v>
      </c>
      <c r="B2" s="22" t="s">
        <v>253</v>
      </c>
      <c r="C2" s="22" t="s">
        <v>31</v>
      </c>
      <c r="D2" s="23">
        <v>8044937.0</v>
      </c>
      <c r="E2" s="17">
        <f>IF(COUNTIF(Sheet14!A:A, A2)&gt;0, 1, 0)</f>
        <v>0</v>
      </c>
      <c r="F2" s="17">
        <f t="shared" ref="F2:F134" si="1">if(E2=1,D2*2,D2)</f>
        <v>8044937</v>
      </c>
    </row>
    <row r="3">
      <c r="A3" s="14" t="s">
        <v>262</v>
      </c>
      <c r="B3" s="14" t="s">
        <v>263</v>
      </c>
      <c r="C3" s="14" t="s">
        <v>17</v>
      </c>
      <c r="D3" s="25">
        <v>2323927.0</v>
      </c>
      <c r="E3" s="17">
        <f>IF(COUNTIF(Sheet14!A:A, A3)&gt;0, 1, 0)</f>
        <v>1</v>
      </c>
      <c r="F3" s="17">
        <f t="shared" si="1"/>
        <v>4647854</v>
      </c>
    </row>
    <row r="4">
      <c r="A4" s="2" t="s">
        <v>105</v>
      </c>
      <c r="B4" s="2" t="s">
        <v>106</v>
      </c>
      <c r="C4" s="6" t="s">
        <v>107</v>
      </c>
      <c r="D4" s="7">
        <v>1831457.0</v>
      </c>
      <c r="E4" s="17">
        <f>IF(COUNTIF(Sheet14!A:A, A4)&gt;0, 1, 0)</f>
        <v>0</v>
      </c>
      <c r="F4" s="17">
        <f t="shared" si="1"/>
        <v>1831457</v>
      </c>
    </row>
    <row r="5">
      <c r="A5" s="22" t="s">
        <v>236</v>
      </c>
      <c r="B5" s="22" t="s">
        <v>237</v>
      </c>
      <c r="C5" s="27" t="s">
        <v>31</v>
      </c>
      <c r="D5" s="28">
        <v>1468751.0</v>
      </c>
      <c r="E5" s="17">
        <f>IF(COUNTIF(Sheet14!A:A, A5)&gt;0, 1, 0)</f>
        <v>0</v>
      </c>
      <c r="F5" s="17">
        <f t="shared" si="1"/>
        <v>1468751</v>
      </c>
    </row>
    <row r="6">
      <c r="A6" s="22" t="s">
        <v>277</v>
      </c>
      <c r="B6" s="22" t="s">
        <v>278</v>
      </c>
      <c r="C6" s="22" t="s">
        <v>17</v>
      </c>
      <c r="D6" s="30">
        <v>1391255.0</v>
      </c>
      <c r="E6" s="17">
        <f>IF(COUNTIF(Sheet14!A:A, A6)&gt;0, 1, 0)</f>
        <v>1</v>
      </c>
      <c r="F6" s="17">
        <f t="shared" si="1"/>
        <v>2782510</v>
      </c>
    </row>
    <row r="7">
      <c r="A7" s="14" t="s">
        <v>288</v>
      </c>
      <c r="B7" s="14" t="s">
        <v>289</v>
      </c>
      <c r="C7" s="14" t="s">
        <v>17</v>
      </c>
      <c r="D7" s="25">
        <v>1259589.0</v>
      </c>
      <c r="E7" s="17">
        <f>IF(COUNTIF(Sheet14!A:A, A7)&gt;0, 1, 0)</f>
        <v>0</v>
      </c>
      <c r="F7" s="17">
        <f t="shared" si="1"/>
        <v>1259589</v>
      </c>
    </row>
    <row r="8">
      <c r="A8" s="14" t="s">
        <v>297</v>
      </c>
      <c r="B8" s="14" t="s">
        <v>298</v>
      </c>
      <c r="C8" s="14" t="s">
        <v>31</v>
      </c>
      <c r="D8" s="25">
        <v>939871.0</v>
      </c>
      <c r="E8" s="17">
        <f>IF(COUNTIF(Sheet14!A:A, A8)&gt;0, 1, 0)</f>
        <v>0</v>
      </c>
      <c r="F8" s="17">
        <f t="shared" si="1"/>
        <v>939871</v>
      </c>
    </row>
    <row r="9">
      <c r="A9" s="4" t="s">
        <v>131</v>
      </c>
      <c r="B9" s="2" t="s">
        <v>132</v>
      </c>
      <c r="C9" s="12" t="s">
        <v>54</v>
      </c>
      <c r="D9" s="7">
        <v>882309.0</v>
      </c>
      <c r="E9" s="17">
        <f>IF(COUNTIF(Sheet14!A:A, A9)&gt;0, 1, 0)</f>
        <v>0</v>
      </c>
      <c r="F9" s="17">
        <f t="shared" si="1"/>
        <v>882309</v>
      </c>
    </row>
    <row r="10">
      <c r="A10" s="31" t="s">
        <v>47</v>
      </c>
      <c r="B10" s="22" t="s">
        <v>49</v>
      </c>
      <c r="C10" s="27" t="s">
        <v>50</v>
      </c>
      <c r="D10" s="32">
        <v>672675.0</v>
      </c>
      <c r="E10" s="17">
        <f>IF(COUNTIF(Sheet14!A:A, A10)&gt;0, 1, 0)</f>
        <v>0</v>
      </c>
      <c r="F10" s="33">
        <f t="shared" si="1"/>
        <v>672675</v>
      </c>
    </row>
    <row r="11">
      <c r="A11" s="14" t="s">
        <v>59</v>
      </c>
      <c r="B11" s="2" t="s">
        <v>60</v>
      </c>
      <c r="C11" s="6" t="s">
        <v>61</v>
      </c>
      <c r="D11" s="7">
        <v>653136.0</v>
      </c>
      <c r="E11" s="17">
        <f>IF(COUNTIF(Sheet14!A:A, A11)&gt;0, 1, 0)</f>
        <v>0</v>
      </c>
      <c r="F11" s="17">
        <f t="shared" si="1"/>
        <v>653136</v>
      </c>
      <c r="G11" s="1"/>
    </row>
    <row r="12">
      <c r="A12" s="4" t="s">
        <v>116</v>
      </c>
      <c r="B12" s="2" t="s">
        <v>117</v>
      </c>
      <c r="C12" s="19" t="s">
        <v>64</v>
      </c>
      <c r="D12" s="7">
        <v>537969.0</v>
      </c>
      <c r="E12" s="17">
        <f>IF(COUNTIF(Sheet14!A:A, A12)&gt;0, 1, 0)</f>
        <v>0</v>
      </c>
      <c r="F12" s="17">
        <f t="shared" si="1"/>
        <v>537969</v>
      </c>
    </row>
    <row r="13">
      <c r="A13" s="2" t="s">
        <v>28</v>
      </c>
      <c r="B13" s="2" t="s">
        <v>29</v>
      </c>
      <c r="C13" s="6" t="s">
        <v>31</v>
      </c>
      <c r="D13" s="7">
        <v>480056.0</v>
      </c>
      <c r="E13" s="17">
        <f>IF(COUNTIF(Sheet14!A:A, A13)&gt;0, 1, 0)</f>
        <v>1</v>
      </c>
      <c r="F13" s="17">
        <f t="shared" si="1"/>
        <v>960112</v>
      </c>
    </row>
    <row r="14">
      <c r="A14" s="14" t="s">
        <v>269</v>
      </c>
      <c r="B14" s="14" t="s">
        <v>270</v>
      </c>
      <c r="C14" s="14" t="s">
        <v>17</v>
      </c>
      <c r="D14" s="7">
        <v>476353.0</v>
      </c>
      <c r="E14" s="17">
        <f>IF(COUNTIF(Sheet14!A:A, A14)&gt;0, 1, 0)</f>
        <v>1</v>
      </c>
      <c r="F14" s="17">
        <f t="shared" si="1"/>
        <v>952706</v>
      </c>
    </row>
    <row r="15">
      <c r="A15" s="22" t="s">
        <v>334</v>
      </c>
      <c r="B15" s="22" t="s">
        <v>335</v>
      </c>
      <c r="C15" s="22" t="s">
        <v>31</v>
      </c>
      <c r="D15" s="36">
        <v>421654.0</v>
      </c>
      <c r="E15" s="17">
        <f>IF(COUNTIF(Sheet14!A:A, A15)&gt;0, 1, 0)</f>
        <v>1</v>
      </c>
      <c r="F15" s="17">
        <f t="shared" si="1"/>
        <v>843308</v>
      </c>
    </row>
    <row r="16">
      <c r="A16" s="4" t="s">
        <v>62</v>
      </c>
      <c r="B16" s="2" t="s">
        <v>63</v>
      </c>
      <c r="C16" s="6" t="s">
        <v>64</v>
      </c>
      <c r="D16" s="7">
        <v>401059.0</v>
      </c>
      <c r="E16" s="17">
        <f>IF(COUNTIF(Sheet14!A:A, A16)&gt;0, 1, 0)</f>
        <v>0</v>
      </c>
      <c r="F16" s="17">
        <f t="shared" si="1"/>
        <v>401059</v>
      </c>
    </row>
    <row r="17">
      <c r="A17" s="14" t="s">
        <v>347</v>
      </c>
      <c r="B17" s="14" t="s">
        <v>348</v>
      </c>
      <c r="C17" s="14" t="s">
        <v>17</v>
      </c>
      <c r="D17" s="7">
        <v>398117.0</v>
      </c>
      <c r="E17" s="17">
        <f>IF(COUNTIF(Sheet14!A:A, A17)&gt;0, 1, 0)</f>
        <v>1</v>
      </c>
      <c r="F17" s="17">
        <f t="shared" si="1"/>
        <v>796234</v>
      </c>
    </row>
    <row r="18">
      <c r="A18" s="2" t="s">
        <v>76</v>
      </c>
      <c r="B18" s="2" t="s">
        <v>77</v>
      </c>
      <c r="C18" s="6" t="s">
        <v>31</v>
      </c>
      <c r="D18" s="7">
        <v>392560.0</v>
      </c>
      <c r="E18" s="17">
        <f>IF(COUNTIF(Sheet14!A:A, A18)&gt;0, 1, 0)</f>
        <v>0</v>
      </c>
      <c r="F18" s="17">
        <f t="shared" si="1"/>
        <v>392560</v>
      </c>
    </row>
    <row r="19">
      <c r="A19" s="31" t="s">
        <v>47</v>
      </c>
      <c r="B19" s="22" t="s">
        <v>53</v>
      </c>
      <c r="C19" s="27" t="s">
        <v>54</v>
      </c>
      <c r="D19" s="32">
        <v>389885.0</v>
      </c>
      <c r="E19" s="17">
        <f>IF(COUNTIF(Sheet14!A:A, A19)&gt;0, 1, 0)</f>
        <v>0</v>
      </c>
      <c r="F19" s="33">
        <f t="shared" si="1"/>
        <v>389885</v>
      </c>
    </row>
    <row r="20">
      <c r="A20" s="14" t="s">
        <v>260</v>
      </c>
      <c r="B20" s="14" t="s">
        <v>261</v>
      </c>
      <c r="C20" s="14" t="s">
        <v>17</v>
      </c>
      <c r="D20" s="7">
        <v>385093.0</v>
      </c>
      <c r="E20" s="17">
        <f>IF(COUNTIF(Sheet14!A:A, A20)&gt;0, 1, 0)</f>
        <v>0</v>
      </c>
      <c r="F20" s="17">
        <f t="shared" si="1"/>
        <v>385093</v>
      </c>
    </row>
    <row r="21">
      <c r="A21" s="4" t="s">
        <v>79</v>
      </c>
      <c r="B21" s="2" t="s">
        <v>80</v>
      </c>
      <c r="C21" s="6" t="s">
        <v>81</v>
      </c>
      <c r="D21" s="7">
        <v>377110.0</v>
      </c>
      <c r="E21" s="17">
        <f>IF(COUNTIF(Sheet14!A:A, A21)&gt;0, 1, 0)</f>
        <v>0</v>
      </c>
      <c r="F21" s="17">
        <f t="shared" si="1"/>
        <v>377110</v>
      </c>
    </row>
    <row r="22">
      <c r="A22" s="14" t="s">
        <v>383</v>
      </c>
      <c r="B22" s="14" t="s">
        <v>385</v>
      </c>
      <c r="C22" s="14" t="s">
        <v>31</v>
      </c>
      <c r="D22" s="25">
        <v>347204.0</v>
      </c>
      <c r="E22" s="17">
        <f>IF(COUNTIF(Sheet14!A:A, A22)&gt;0, 1, 0)</f>
        <v>0</v>
      </c>
      <c r="F22" s="17">
        <f t="shared" si="1"/>
        <v>347204</v>
      </c>
    </row>
    <row r="23">
      <c r="A23" s="14" t="s">
        <v>372</v>
      </c>
      <c r="B23" s="14" t="s">
        <v>373</v>
      </c>
      <c r="C23" s="14" t="s">
        <v>31</v>
      </c>
      <c r="D23" s="7">
        <v>346530.0</v>
      </c>
      <c r="E23" s="17">
        <f>IF(COUNTIF(Sheet14!A:A, A23)&gt;0, 1, 0)</f>
        <v>0</v>
      </c>
      <c r="F23" s="17">
        <f t="shared" si="1"/>
        <v>346530</v>
      </c>
    </row>
    <row r="24">
      <c r="A24" s="22" t="s">
        <v>249</v>
      </c>
      <c r="B24" s="22" t="s">
        <v>250</v>
      </c>
      <c r="C24" s="22" t="s">
        <v>17</v>
      </c>
      <c r="D24" s="28">
        <v>335822.0</v>
      </c>
      <c r="E24" s="17">
        <f>IF(COUNTIF(Sheet14!A:A, A24)&gt;0, 1, 0)</f>
        <v>1</v>
      </c>
      <c r="F24" s="17">
        <f t="shared" si="1"/>
        <v>671644</v>
      </c>
    </row>
    <row r="25">
      <c r="A25" s="2" t="s">
        <v>84</v>
      </c>
      <c r="B25" s="2" t="s">
        <v>85</v>
      </c>
      <c r="C25" s="6" t="s">
        <v>61</v>
      </c>
      <c r="D25" s="7">
        <v>327680.0</v>
      </c>
      <c r="E25" s="17">
        <f>IF(COUNTIF(Sheet14!A:A, A25)&gt;0, 1, 0)</f>
        <v>0</v>
      </c>
      <c r="F25" s="17">
        <f t="shared" si="1"/>
        <v>327680</v>
      </c>
    </row>
    <row r="26">
      <c r="A26" s="22" t="s">
        <v>407</v>
      </c>
      <c r="B26" s="22" t="s">
        <v>408</v>
      </c>
      <c r="C26" s="22" t="s">
        <v>54</v>
      </c>
      <c r="D26" s="28">
        <v>314395.0</v>
      </c>
      <c r="E26" s="17">
        <f>IF(COUNTIF(Sheet14!A:A, A26)&gt;0, 1, 0)</f>
        <v>1</v>
      </c>
      <c r="F26" s="17">
        <f t="shared" si="1"/>
        <v>628790</v>
      </c>
    </row>
    <row r="27">
      <c r="A27" s="14" t="s">
        <v>413</v>
      </c>
      <c r="B27" s="14" t="s">
        <v>414</v>
      </c>
      <c r="C27" s="14" t="s">
        <v>17</v>
      </c>
      <c r="D27" s="7">
        <v>309251.0</v>
      </c>
      <c r="E27" s="17">
        <f>IF(COUNTIF(Sheet14!A:A, A27)&gt;0, 1, 0)</f>
        <v>0</v>
      </c>
      <c r="F27" s="17">
        <f t="shared" si="1"/>
        <v>309251</v>
      </c>
    </row>
    <row r="28">
      <c r="A28" s="31" t="s">
        <v>47</v>
      </c>
      <c r="B28" s="22" t="s">
        <v>48</v>
      </c>
      <c r="C28" s="27" t="s">
        <v>31</v>
      </c>
      <c r="D28" s="32">
        <v>292353.0</v>
      </c>
      <c r="E28" s="17">
        <f>IF(COUNTIF(Sheet14!A:A, A28)&gt;0, 1, 0)</f>
        <v>0</v>
      </c>
      <c r="F28" s="33">
        <f t="shared" si="1"/>
        <v>292353</v>
      </c>
    </row>
    <row r="29">
      <c r="A29" s="14" t="s">
        <v>267</v>
      </c>
      <c r="B29" s="14" t="s">
        <v>268</v>
      </c>
      <c r="C29" s="14" t="s">
        <v>17</v>
      </c>
      <c r="D29" s="7">
        <v>290923.0</v>
      </c>
      <c r="E29" s="17">
        <f>IF(COUNTIF(Sheet14!A:A, A29)&gt;0, 1, 0)</f>
        <v>0</v>
      </c>
      <c r="F29" s="17">
        <f t="shared" si="1"/>
        <v>290923</v>
      </c>
    </row>
    <row r="30">
      <c r="A30" s="14" t="s">
        <v>254</v>
      </c>
      <c r="B30" s="14" t="s">
        <v>255</v>
      </c>
      <c r="C30" s="14" t="s">
        <v>17</v>
      </c>
      <c r="D30" s="7">
        <v>281937.0</v>
      </c>
      <c r="E30" s="17">
        <f>IF(COUNTIF(Sheet14!A:A, A30)&gt;0, 1, 0)</f>
        <v>1</v>
      </c>
      <c r="F30" s="17">
        <f t="shared" si="1"/>
        <v>563874</v>
      </c>
    </row>
    <row r="31">
      <c r="A31" s="14" t="s">
        <v>240</v>
      </c>
      <c r="B31" s="14" t="s">
        <v>241</v>
      </c>
      <c r="C31" s="14" t="s">
        <v>31</v>
      </c>
      <c r="D31" s="15">
        <v>251135.0</v>
      </c>
      <c r="E31" s="17">
        <f>IF(COUNTIF(Sheet14!A:A, A31)&gt;0, 1, 0)</f>
        <v>0</v>
      </c>
      <c r="F31" s="33">
        <f t="shared" si="1"/>
        <v>251135</v>
      </c>
    </row>
    <row r="32">
      <c r="A32" s="14" t="s">
        <v>282</v>
      </c>
      <c r="B32" s="14" t="s">
        <v>284</v>
      </c>
      <c r="C32" s="12" t="s">
        <v>31</v>
      </c>
      <c r="D32" s="7">
        <v>244527.0</v>
      </c>
      <c r="E32" s="17">
        <f>IF(COUNTIF(Sheet14!A:A, A32)&gt;0, 1, 0)</f>
        <v>0</v>
      </c>
      <c r="F32" s="17">
        <f t="shared" si="1"/>
        <v>244527</v>
      </c>
    </row>
    <row r="33">
      <c r="A33" s="4" t="s">
        <v>87</v>
      </c>
      <c r="B33" s="2" t="s">
        <v>88</v>
      </c>
      <c r="C33" s="6" t="s">
        <v>81</v>
      </c>
      <c r="D33" s="7">
        <v>223414.0</v>
      </c>
      <c r="E33" s="17">
        <f>IF(COUNTIF(Sheet14!A:A, A33)&gt;0, 1, 0)</f>
        <v>0</v>
      </c>
      <c r="F33" s="17">
        <f t="shared" si="1"/>
        <v>223414</v>
      </c>
    </row>
    <row r="34">
      <c r="A34" s="2" t="s">
        <v>125</v>
      </c>
      <c r="B34" s="2" t="s">
        <v>126</v>
      </c>
      <c r="C34" s="12" t="s">
        <v>54</v>
      </c>
      <c r="D34" s="7">
        <v>184741.0</v>
      </c>
      <c r="E34" s="17">
        <f>IF(COUNTIF(Sheet14!A:A, A34)&gt;0, 1, 0)</f>
        <v>0</v>
      </c>
      <c r="F34" s="17">
        <f t="shared" si="1"/>
        <v>184741</v>
      </c>
    </row>
    <row r="35">
      <c r="A35" s="2" t="s">
        <v>93</v>
      </c>
      <c r="B35" s="2" t="s">
        <v>94</v>
      </c>
      <c r="C35" s="6" t="s">
        <v>81</v>
      </c>
      <c r="D35" s="7">
        <v>156525.0</v>
      </c>
      <c r="E35" s="17">
        <f>IF(COUNTIF(Sheet14!A:A, A35)&gt;0, 1, 0)</f>
        <v>1</v>
      </c>
      <c r="F35" s="17">
        <f t="shared" si="1"/>
        <v>313050</v>
      </c>
    </row>
    <row r="36">
      <c r="A36" s="22" t="s">
        <v>462</v>
      </c>
      <c r="B36" s="22" t="s">
        <v>463</v>
      </c>
      <c r="C36" s="22" t="s">
        <v>17</v>
      </c>
      <c r="D36" s="36">
        <v>138693.0</v>
      </c>
      <c r="E36" s="17">
        <f>IF(COUNTIF(Sheet14!A:A, A36)&gt;0, 1, 0)</f>
        <v>1</v>
      </c>
      <c r="F36" s="17">
        <f t="shared" si="1"/>
        <v>277386</v>
      </c>
    </row>
    <row r="37">
      <c r="A37" s="4" t="s">
        <v>111</v>
      </c>
      <c r="B37" s="2" t="s">
        <v>112</v>
      </c>
      <c r="C37" s="6" t="s">
        <v>81</v>
      </c>
      <c r="D37" s="7">
        <v>112120.0</v>
      </c>
      <c r="E37" s="17">
        <f>IF(COUNTIF(Sheet14!A:A, A37)&gt;0, 1, 0)</f>
        <v>0</v>
      </c>
      <c r="F37" s="17">
        <f t="shared" si="1"/>
        <v>112120</v>
      </c>
    </row>
    <row r="38">
      <c r="A38" s="14" t="s">
        <v>475</v>
      </c>
      <c r="B38" s="14" t="s">
        <v>477</v>
      </c>
      <c r="C38" s="14" t="s">
        <v>31</v>
      </c>
      <c r="D38" s="25">
        <v>110003.0</v>
      </c>
      <c r="E38" s="17">
        <f>IF(COUNTIF(Sheet14!A:A, A38)&gt;0, 1, 0)</f>
        <v>0</v>
      </c>
      <c r="F38" s="17">
        <f t="shared" si="1"/>
        <v>110003</v>
      </c>
    </row>
    <row r="39">
      <c r="A39" s="14" t="s">
        <v>315</v>
      </c>
      <c r="B39" s="14" t="s">
        <v>316</v>
      </c>
      <c r="C39" s="14" t="s">
        <v>17</v>
      </c>
      <c r="D39" s="24">
        <v>102449.0</v>
      </c>
      <c r="E39" s="17">
        <f>IF(COUNTIF(Sheet14!A:A, A39)&gt;0, 1, 0)</f>
        <v>0</v>
      </c>
      <c r="F39" s="17">
        <f t="shared" si="1"/>
        <v>102449</v>
      </c>
    </row>
    <row r="40">
      <c r="A40" s="2" t="s">
        <v>103</v>
      </c>
      <c r="B40" s="2" t="s">
        <v>104</v>
      </c>
      <c r="C40" s="6" t="s">
        <v>61</v>
      </c>
      <c r="D40" s="7">
        <v>100000.0</v>
      </c>
      <c r="E40" s="17">
        <f>IF(COUNTIF(Sheet14!A:A, A40)&gt;0, 1, 0)</f>
        <v>0</v>
      </c>
      <c r="F40" s="17">
        <f t="shared" si="1"/>
        <v>100000</v>
      </c>
    </row>
    <row r="41">
      <c r="A41" s="14" t="s">
        <v>265</v>
      </c>
      <c r="B41" s="14" t="s">
        <v>266</v>
      </c>
      <c r="C41" s="14" t="s">
        <v>17</v>
      </c>
      <c r="D41" s="7">
        <v>93892.0</v>
      </c>
      <c r="E41" s="17">
        <f>IF(COUNTIF(Sheet14!A:A, A41)&gt;0, 1, 0)</f>
        <v>1</v>
      </c>
      <c r="F41" s="17">
        <f t="shared" si="1"/>
        <v>187784</v>
      </c>
    </row>
    <row r="42">
      <c r="A42" s="22" t="s">
        <v>498</v>
      </c>
      <c r="B42" s="22" t="s">
        <v>499</v>
      </c>
      <c r="C42" s="22" t="s">
        <v>17</v>
      </c>
      <c r="D42" s="36">
        <v>92824.0</v>
      </c>
      <c r="E42" s="17">
        <f>IF(COUNTIF(Sheet14!A:A, A42)&gt;0, 1, 0)</f>
        <v>1</v>
      </c>
      <c r="F42" s="17">
        <f t="shared" si="1"/>
        <v>185648</v>
      </c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>
      <c r="A43" s="22" t="s">
        <v>271</v>
      </c>
      <c r="B43" s="22" t="s">
        <v>273</v>
      </c>
      <c r="C43" s="22" t="s">
        <v>17</v>
      </c>
      <c r="D43" s="28">
        <v>90175.0</v>
      </c>
      <c r="E43" s="17">
        <f>IF(COUNTIF(Sheet14!A:A, A43)&gt;0, 1, 0)</f>
        <v>1</v>
      </c>
      <c r="F43" s="17">
        <f t="shared" si="1"/>
        <v>180350</v>
      </c>
    </row>
    <row r="44">
      <c r="A44" s="4" t="s">
        <v>96</v>
      </c>
      <c r="B44" s="2" t="s">
        <v>99</v>
      </c>
      <c r="C44" s="12" t="s">
        <v>100</v>
      </c>
      <c r="D44" s="7">
        <v>88712.0</v>
      </c>
      <c r="E44" s="17">
        <f>IF(COUNTIF(Sheet14!A:A, A44)&gt;0, 1, 0)</f>
        <v>0</v>
      </c>
      <c r="F44" s="17">
        <f t="shared" si="1"/>
        <v>88712</v>
      </c>
    </row>
    <row r="45">
      <c r="A45" s="14" t="s">
        <v>364</v>
      </c>
      <c r="B45" s="14" t="s">
        <v>365</v>
      </c>
      <c r="C45" s="14" t="s">
        <v>31</v>
      </c>
      <c r="D45" s="25">
        <v>81186.0</v>
      </c>
      <c r="E45" s="17">
        <f>IF(COUNTIF(Sheet14!A:A, A45)&gt;0, 1, 0)</f>
        <v>0</v>
      </c>
      <c r="F45" s="17">
        <f t="shared" si="1"/>
        <v>81186</v>
      </c>
    </row>
    <row r="46">
      <c r="A46" s="22" t="s">
        <v>516</v>
      </c>
      <c r="B46" s="22" t="s">
        <v>519</v>
      </c>
      <c r="C46" s="22" t="s">
        <v>17</v>
      </c>
      <c r="D46" s="36">
        <v>70877.0</v>
      </c>
      <c r="E46" s="17">
        <f>IF(COUNTIF(Sheet14!A:A, A46)&gt;0, 1, 0)</f>
        <v>1</v>
      </c>
      <c r="F46" s="17">
        <f t="shared" si="1"/>
        <v>141754</v>
      </c>
    </row>
    <row r="47">
      <c r="A47" s="14" t="s">
        <v>502</v>
      </c>
      <c r="B47" s="14" t="s">
        <v>503</v>
      </c>
      <c r="C47" s="14" t="s">
        <v>17</v>
      </c>
      <c r="D47" s="25">
        <v>61029.0</v>
      </c>
      <c r="E47" s="17">
        <f>IF(COUNTIF(Sheet14!A:A, A47)&gt;0, 1, 0)</f>
        <v>1</v>
      </c>
      <c r="F47" s="17">
        <f t="shared" si="1"/>
        <v>122058</v>
      </c>
    </row>
    <row r="48">
      <c r="A48" s="14" t="s">
        <v>460</v>
      </c>
      <c r="B48" s="14" t="s">
        <v>461</v>
      </c>
      <c r="C48" s="14" t="s">
        <v>31</v>
      </c>
      <c r="D48" s="25">
        <v>54527.0</v>
      </c>
      <c r="E48" s="17">
        <f>IF(COUNTIF(Sheet14!A:A, A48)&gt;0, 1, 0)</f>
        <v>0</v>
      </c>
      <c r="F48" s="17">
        <f t="shared" si="1"/>
        <v>54527</v>
      </c>
    </row>
    <row r="49">
      <c r="A49" s="14" t="s">
        <v>242</v>
      </c>
      <c r="B49" s="14" t="s">
        <v>243</v>
      </c>
      <c r="C49" s="14" t="s">
        <v>31</v>
      </c>
      <c r="D49" s="7">
        <v>51230.0</v>
      </c>
      <c r="E49" s="17">
        <f>IF(COUNTIF(Sheet14!A:A, A49)&gt;0, 1, 0)</f>
        <v>0</v>
      </c>
      <c r="F49" s="17">
        <f t="shared" si="1"/>
        <v>51230</v>
      </c>
    </row>
    <row r="50">
      <c r="A50" s="14" t="s">
        <v>374</v>
      </c>
      <c r="B50" s="14" t="s">
        <v>375</v>
      </c>
      <c r="C50" s="14" t="s">
        <v>31</v>
      </c>
      <c r="D50" s="25">
        <v>48931.0</v>
      </c>
      <c r="E50" s="17">
        <f>IF(COUNTIF(Sheet14!A:A, A50)&gt;0, 1, 0)</f>
        <v>0</v>
      </c>
      <c r="F50" s="17">
        <f t="shared" si="1"/>
        <v>48931</v>
      </c>
    </row>
    <row r="51">
      <c r="A51" s="2" t="s">
        <v>113</v>
      </c>
      <c r="B51" s="2" t="s">
        <v>114</v>
      </c>
      <c r="C51" s="6" t="s">
        <v>107</v>
      </c>
      <c r="D51" s="7">
        <v>47238.0</v>
      </c>
      <c r="E51" s="17">
        <f>IF(COUNTIF(Sheet14!A:A, A51)&gt;0, 1, 0)</f>
        <v>0</v>
      </c>
      <c r="F51" s="17">
        <f t="shared" si="1"/>
        <v>47238</v>
      </c>
    </row>
    <row r="52">
      <c r="A52" s="14" t="s">
        <v>258</v>
      </c>
      <c r="B52" s="14" t="s">
        <v>259</v>
      </c>
      <c r="C52" s="14" t="s">
        <v>17</v>
      </c>
      <c r="D52" s="24">
        <v>47130.0</v>
      </c>
      <c r="E52" s="17">
        <f>IF(COUNTIF(Sheet14!A:A, A52)&gt;0, 1, 0)</f>
        <v>0</v>
      </c>
      <c r="F52" s="17">
        <f t="shared" si="1"/>
        <v>47130</v>
      </c>
    </row>
    <row r="53">
      <c r="A53" s="14" t="s">
        <v>522</v>
      </c>
      <c r="B53" s="14" t="s">
        <v>524</v>
      </c>
      <c r="C53" s="14" t="s">
        <v>17</v>
      </c>
      <c r="D53" s="7">
        <v>39814.0</v>
      </c>
      <c r="E53" s="17">
        <f>IF(COUNTIF(Sheet14!A:A, A53)&gt;0, 1, 0)</f>
        <v>1</v>
      </c>
      <c r="F53" s="17">
        <f t="shared" si="1"/>
        <v>79628</v>
      </c>
    </row>
    <row r="54">
      <c r="A54" s="31" t="s">
        <v>37</v>
      </c>
      <c r="B54" s="45" t="s">
        <v>38</v>
      </c>
      <c r="C54" s="27" t="s">
        <v>17</v>
      </c>
      <c r="D54" s="28">
        <v>39191.0</v>
      </c>
      <c r="E54" s="17">
        <f>IF(COUNTIF(Sheet14!A:A, A54)&gt;0, 1, 0)</f>
        <v>1</v>
      </c>
      <c r="F54" s="17">
        <f t="shared" si="1"/>
        <v>78382</v>
      </c>
    </row>
    <row r="55">
      <c r="A55" s="14" t="s">
        <v>409</v>
      </c>
      <c r="B55" s="14" t="s">
        <v>410</v>
      </c>
      <c r="C55" s="14" t="s">
        <v>17</v>
      </c>
      <c r="D55" s="25">
        <v>38320.0</v>
      </c>
      <c r="E55" s="17">
        <f>IF(COUNTIF(Sheet14!A:A, A55)&gt;0, 1, 0)</f>
        <v>0</v>
      </c>
      <c r="F55" s="17">
        <f t="shared" si="1"/>
        <v>38320</v>
      </c>
    </row>
    <row r="56">
      <c r="A56" s="14" t="s">
        <v>452</v>
      </c>
      <c r="B56" s="14" t="s">
        <v>453</v>
      </c>
      <c r="C56" s="14" t="s">
        <v>17</v>
      </c>
      <c r="D56" s="25">
        <v>37110.0</v>
      </c>
      <c r="E56" s="17">
        <f>IF(COUNTIF(Sheet14!A:A, A56)&gt;0, 1, 0)</f>
        <v>0</v>
      </c>
      <c r="F56" s="17">
        <f t="shared" si="1"/>
        <v>37110</v>
      </c>
    </row>
    <row r="57">
      <c r="A57" s="14" t="s">
        <v>436</v>
      </c>
      <c r="B57" s="14" t="s">
        <v>437</v>
      </c>
      <c r="C57" s="14" t="s">
        <v>17</v>
      </c>
      <c r="D57" s="7">
        <v>32530.0</v>
      </c>
      <c r="E57" s="17">
        <f>IF(COUNTIF(Sheet14!A:A, A57)&gt;0, 1, 0)</f>
        <v>0</v>
      </c>
      <c r="F57" s="17">
        <f t="shared" si="1"/>
        <v>32530</v>
      </c>
    </row>
    <row r="58">
      <c r="A58" s="14" t="s">
        <v>345</v>
      </c>
      <c r="B58" s="14" t="s">
        <v>346</v>
      </c>
      <c r="C58" s="14" t="s">
        <v>31</v>
      </c>
      <c r="D58" s="25">
        <v>31856.0</v>
      </c>
      <c r="E58" s="17">
        <f>IF(COUNTIF(Sheet14!A:A, A58)&gt;0, 1, 0)</f>
        <v>0</v>
      </c>
      <c r="F58" s="17">
        <f t="shared" si="1"/>
        <v>31856</v>
      </c>
    </row>
    <row r="59">
      <c r="A59" s="14" t="s">
        <v>317</v>
      </c>
      <c r="B59" s="14" t="s">
        <v>318</v>
      </c>
      <c r="C59" s="14" t="s">
        <v>17</v>
      </c>
      <c r="D59" s="7">
        <v>31790.0</v>
      </c>
      <c r="E59" s="17">
        <f>IF(COUNTIF(Sheet14!A:A, A59)&gt;0, 1, 0)</f>
        <v>0</v>
      </c>
      <c r="F59" s="17">
        <f t="shared" si="1"/>
        <v>31790</v>
      </c>
    </row>
    <row r="60">
      <c r="A60" s="2" t="s">
        <v>172</v>
      </c>
      <c r="B60" s="2" t="s">
        <v>173</v>
      </c>
      <c r="C60" s="6" t="s">
        <v>107</v>
      </c>
      <c r="D60" s="7">
        <v>29887.0</v>
      </c>
      <c r="E60" s="17">
        <f>IF(COUNTIF(Sheet14!A:A, A60)&gt;0, 1, 0)</f>
        <v>0</v>
      </c>
      <c r="F60" s="17">
        <f t="shared" si="1"/>
        <v>29887</v>
      </c>
    </row>
    <row r="61">
      <c r="A61" s="2" t="s">
        <v>1</v>
      </c>
      <c r="B61" s="2" t="s">
        <v>133</v>
      </c>
      <c r="C61" s="6" t="s">
        <v>61</v>
      </c>
      <c r="D61" s="7">
        <v>25000.0</v>
      </c>
      <c r="E61" s="17">
        <f>IF(COUNTIF(Sheet14!A:A, A61)&gt;0, 1, 0)</f>
        <v>0</v>
      </c>
      <c r="F61" s="17">
        <f t="shared" si="1"/>
        <v>25000</v>
      </c>
    </row>
    <row r="62">
      <c r="A62" s="14" t="s">
        <v>456</v>
      </c>
      <c r="B62" s="14" t="s">
        <v>457</v>
      </c>
      <c r="C62" s="14" t="s">
        <v>17</v>
      </c>
      <c r="D62" s="25">
        <v>23487.0</v>
      </c>
      <c r="E62" s="17">
        <f>IF(COUNTIF(Sheet14!A:A, A62)&gt;0, 1, 0)</f>
        <v>0</v>
      </c>
      <c r="F62" s="17">
        <f t="shared" si="1"/>
        <v>23487</v>
      </c>
    </row>
    <row r="63">
      <c r="A63" s="14" t="s">
        <v>360</v>
      </c>
      <c r="B63" s="14" t="s">
        <v>361</v>
      </c>
      <c r="C63" s="14" t="s">
        <v>31</v>
      </c>
      <c r="D63" s="25">
        <v>22489.0</v>
      </c>
      <c r="E63" s="17">
        <f>IF(COUNTIF(Sheet14!A:A, A63)&gt;0, 1, 0)</f>
        <v>0</v>
      </c>
      <c r="F63" s="17">
        <f t="shared" si="1"/>
        <v>22489</v>
      </c>
    </row>
    <row r="64">
      <c r="A64" s="14" t="s">
        <v>339</v>
      </c>
      <c r="B64" s="14" t="s">
        <v>340</v>
      </c>
      <c r="C64" s="14" t="s">
        <v>31</v>
      </c>
      <c r="D64" s="25">
        <v>21220.0</v>
      </c>
      <c r="E64" s="17">
        <f>IF(COUNTIF(Sheet14!A:A, A64)&gt;0, 1, 0)</f>
        <v>0</v>
      </c>
      <c r="F64" s="17">
        <f t="shared" si="1"/>
        <v>21220</v>
      </c>
    </row>
    <row r="65">
      <c r="A65" s="14" t="s">
        <v>536</v>
      </c>
      <c r="B65" s="14" t="s">
        <v>537</v>
      </c>
      <c r="C65" s="14" t="s">
        <v>17</v>
      </c>
      <c r="D65" s="15">
        <v>20282.0</v>
      </c>
      <c r="E65" s="17">
        <f>IF(COUNTIF(Sheet14!A:A, A65)&gt;0, 1, 0)</f>
        <v>1</v>
      </c>
      <c r="F65" s="17">
        <f t="shared" si="1"/>
        <v>40564</v>
      </c>
    </row>
    <row r="66">
      <c r="A66" s="14" t="s">
        <v>256</v>
      </c>
      <c r="B66" s="14" t="s">
        <v>257</v>
      </c>
      <c r="C66" s="14" t="s">
        <v>17</v>
      </c>
      <c r="D66" s="7">
        <v>18985.0</v>
      </c>
      <c r="E66" s="17">
        <f>IF(COUNTIF(Sheet14!A:A, A66)&gt;0, 1, 0)</f>
        <v>0</v>
      </c>
      <c r="F66" s="17">
        <f t="shared" si="1"/>
        <v>18985</v>
      </c>
    </row>
    <row r="67">
      <c r="A67" s="14" t="s">
        <v>427</v>
      </c>
      <c r="B67" s="14" t="s">
        <v>257</v>
      </c>
      <c r="C67" s="14" t="s">
        <v>17</v>
      </c>
      <c r="D67" s="25">
        <v>18985.0</v>
      </c>
      <c r="E67" s="17">
        <f>IF(COUNTIF(Sheet14!A:A, A67)&gt;0, 1, 0)</f>
        <v>0</v>
      </c>
      <c r="F67" s="17">
        <f t="shared" si="1"/>
        <v>18985</v>
      </c>
    </row>
    <row r="68">
      <c r="A68" s="14" t="s">
        <v>404</v>
      </c>
      <c r="B68" s="14" t="s">
        <v>405</v>
      </c>
      <c r="C68" s="14" t="s">
        <v>31</v>
      </c>
      <c r="D68" s="25">
        <v>18942.0</v>
      </c>
      <c r="E68" s="17">
        <f>IF(COUNTIF(Sheet14!A:A, A68)&gt;0, 1, 0)</f>
        <v>0</v>
      </c>
      <c r="F68" s="17">
        <f t="shared" si="1"/>
        <v>18942</v>
      </c>
    </row>
    <row r="69">
      <c r="A69" s="14" t="s">
        <v>416</v>
      </c>
      <c r="B69" s="14" t="s">
        <v>418</v>
      </c>
      <c r="C69" s="14" t="s">
        <v>107</v>
      </c>
      <c r="D69" s="7">
        <v>18218.0</v>
      </c>
      <c r="E69" s="17">
        <f>IF(COUNTIF(Sheet14!A:A, A69)&gt;0, 1, 0)</f>
        <v>0</v>
      </c>
      <c r="F69" s="17">
        <f t="shared" si="1"/>
        <v>18218</v>
      </c>
    </row>
    <row r="70">
      <c r="A70" s="14" t="s">
        <v>411</v>
      </c>
      <c r="B70" s="14" t="s">
        <v>412</v>
      </c>
      <c r="C70" s="14" t="s">
        <v>31</v>
      </c>
      <c r="D70" s="7">
        <v>18202.0</v>
      </c>
      <c r="E70" s="17">
        <f>IF(COUNTIF(Sheet14!A:A, A70)&gt;0, 1, 0)</f>
        <v>0</v>
      </c>
      <c r="F70" s="17">
        <f t="shared" si="1"/>
        <v>18202</v>
      </c>
    </row>
    <row r="71">
      <c r="A71" s="2" t="s">
        <v>140</v>
      </c>
      <c r="B71" s="2" t="s">
        <v>141</v>
      </c>
      <c r="C71" s="6" t="s">
        <v>81</v>
      </c>
      <c r="D71" s="7">
        <v>18000.0</v>
      </c>
      <c r="E71" s="17">
        <f>IF(COUNTIF(Sheet14!A:A, A71)&gt;0, 1, 0)</f>
        <v>0</v>
      </c>
      <c r="F71" s="17">
        <f t="shared" si="1"/>
        <v>18000</v>
      </c>
    </row>
    <row r="72">
      <c r="A72" s="4" t="s">
        <v>136</v>
      </c>
      <c r="B72" s="2" t="s">
        <v>137</v>
      </c>
      <c r="C72" s="2" t="s">
        <v>64</v>
      </c>
      <c r="D72" s="7">
        <v>16577.0</v>
      </c>
      <c r="E72" s="17">
        <f>IF(COUNTIF(Sheet14!A:A, A72)&gt;0, 1, 0)</f>
        <v>0</v>
      </c>
      <c r="F72" s="17">
        <f t="shared" si="1"/>
        <v>16577</v>
      </c>
    </row>
    <row r="73">
      <c r="A73" s="14" t="s">
        <v>490</v>
      </c>
      <c r="B73" s="14" t="s">
        <v>491</v>
      </c>
      <c r="C73" s="14" t="s">
        <v>54</v>
      </c>
      <c r="D73" s="7">
        <v>15942.0</v>
      </c>
      <c r="E73" s="17">
        <f>IF(COUNTIF(Sheet14!A:A, A73)&gt;0, 1, 0)</f>
        <v>0</v>
      </c>
      <c r="F73" s="17">
        <f t="shared" si="1"/>
        <v>15942</v>
      </c>
    </row>
    <row r="74">
      <c r="A74" s="4" t="s">
        <v>152</v>
      </c>
      <c r="B74" s="2" t="s">
        <v>153</v>
      </c>
      <c r="C74" s="6" t="s">
        <v>81</v>
      </c>
      <c r="D74" s="7">
        <v>15146.0</v>
      </c>
      <c r="E74" s="17">
        <f>IF(COUNTIF(Sheet14!A:A, A74)&gt;0, 1, 0)</f>
        <v>0</v>
      </c>
      <c r="F74" s="17">
        <f t="shared" si="1"/>
        <v>15146</v>
      </c>
    </row>
    <row r="75">
      <c r="A75" s="4" t="s">
        <v>143</v>
      </c>
      <c r="B75" s="2" t="s">
        <v>144</v>
      </c>
      <c r="C75" s="12" t="s">
        <v>100</v>
      </c>
      <c r="D75" s="7">
        <v>14813.0</v>
      </c>
      <c r="E75" s="17">
        <f>IF(COUNTIF(Sheet14!A:A, A75)&gt;0, 1, 0)</f>
        <v>0</v>
      </c>
      <c r="F75" s="17">
        <f t="shared" si="1"/>
        <v>14813</v>
      </c>
    </row>
    <row r="76">
      <c r="A76" s="4" t="s">
        <v>149</v>
      </c>
      <c r="B76" s="2" t="s">
        <v>150</v>
      </c>
      <c r="C76" s="12" t="s">
        <v>100</v>
      </c>
      <c r="D76" s="7">
        <v>14430.0</v>
      </c>
      <c r="E76" s="17">
        <f>IF(COUNTIF(Sheet14!A:A, A76)&gt;0, 1, 0)</f>
        <v>0</v>
      </c>
      <c r="F76" s="17">
        <f t="shared" si="1"/>
        <v>14430</v>
      </c>
    </row>
    <row r="77">
      <c r="A77" s="4" t="s">
        <v>155</v>
      </c>
      <c r="B77" s="2" t="s">
        <v>156</v>
      </c>
      <c r="C77" s="6" t="s">
        <v>81</v>
      </c>
      <c r="D77" s="7">
        <v>10466.0</v>
      </c>
      <c r="E77" s="17">
        <f>IF(COUNTIF(Sheet14!A:A, A77)&gt;0, 1, 0)</f>
        <v>0</v>
      </c>
      <c r="F77" s="17">
        <f t="shared" si="1"/>
        <v>10466</v>
      </c>
    </row>
    <row r="78">
      <c r="A78" s="14" t="s">
        <v>442</v>
      </c>
      <c r="B78" s="14" t="s">
        <v>443</v>
      </c>
      <c r="C78" s="14" t="s">
        <v>64</v>
      </c>
      <c r="D78" s="25">
        <v>10379.0</v>
      </c>
      <c r="E78" s="17">
        <f>IF(COUNTIF(Sheet14!A:A, A78)&gt;0, 1, 0)</f>
        <v>0</v>
      </c>
      <c r="F78" s="17">
        <f t="shared" si="1"/>
        <v>10379</v>
      </c>
    </row>
    <row r="79">
      <c r="A79" s="14" t="s">
        <v>336</v>
      </c>
      <c r="B79" s="14" t="s">
        <v>337</v>
      </c>
      <c r="C79" s="14" t="s">
        <v>31</v>
      </c>
      <c r="D79" s="25">
        <v>9534.0</v>
      </c>
      <c r="E79" s="17">
        <f>IF(COUNTIF(Sheet14!A:A, A79)&gt;0, 1, 0)</f>
        <v>0</v>
      </c>
      <c r="F79" s="17">
        <f t="shared" si="1"/>
        <v>9534</v>
      </c>
    </row>
    <row r="80">
      <c r="A80" s="2" t="s">
        <v>160</v>
      </c>
      <c r="B80" s="2" t="s">
        <v>161</v>
      </c>
      <c r="C80" s="6" t="s">
        <v>81</v>
      </c>
      <c r="D80" s="7">
        <v>9125.0</v>
      </c>
      <c r="E80" s="17">
        <f>IF(COUNTIF(Sheet14!A:A, A80)&gt;0, 1, 0)</f>
        <v>0</v>
      </c>
      <c r="F80" s="17">
        <f t="shared" si="1"/>
        <v>9125</v>
      </c>
    </row>
    <row r="81">
      <c r="A81" s="4" t="s">
        <v>158</v>
      </c>
      <c r="B81" s="2" t="s">
        <v>159</v>
      </c>
      <c r="C81" s="6" t="s">
        <v>81</v>
      </c>
      <c r="D81" s="7">
        <v>8710.0</v>
      </c>
      <c r="E81" s="17">
        <f>IF(COUNTIF(Sheet14!A:A, A81)&gt;0, 1, 0)</f>
        <v>0</v>
      </c>
      <c r="F81" s="17">
        <f t="shared" si="1"/>
        <v>8710</v>
      </c>
    </row>
    <row r="82">
      <c r="A82" s="14" t="s">
        <v>424</v>
      </c>
      <c r="B82" s="14" t="s">
        <v>425</v>
      </c>
      <c r="C82" s="14" t="s">
        <v>107</v>
      </c>
      <c r="D82" s="25">
        <v>8037.0</v>
      </c>
      <c r="E82" s="17">
        <f>IF(COUNTIF(Sheet14!A:A, A82)&gt;0, 1, 0)</f>
        <v>0</v>
      </c>
      <c r="F82" s="17">
        <f t="shared" si="1"/>
        <v>8037</v>
      </c>
    </row>
    <row r="83">
      <c r="A83" s="2" t="s">
        <v>162</v>
      </c>
      <c r="B83" s="2" t="s">
        <v>163</v>
      </c>
      <c r="C83" s="6" t="s">
        <v>81</v>
      </c>
      <c r="D83" s="7">
        <v>7470.0</v>
      </c>
      <c r="E83" s="17">
        <f>IF(COUNTIF(Sheet14!A:A, A83)&gt;0, 1, 0)</f>
        <v>0</v>
      </c>
      <c r="F83" s="17">
        <f t="shared" si="1"/>
        <v>7470</v>
      </c>
    </row>
    <row r="84">
      <c r="A84" s="14" t="s">
        <v>293</v>
      </c>
      <c r="B84" s="14" t="s">
        <v>295</v>
      </c>
      <c r="C84" s="14" t="s">
        <v>31</v>
      </c>
      <c r="D84" s="7">
        <v>6814.0</v>
      </c>
      <c r="E84" s="17">
        <f>IF(COUNTIF(Sheet14!A:A, A84)&gt;0, 1, 0)</f>
        <v>0</v>
      </c>
      <c r="F84" s="17">
        <f t="shared" si="1"/>
        <v>6814</v>
      </c>
    </row>
    <row r="85">
      <c r="A85" s="14" t="s">
        <v>305</v>
      </c>
      <c r="B85" s="14" t="s">
        <v>306</v>
      </c>
      <c r="C85" s="12" t="s">
        <v>81</v>
      </c>
      <c r="D85" s="7">
        <v>6671.0</v>
      </c>
      <c r="E85" s="17">
        <f>IF(COUNTIF(Sheet14!A:A, A85)&gt;0, 1, 0)</f>
        <v>0</v>
      </c>
      <c r="F85" s="17">
        <f t="shared" si="1"/>
        <v>6671</v>
      </c>
    </row>
    <row r="86">
      <c r="A86" s="14" t="s">
        <v>302</v>
      </c>
      <c r="B86" s="14" t="s">
        <v>303</v>
      </c>
      <c r="C86" s="12" t="s">
        <v>81</v>
      </c>
      <c r="D86" s="7">
        <v>5202.0</v>
      </c>
      <c r="E86" s="17">
        <f>IF(COUNTIF(Sheet14!A:A, A86)&gt;0, 1, 0)</f>
        <v>0</v>
      </c>
      <c r="F86" s="17">
        <f t="shared" si="1"/>
        <v>5202</v>
      </c>
    </row>
    <row r="87">
      <c r="A87" s="14" t="s">
        <v>377</v>
      </c>
      <c r="B87" s="14" t="s">
        <v>378</v>
      </c>
      <c r="C87" s="14" t="s">
        <v>17</v>
      </c>
      <c r="D87" s="7">
        <v>3861.0</v>
      </c>
      <c r="E87" s="17">
        <f>IF(COUNTIF(Sheet14!A:A, A87)&gt;0, 1, 0)</f>
        <v>0</v>
      </c>
      <c r="F87" s="17">
        <f t="shared" si="1"/>
        <v>3861</v>
      </c>
    </row>
    <row r="88">
      <c r="A88" s="14" t="s">
        <v>358</v>
      </c>
      <c r="B88" s="14" t="s">
        <v>359</v>
      </c>
      <c r="C88" s="14" t="s">
        <v>31</v>
      </c>
      <c r="D88" s="25">
        <v>3844.0</v>
      </c>
      <c r="E88" s="17">
        <f>IF(COUNTIF(Sheet14!A:A, A88)&gt;0, 1, 0)</f>
        <v>0</v>
      </c>
      <c r="F88" s="17">
        <f t="shared" si="1"/>
        <v>3844</v>
      </c>
    </row>
    <row r="89">
      <c r="A89" s="2" t="s">
        <v>166</v>
      </c>
      <c r="B89" s="2" t="s">
        <v>167</v>
      </c>
      <c r="C89" s="6" t="s">
        <v>81</v>
      </c>
      <c r="D89" s="7">
        <v>3368.0</v>
      </c>
      <c r="E89" s="17">
        <f>IF(COUNTIF(Sheet14!A:A, A89)&gt;0, 1, 0)</f>
        <v>0</v>
      </c>
      <c r="F89" s="17">
        <f t="shared" si="1"/>
        <v>3368</v>
      </c>
    </row>
    <row r="90">
      <c r="A90" s="14" t="s">
        <v>400</v>
      </c>
      <c r="B90" s="14" t="s">
        <v>401</v>
      </c>
      <c r="C90" s="14" t="s">
        <v>31</v>
      </c>
      <c r="D90" s="7">
        <v>2780.0</v>
      </c>
      <c r="E90" s="17">
        <f>IF(COUNTIF(Sheet14!A:A, A90)&gt;0, 1, 0)</f>
        <v>0</v>
      </c>
      <c r="F90" s="17">
        <f t="shared" si="1"/>
        <v>2780</v>
      </c>
    </row>
    <row r="91">
      <c r="A91" s="14" t="s">
        <v>472</v>
      </c>
      <c r="B91" s="14" t="s">
        <v>473</v>
      </c>
      <c r="C91" s="14" t="s">
        <v>61</v>
      </c>
      <c r="D91" s="7">
        <v>2770.0</v>
      </c>
      <c r="E91" s="17">
        <f>IF(COUNTIF(Sheet14!A:A, A91)&gt;0, 1, 0)</f>
        <v>0</v>
      </c>
      <c r="F91" s="17">
        <f t="shared" si="1"/>
        <v>2770</v>
      </c>
    </row>
    <row r="92">
      <c r="A92" s="14" t="s">
        <v>321</v>
      </c>
      <c r="B92" s="14" t="s">
        <v>322</v>
      </c>
      <c r="C92" s="14" t="s">
        <v>17</v>
      </c>
      <c r="D92" s="25">
        <v>2400.0</v>
      </c>
      <c r="E92" s="17">
        <f>IF(COUNTIF(Sheet14!A:A, A92)&gt;0, 1, 0)</f>
        <v>0</v>
      </c>
      <c r="F92" s="17">
        <f t="shared" si="1"/>
        <v>2400</v>
      </c>
    </row>
    <row r="93">
      <c r="A93" s="14" t="s">
        <v>382</v>
      </c>
      <c r="B93" s="14" t="s">
        <v>384</v>
      </c>
      <c r="C93" s="14" t="s">
        <v>100</v>
      </c>
      <c r="D93" s="7">
        <v>2256.0</v>
      </c>
      <c r="E93" s="17">
        <f>IF(COUNTIF(Sheet14!A:A, A93)&gt;0, 1, 0)</f>
        <v>0</v>
      </c>
      <c r="F93" s="17">
        <f t="shared" si="1"/>
        <v>2256</v>
      </c>
    </row>
    <row r="94">
      <c r="A94" s="14" t="s">
        <v>323</v>
      </c>
      <c r="B94" s="14" t="s">
        <v>324</v>
      </c>
      <c r="C94" s="14" t="s">
        <v>61</v>
      </c>
      <c r="D94" s="25">
        <v>2031.0</v>
      </c>
      <c r="E94" s="17">
        <f>IF(COUNTIF(Sheet14!A:A, A94)&gt;0, 1, 0)</f>
        <v>0</v>
      </c>
      <c r="F94" s="17">
        <f t="shared" si="1"/>
        <v>2031</v>
      </c>
    </row>
    <row r="95">
      <c r="A95" s="14" t="s">
        <v>466</v>
      </c>
      <c r="B95" s="14" t="s">
        <v>467</v>
      </c>
      <c r="C95" s="14" t="s">
        <v>61</v>
      </c>
      <c r="D95" s="25">
        <v>1695.0</v>
      </c>
      <c r="E95" s="17">
        <f>IF(COUNTIF(Sheet14!A:A, A95)&gt;0, 1, 0)</f>
        <v>0</v>
      </c>
      <c r="F95" s="17">
        <f t="shared" si="1"/>
        <v>1695</v>
      </c>
    </row>
    <row r="96">
      <c r="A96" s="14" t="s">
        <v>431</v>
      </c>
      <c r="B96" s="14" t="s">
        <v>433</v>
      </c>
      <c r="C96" s="14" t="s">
        <v>17</v>
      </c>
      <c r="D96" s="25">
        <v>1555.0</v>
      </c>
      <c r="E96" s="17">
        <f>IF(COUNTIF(Sheet14!A:A, A96)&gt;0, 1, 0)</f>
        <v>0</v>
      </c>
      <c r="F96" s="17">
        <f t="shared" si="1"/>
        <v>1555</v>
      </c>
    </row>
    <row r="97">
      <c r="A97" s="14" t="s">
        <v>434</v>
      </c>
      <c r="B97" s="14" t="s">
        <v>435</v>
      </c>
      <c r="C97" s="14" t="s">
        <v>17</v>
      </c>
      <c r="D97" s="7">
        <v>1258.0</v>
      </c>
      <c r="E97" s="17">
        <f>IF(COUNTIF(Sheet14!A:A, A97)&gt;0, 1, 0)</f>
        <v>0</v>
      </c>
      <c r="F97" s="17">
        <f t="shared" si="1"/>
        <v>1258</v>
      </c>
    </row>
    <row r="98">
      <c r="A98" s="14" t="s">
        <v>350</v>
      </c>
      <c r="B98" s="14" t="s">
        <v>351</v>
      </c>
      <c r="C98" s="14" t="s">
        <v>81</v>
      </c>
      <c r="D98" s="25">
        <v>1257.0</v>
      </c>
      <c r="E98" s="17">
        <f>IF(COUNTIF(Sheet14!A:A, A98)&gt;0, 1, 0)</f>
        <v>0</v>
      </c>
      <c r="F98" s="17">
        <f t="shared" si="1"/>
        <v>1257</v>
      </c>
    </row>
    <row r="99">
      <c r="A99" s="14" t="s">
        <v>444</v>
      </c>
      <c r="B99" s="14" t="s">
        <v>445</v>
      </c>
      <c r="C99" s="14" t="s">
        <v>64</v>
      </c>
      <c r="D99" s="25">
        <v>1211.0</v>
      </c>
      <c r="E99" s="17">
        <f>IF(COUNTIF(Sheet14!A:A, A99)&gt;0, 1, 0)</f>
        <v>0</v>
      </c>
      <c r="F99" s="17">
        <f t="shared" si="1"/>
        <v>1211</v>
      </c>
    </row>
    <row r="100">
      <c r="A100" s="2" t="s">
        <v>164</v>
      </c>
      <c r="B100" s="2" t="s">
        <v>165</v>
      </c>
      <c r="C100" s="12" t="s">
        <v>100</v>
      </c>
      <c r="D100" s="7">
        <v>1200.0</v>
      </c>
      <c r="E100" s="17">
        <f>IF(COUNTIF(Sheet14!A:A, A100)&gt;0, 1, 0)</f>
        <v>0</v>
      </c>
      <c r="F100" s="17">
        <f t="shared" si="1"/>
        <v>1200</v>
      </c>
    </row>
    <row r="101">
      <c r="A101" s="14" t="s">
        <v>478</v>
      </c>
      <c r="B101" s="14" t="s">
        <v>479</v>
      </c>
      <c r="C101" s="14" t="s">
        <v>61</v>
      </c>
      <c r="D101" s="7">
        <v>1144.0</v>
      </c>
      <c r="E101" s="17">
        <f>IF(COUNTIF(Sheet14!A:A, A101)&gt;0, 1, 0)</f>
        <v>0</v>
      </c>
      <c r="F101" s="17">
        <f t="shared" si="1"/>
        <v>1144</v>
      </c>
    </row>
    <row r="102">
      <c r="A102" s="22" t="s">
        <v>532</v>
      </c>
      <c r="B102" s="22" t="s">
        <v>533</v>
      </c>
      <c r="C102" s="22" t="s">
        <v>17</v>
      </c>
      <c r="D102" s="30">
        <v>1120.0</v>
      </c>
      <c r="E102" s="17">
        <f>IF(COUNTIF(Sheet14!A:A, A102)&gt;0, 1, 0)</f>
        <v>1</v>
      </c>
      <c r="F102" s="17">
        <f t="shared" si="1"/>
        <v>2240</v>
      </c>
    </row>
    <row r="103">
      <c r="A103" s="14" t="s">
        <v>308</v>
      </c>
      <c r="B103" s="14" t="s">
        <v>309</v>
      </c>
      <c r="C103" s="14" t="s">
        <v>61</v>
      </c>
      <c r="D103" s="7">
        <v>1007.0</v>
      </c>
      <c r="E103" s="17">
        <f>IF(COUNTIF(Sheet14!A:A, A103)&gt;0, 1, 0)</f>
        <v>0</v>
      </c>
      <c r="F103" s="17">
        <f t="shared" si="1"/>
        <v>1007</v>
      </c>
    </row>
    <row r="104">
      <c r="A104" s="4" t="s">
        <v>193</v>
      </c>
      <c r="B104" s="2" t="s">
        <v>194</v>
      </c>
      <c r="C104" s="12" t="s">
        <v>100</v>
      </c>
      <c r="D104" s="7">
        <v>970.0</v>
      </c>
      <c r="E104" s="17">
        <f>IF(COUNTIF(Sheet14!A:A, A104)&gt;0, 1, 0)</f>
        <v>0</v>
      </c>
      <c r="F104" s="17">
        <f t="shared" si="1"/>
        <v>970</v>
      </c>
    </row>
    <row r="105">
      <c r="A105" s="4" t="s">
        <v>169</v>
      </c>
      <c r="B105" s="2" t="s">
        <v>170</v>
      </c>
      <c r="C105" s="12" t="s">
        <v>171</v>
      </c>
      <c r="D105" s="7">
        <v>918.0</v>
      </c>
      <c r="E105" s="17">
        <f>IF(COUNTIF(Sheet14!A:A, A105)&gt;0, 1, 0)</f>
        <v>0</v>
      </c>
      <c r="F105" s="17">
        <f t="shared" si="1"/>
        <v>918</v>
      </c>
    </row>
    <row r="106">
      <c r="A106" s="14" t="s">
        <v>274</v>
      </c>
      <c r="B106" s="14" t="s">
        <v>275</v>
      </c>
      <c r="C106" s="14" t="s">
        <v>31</v>
      </c>
      <c r="D106" s="15">
        <v>902.0</v>
      </c>
      <c r="E106" s="17">
        <f>IF(COUNTIF(Sheet14!A:A, A106)&gt;0, 1, 0)</f>
        <v>0</v>
      </c>
      <c r="F106" s="33">
        <f t="shared" si="1"/>
        <v>902</v>
      </c>
    </row>
    <row r="107">
      <c r="A107" s="22" t="s">
        <v>238</v>
      </c>
      <c r="B107" s="22" t="s">
        <v>239</v>
      </c>
      <c r="C107" s="27" t="s">
        <v>81</v>
      </c>
      <c r="D107" s="28">
        <v>821.0</v>
      </c>
      <c r="E107" s="17">
        <f>IF(COUNTIF(Sheet14!A:A, A107)&gt;0, 1, 0)</f>
        <v>0</v>
      </c>
      <c r="F107" s="17">
        <f t="shared" si="1"/>
        <v>821</v>
      </c>
    </row>
    <row r="108">
      <c r="A108" s="2" t="s">
        <v>184</v>
      </c>
      <c r="B108" s="2" t="s">
        <v>185</v>
      </c>
      <c r="C108" s="12" t="s">
        <v>100</v>
      </c>
      <c r="D108" s="7">
        <v>800.0</v>
      </c>
      <c r="E108" s="17">
        <f>IF(COUNTIF(Sheet14!A:A, A108)&gt;0, 1, 0)</f>
        <v>0</v>
      </c>
      <c r="F108" s="17">
        <f t="shared" si="1"/>
        <v>800</v>
      </c>
    </row>
    <row r="109">
      <c r="A109" s="2" t="s">
        <v>201</v>
      </c>
      <c r="B109" s="2" t="s">
        <v>202</v>
      </c>
      <c r="C109" s="12" t="s">
        <v>54</v>
      </c>
      <c r="D109" s="7">
        <v>780.0</v>
      </c>
      <c r="E109" s="17">
        <f>IF(COUNTIF(Sheet14!A:A, A109)&gt;0, 1, 0)</f>
        <v>0</v>
      </c>
      <c r="F109" s="17">
        <f t="shared" si="1"/>
        <v>780</v>
      </c>
    </row>
    <row r="110">
      <c r="A110" s="14" t="s">
        <v>485</v>
      </c>
      <c r="B110" s="14" t="s">
        <v>486</v>
      </c>
      <c r="C110" s="14" t="s">
        <v>54</v>
      </c>
      <c r="D110" s="25">
        <v>780.0</v>
      </c>
      <c r="E110" s="17">
        <f>IF(COUNTIF(Sheet14!A:A, A110)&gt;0, 1, 0)</f>
        <v>0</v>
      </c>
      <c r="F110" s="17">
        <f t="shared" si="1"/>
        <v>780</v>
      </c>
    </row>
    <row r="111">
      <c r="A111" s="2" t="s">
        <v>178</v>
      </c>
      <c r="B111" s="2" t="s">
        <v>179</v>
      </c>
      <c r="C111" s="6" t="s">
        <v>81</v>
      </c>
      <c r="D111" s="7">
        <v>686.0</v>
      </c>
      <c r="E111" s="17">
        <f>IF(COUNTIF(Sheet14!A:A, A111)&gt;0, 1, 0)</f>
        <v>0</v>
      </c>
      <c r="F111" s="17">
        <f t="shared" si="1"/>
        <v>686</v>
      </c>
    </row>
    <row r="112">
      <c r="A112" s="2" t="s">
        <v>186</v>
      </c>
      <c r="B112" s="2" t="s">
        <v>187</v>
      </c>
      <c r="C112" s="12" t="s">
        <v>100</v>
      </c>
      <c r="D112" s="7">
        <v>558.0</v>
      </c>
      <c r="E112" s="17">
        <f>IF(COUNTIF(Sheet14!A:A, A112)&gt;0, 1, 0)</f>
        <v>0</v>
      </c>
      <c r="F112" s="17">
        <f t="shared" si="1"/>
        <v>558</v>
      </c>
    </row>
    <row r="113">
      <c r="A113" s="14" t="s">
        <v>330</v>
      </c>
      <c r="B113" s="14" t="s">
        <v>332</v>
      </c>
      <c r="C113" s="14" t="s">
        <v>54</v>
      </c>
      <c r="D113" s="7">
        <v>536.0</v>
      </c>
      <c r="E113" s="17">
        <f>IF(COUNTIF(Sheet14!A:A, A113)&gt;0, 1, 0)</f>
        <v>0</v>
      </c>
      <c r="F113" s="17">
        <f t="shared" si="1"/>
        <v>536</v>
      </c>
    </row>
    <row r="114">
      <c r="A114" s="2" t="s">
        <v>189</v>
      </c>
      <c r="B114" s="2" t="s">
        <v>190</v>
      </c>
      <c r="C114" s="6" t="s">
        <v>81</v>
      </c>
      <c r="D114" s="7">
        <v>500.0</v>
      </c>
      <c r="E114" s="17">
        <f>IF(COUNTIF(Sheet14!A:A, A114)&gt;0, 1, 0)</f>
        <v>0</v>
      </c>
      <c r="F114" s="17">
        <f t="shared" si="1"/>
        <v>500</v>
      </c>
    </row>
    <row r="115">
      <c r="A115" s="4" t="s">
        <v>197</v>
      </c>
      <c r="B115" s="2" t="s">
        <v>198</v>
      </c>
      <c r="C115" s="12" t="s">
        <v>171</v>
      </c>
      <c r="D115" s="7">
        <v>500.0</v>
      </c>
      <c r="E115" s="17">
        <f>IF(COUNTIF(Sheet14!A:A, A115)&gt;0, 1, 0)</f>
        <v>0</v>
      </c>
      <c r="F115" s="17">
        <f t="shared" si="1"/>
        <v>500</v>
      </c>
    </row>
    <row r="116">
      <c r="A116" s="14" t="s">
        <v>469</v>
      </c>
      <c r="B116" s="14" t="s">
        <v>470</v>
      </c>
      <c r="C116" s="14" t="s">
        <v>61</v>
      </c>
      <c r="D116" s="25">
        <v>420.0</v>
      </c>
      <c r="E116" s="17">
        <f>IF(COUNTIF(Sheet14!A:A, A116)&gt;0, 1, 0)</f>
        <v>0</v>
      </c>
      <c r="F116" s="17">
        <f t="shared" si="1"/>
        <v>420</v>
      </c>
    </row>
    <row r="117">
      <c r="A117" s="2" t="s">
        <v>191</v>
      </c>
      <c r="B117" s="2" t="s">
        <v>192</v>
      </c>
      <c r="C117" s="12" t="s">
        <v>100</v>
      </c>
      <c r="D117" s="7">
        <v>397.0</v>
      </c>
      <c r="E117" s="17">
        <f>IF(COUNTIF(Sheet14!A:A, A117)&gt;0, 1, 0)</f>
        <v>0</v>
      </c>
      <c r="F117" s="17">
        <f t="shared" si="1"/>
        <v>397</v>
      </c>
    </row>
    <row r="118">
      <c r="A118" s="22" t="s">
        <v>511</v>
      </c>
      <c r="B118" s="22" t="s">
        <v>513</v>
      </c>
      <c r="C118" s="22" t="s">
        <v>17</v>
      </c>
      <c r="D118" s="36">
        <v>376.0</v>
      </c>
      <c r="E118" s="17">
        <f>IF(COUNTIF(Sheet14!A:A, A118)&gt;0, 1, 0)</f>
        <v>1</v>
      </c>
      <c r="F118" s="17">
        <f t="shared" si="1"/>
        <v>752</v>
      </c>
    </row>
    <row r="119">
      <c r="A119" s="14" t="s">
        <v>397</v>
      </c>
      <c r="B119" s="14" t="s">
        <v>398</v>
      </c>
      <c r="C119" s="14" t="s">
        <v>81</v>
      </c>
      <c r="D119" s="7">
        <v>348.0</v>
      </c>
      <c r="E119" s="17">
        <f>IF(COUNTIF(Sheet14!A:A, A119)&gt;0, 1, 0)</f>
        <v>0</v>
      </c>
      <c r="F119" s="17">
        <f t="shared" si="1"/>
        <v>348</v>
      </c>
    </row>
    <row r="120">
      <c r="A120" s="4" t="s">
        <v>205</v>
      </c>
      <c r="B120" s="2" t="s">
        <v>206</v>
      </c>
      <c r="C120" s="12" t="s">
        <v>100</v>
      </c>
      <c r="D120" s="7">
        <v>311.0</v>
      </c>
      <c r="E120" s="17">
        <f>IF(COUNTIF(Sheet14!A:A, A120)&gt;0, 1, 0)</f>
        <v>0</v>
      </c>
      <c r="F120" s="17">
        <f t="shared" si="1"/>
        <v>311</v>
      </c>
    </row>
    <row r="121">
      <c r="A121" s="2" t="s">
        <v>212</v>
      </c>
      <c r="B121" s="2" t="s">
        <v>213</v>
      </c>
      <c r="C121" s="12" t="s">
        <v>100</v>
      </c>
      <c r="D121" s="7">
        <v>303.0</v>
      </c>
      <c r="E121" s="17">
        <f>IF(COUNTIF(Sheet14!A:A, A121)&gt;0, 1, 0)</f>
        <v>0</v>
      </c>
      <c r="F121" s="17">
        <f t="shared" si="1"/>
        <v>303</v>
      </c>
    </row>
    <row r="122">
      <c r="A122" s="14" t="s">
        <v>388</v>
      </c>
      <c r="B122" s="14" t="s">
        <v>389</v>
      </c>
      <c r="C122" s="14" t="s">
        <v>17</v>
      </c>
      <c r="D122" s="7">
        <v>278.0</v>
      </c>
      <c r="E122" s="17">
        <f>IF(COUNTIF(Sheet14!A:A, A122)&gt;0, 1, 0)</f>
        <v>0</v>
      </c>
      <c r="F122" s="17">
        <f t="shared" si="1"/>
        <v>278</v>
      </c>
    </row>
    <row r="123">
      <c r="A123" s="2" t="s">
        <v>199</v>
      </c>
      <c r="B123" s="2" t="s">
        <v>200</v>
      </c>
      <c r="C123" s="6" t="s">
        <v>81</v>
      </c>
      <c r="D123" s="7">
        <v>245.0</v>
      </c>
      <c r="E123" s="17">
        <f>IF(COUNTIF(Sheet14!A:A, A123)&gt;0, 1, 0)</f>
        <v>0</v>
      </c>
      <c r="F123" s="17">
        <f t="shared" si="1"/>
        <v>245</v>
      </c>
    </row>
    <row r="124">
      <c r="A124" s="2" t="s">
        <v>221</v>
      </c>
      <c r="B124" s="2" t="s">
        <v>222</v>
      </c>
      <c r="C124" s="12" t="s">
        <v>100</v>
      </c>
      <c r="D124" s="7">
        <v>232.0</v>
      </c>
      <c r="E124" s="17">
        <f>IF(COUNTIF(Sheet14!A:A, A124)&gt;0, 1, 0)</f>
        <v>0</v>
      </c>
      <c r="F124" s="17">
        <f t="shared" si="1"/>
        <v>232</v>
      </c>
    </row>
    <row r="125">
      <c r="A125" s="14" t="s">
        <v>313</v>
      </c>
      <c r="B125" s="14" t="s">
        <v>314</v>
      </c>
      <c r="C125" s="14" t="s">
        <v>61</v>
      </c>
      <c r="D125" s="7">
        <v>200.0</v>
      </c>
      <c r="E125" s="17">
        <f>IF(COUNTIF(Sheet14!A:A, A125)&gt;0, 1, 0)</f>
        <v>0</v>
      </c>
      <c r="F125" s="17">
        <f t="shared" si="1"/>
        <v>200</v>
      </c>
    </row>
    <row r="126">
      <c r="A126" s="14" t="s">
        <v>310</v>
      </c>
      <c r="B126" s="14" t="s">
        <v>311</v>
      </c>
      <c r="C126" s="14" t="s">
        <v>61</v>
      </c>
      <c r="D126" s="7">
        <v>151.0</v>
      </c>
      <c r="E126" s="17">
        <f>IF(COUNTIF(Sheet14!A:A, A126)&gt;0, 1, 0)</f>
        <v>0</v>
      </c>
      <c r="F126" s="17">
        <f t="shared" si="1"/>
        <v>151</v>
      </c>
    </row>
    <row r="127">
      <c r="A127" s="2" t="s">
        <v>219</v>
      </c>
      <c r="B127" s="2" t="s">
        <v>220</v>
      </c>
      <c r="C127" s="6" t="s">
        <v>81</v>
      </c>
      <c r="D127" s="7">
        <v>139.0</v>
      </c>
      <c r="E127" s="17">
        <f>IF(COUNTIF(Sheet14!A:A, A127)&gt;0, 1, 0)</f>
        <v>0</v>
      </c>
      <c r="F127" s="17">
        <f t="shared" si="1"/>
        <v>139</v>
      </c>
    </row>
    <row r="128">
      <c r="A128" s="2" t="s">
        <v>203</v>
      </c>
      <c r="B128" s="2" t="s">
        <v>204</v>
      </c>
      <c r="C128" s="6" t="s">
        <v>81</v>
      </c>
      <c r="D128" s="7">
        <v>138.0</v>
      </c>
      <c r="E128" s="17">
        <f>IF(COUNTIF(Sheet14!A:A, A128)&gt;0, 1, 0)</f>
        <v>0</v>
      </c>
      <c r="F128" s="17">
        <f t="shared" si="1"/>
        <v>138</v>
      </c>
    </row>
    <row r="129">
      <c r="A129" s="2" t="s">
        <v>225</v>
      </c>
      <c r="B129" s="2" t="s">
        <v>226</v>
      </c>
      <c r="C129" s="12" t="s">
        <v>171</v>
      </c>
      <c r="D129" s="7">
        <v>117.0</v>
      </c>
      <c r="E129" s="17">
        <f>IF(COUNTIF(Sheet14!A:A, A129)&gt;0, 1, 0)</f>
        <v>0</v>
      </c>
      <c r="F129" s="17">
        <f t="shared" si="1"/>
        <v>117</v>
      </c>
    </row>
    <row r="130">
      <c r="A130" s="2" t="s">
        <v>208</v>
      </c>
      <c r="B130" s="2" t="s">
        <v>209</v>
      </c>
      <c r="C130" s="12" t="s">
        <v>100</v>
      </c>
      <c r="D130" s="7">
        <v>110.0</v>
      </c>
      <c r="E130" s="17">
        <f>IF(COUNTIF(Sheet14!A:A, A130)&gt;0, 1, 0)</f>
        <v>0</v>
      </c>
      <c r="F130" s="17">
        <f t="shared" si="1"/>
        <v>110</v>
      </c>
    </row>
    <row r="131">
      <c r="A131" s="2" t="s">
        <v>223</v>
      </c>
      <c r="B131" s="2" t="s">
        <v>224</v>
      </c>
      <c r="C131" s="12" t="s">
        <v>100</v>
      </c>
      <c r="D131" s="7">
        <v>48.0</v>
      </c>
      <c r="E131" s="17">
        <f>IF(COUNTIF(Sheet14!A:A, A131)&gt;0, 1, 0)</f>
        <v>0</v>
      </c>
      <c r="F131" s="17">
        <f t="shared" si="1"/>
        <v>48</v>
      </c>
    </row>
    <row r="132">
      <c r="A132" s="4" t="s">
        <v>230</v>
      </c>
      <c r="B132" s="2" t="s">
        <v>231</v>
      </c>
      <c r="C132" s="12" t="s">
        <v>100</v>
      </c>
      <c r="D132" s="7">
        <v>40.0</v>
      </c>
      <c r="E132" s="17">
        <f>IF(COUNTIF(Sheet14!A:A, A132)&gt;0, 1, 0)</f>
        <v>0</v>
      </c>
      <c r="F132" s="17">
        <f t="shared" si="1"/>
        <v>40</v>
      </c>
    </row>
    <row r="133">
      <c r="A133" s="4" t="s">
        <v>228</v>
      </c>
      <c r="B133" s="2" t="s">
        <v>229</v>
      </c>
      <c r="C133" s="12" t="s">
        <v>100</v>
      </c>
      <c r="D133" s="7">
        <v>28.0</v>
      </c>
      <c r="E133" s="17">
        <f>IF(COUNTIF(Sheet14!A:A, A133)&gt;0, 1, 0)</f>
        <v>0</v>
      </c>
      <c r="F133" s="17">
        <f t="shared" si="1"/>
        <v>28</v>
      </c>
    </row>
    <row r="134">
      <c r="A134" s="4" t="s">
        <v>232</v>
      </c>
      <c r="B134" s="2" t="s">
        <v>233</v>
      </c>
      <c r="C134" s="12" t="s">
        <v>100</v>
      </c>
      <c r="D134" s="7">
        <v>22.0</v>
      </c>
      <c r="E134" s="17">
        <f>IF(COUNTIF(Sheet14!A:A, A134)&gt;0, 1, 0)</f>
        <v>0</v>
      </c>
      <c r="F134" s="17">
        <f t="shared" si="1"/>
        <v>22</v>
      </c>
    </row>
    <row r="135">
      <c r="A135" s="2"/>
      <c r="B135" s="2"/>
      <c r="C135" s="2"/>
      <c r="D135" s="44"/>
    </row>
    <row r="136">
      <c r="A136" s="2"/>
      <c r="B136" s="2"/>
      <c r="C136" s="2"/>
      <c r="D136" s="44"/>
    </row>
    <row r="137">
      <c r="A137" s="2"/>
      <c r="B137" s="45"/>
      <c r="C137" s="2"/>
      <c r="D137" s="44"/>
    </row>
    <row r="138">
      <c r="A138" s="2"/>
      <c r="B138" s="2"/>
      <c r="C138" s="2"/>
      <c r="D138" s="44"/>
    </row>
    <row r="139">
      <c r="A139" s="2"/>
      <c r="B139" s="2"/>
      <c r="C139" s="2"/>
      <c r="D139" s="44"/>
    </row>
    <row r="140">
      <c r="A140" s="2"/>
      <c r="B140" s="2"/>
      <c r="C140" s="2"/>
      <c r="D140" s="44"/>
    </row>
    <row r="141">
      <c r="A141" s="2"/>
      <c r="B141" s="2"/>
      <c r="C141" s="2"/>
      <c r="D141" s="44"/>
    </row>
    <row r="142">
      <c r="A142" s="2"/>
      <c r="B142" s="2"/>
      <c r="C142" s="2"/>
      <c r="D142" s="44"/>
    </row>
    <row r="143">
      <c r="A143" s="2"/>
      <c r="B143" s="2"/>
      <c r="C143" s="2"/>
      <c r="D143" s="44"/>
    </row>
    <row r="144">
      <c r="A144" s="2"/>
      <c r="B144" s="2"/>
      <c r="C144" s="2"/>
      <c r="D144" s="44"/>
    </row>
    <row r="145">
      <c r="A145" s="2"/>
      <c r="B145" s="2"/>
      <c r="C145" s="2"/>
      <c r="D145" s="44"/>
    </row>
    <row r="146">
      <c r="A146" s="2"/>
      <c r="B146" s="2"/>
      <c r="C146" s="2"/>
      <c r="D146" s="44"/>
    </row>
    <row r="147">
      <c r="A147" s="2"/>
      <c r="B147" s="2"/>
      <c r="C147" s="2"/>
      <c r="D147" s="44"/>
    </row>
    <row r="148">
      <c r="A148" s="2"/>
      <c r="B148" s="2"/>
      <c r="C148" s="2"/>
      <c r="D148" s="44"/>
    </row>
    <row r="149">
      <c r="A149" s="2"/>
      <c r="B149" s="2"/>
      <c r="C149" s="2"/>
      <c r="D149" s="44"/>
    </row>
    <row r="150">
      <c r="A150" s="2"/>
      <c r="B150" s="2"/>
      <c r="C150" s="2"/>
      <c r="D150" s="44"/>
    </row>
    <row r="151">
      <c r="A151" s="2"/>
      <c r="B151" s="2"/>
      <c r="C151" s="2"/>
      <c r="D151" s="44"/>
    </row>
    <row r="152">
      <c r="A152" s="2"/>
      <c r="B152" s="2"/>
      <c r="C152" s="2"/>
      <c r="D152" s="44"/>
    </row>
    <row r="153">
      <c r="A153" s="2"/>
      <c r="B153" s="2"/>
      <c r="C153" s="2"/>
      <c r="D153" s="44"/>
    </row>
    <row r="154">
      <c r="A154" s="2"/>
      <c r="B154" s="2"/>
      <c r="C154" s="2"/>
      <c r="D154" s="44"/>
    </row>
    <row r="155">
      <c r="A155" s="2"/>
      <c r="B155" s="2"/>
      <c r="C155" s="2"/>
      <c r="D155" s="44"/>
    </row>
    <row r="156">
      <c r="A156" s="2"/>
      <c r="B156" s="2"/>
      <c r="C156" s="2"/>
      <c r="D156" s="44"/>
    </row>
    <row r="157">
      <c r="A157" s="2"/>
      <c r="B157" s="2"/>
      <c r="C157" s="2"/>
      <c r="D157" s="44"/>
    </row>
    <row r="158">
      <c r="A158" s="2"/>
      <c r="B158" s="2"/>
      <c r="C158" s="2"/>
      <c r="D158" s="44"/>
    </row>
    <row r="159">
      <c r="A159" s="2"/>
      <c r="B159" s="2"/>
      <c r="C159" s="2"/>
      <c r="D159" s="44"/>
    </row>
    <row r="160">
      <c r="A160" s="2"/>
      <c r="B160" s="2"/>
      <c r="C160" s="2"/>
      <c r="D160" s="44"/>
    </row>
    <row r="161">
      <c r="A161" s="2"/>
      <c r="B161" s="2"/>
      <c r="C161" s="2"/>
      <c r="D161" s="44"/>
    </row>
    <row r="162">
      <c r="A162" s="2"/>
      <c r="B162" s="2"/>
      <c r="C162" s="2"/>
      <c r="D162" s="44"/>
    </row>
    <row r="163">
      <c r="A163" s="2"/>
      <c r="B163" s="2"/>
      <c r="C163" s="2"/>
      <c r="D163" s="44"/>
    </row>
    <row r="164">
      <c r="A164" s="2"/>
      <c r="B164" s="2"/>
      <c r="C164" s="2"/>
      <c r="D164" s="44"/>
    </row>
    <row r="165">
      <c r="A165" s="2"/>
      <c r="B165" s="2"/>
      <c r="C165" s="2"/>
      <c r="D165" s="44"/>
    </row>
    <row r="166">
      <c r="A166" s="2"/>
      <c r="B166" s="2"/>
      <c r="C166" s="2"/>
      <c r="D166" s="44"/>
    </row>
    <row r="167">
      <c r="A167" s="2"/>
      <c r="B167" s="2"/>
      <c r="C167" s="2"/>
      <c r="D167" s="44"/>
    </row>
    <row r="168">
      <c r="A168" s="2"/>
      <c r="B168" s="2"/>
      <c r="C168" s="2"/>
      <c r="D168" s="44"/>
    </row>
    <row r="169">
      <c r="A169" s="2"/>
      <c r="B169" s="2"/>
      <c r="C169" s="2"/>
      <c r="D169" s="44"/>
    </row>
    <row r="170">
      <c r="A170" s="2"/>
      <c r="B170" s="2"/>
      <c r="C170" s="2"/>
      <c r="D170" s="44"/>
    </row>
    <row r="171">
      <c r="A171" s="2"/>
      <c r="B171" s="2"/>
      <c r="C171" s="2"/>
      <c r="D171" s="44"/>
    </row>
    <row r="172">
      <c r="A172" s="2"/>
      <c r="B172" s="2"/>
      <c r="C172" s="2"/>
      <c r="D172" s="44"/>
    </row>
    <row r="173">
      <c r="A173" s="2"/>
      <c r="B173" s="2"/>
      <c r="C173" s="2"/>
      <c r="D173" s="44"/>
    </row>
    <row r="174">
      <c r="A174" s="2"/>
      <c r="B174" s="2"/>
      <c r="C174" s="2"/>
      <c r="D174" s="44"/>
    </row>
    <row r="175">
      <c r="A175" s="2"/>
      <c r="B175" s="2"/>
      <c r="C175" s="2"/>
      <c r="D175" s="44"/>
    </row>
    <row r="176">
      <c r="A176" s="2"/>
      <c r="B176" s="2"/>
      <c r="C176" s="2"/>
      <c r="D176" s="44"/>
    </row>
    <row r="177">
      <c r="A177" s="2"/>
      <c r="B177" s="2"/>
      <c r="C177" s="2"/>
      <c r="D177" s="44"/>
    </row>
    <row r="178">
      <c r="A178" s="2"/>
      <c r="B178" s="2"/>
      <c r="C178" s="2"/>
      <c r="D178" s="44"/>
    </row>
    <row r="179">
      <c r="A179" s="2"/>
      <c r="B179" s="2"/>
      <c r="C179" s="2"/>
      <c r="D179" s="44"/>
    </row>
    <row r="180">
      <c r="A180" s="2"/>
      <c r="B180" s="2"/>
      <c r="C180" s="2"/>
      <c r="D180" s="44"/>
    </row>
    <row r="181">
      <c r="A181" s="2"/>
      <c r="B181" s="2"/>
      <c r="C181" s="2"/>
      <c r="D181" s="44"/>
    </row>
    <row r="182">
      <c r="A182" s="2"/>
      <c r="B182" s="2"/>
      <c r="C182" s="2"/>
      <c r="D182" s="44"/>
    </row>
    <row r="183">
      <c r="A183" s="2"/>
      <c r="B183" s="2"/>
      <c r="C183" s="2"/>
      <c r="D183" s="44"/>
    </row>
    <row r="184">
      <c r="A184" s="2"/>
      <c r="B184" s="2"/>
      <c r="C184" s="2"/>
      <c r="D184" s="44"/>
    </row>
    <row r="185">
      <c r="A185" s="2"/>
      <c r="B185" s="2"/>
      <c r="C185" s="2"/>
      <c r="D185" s="44"/>
    </row>
    <row r="186">
      <c r="A186" s="2"/>
      <c r="B186" s="2"/>
      <c r="C186" s="2"/>
      <c r="D186" s="44"/>
    </row>
    <row r="187">
      <c r="A187" s="2"/>
      <c r="B187" s="2"/>
      <c r="C187" s="2"/>
      <c r="D187" s="44"/>
    </row>
    <row r="188">
      <c r="A188" s="2"/>
      <c r="B188" s="2"/>
      <c r="C188" s="2"/>
      <c r="D188" s="44"/>
    </row>
    <row r="189">
      <c r="A189" s="2"/>
      <c r="B189" s="2"/>
      <c r="C189" s="2"/>
      <c r="D189" s="44"/>
    </row>
    <row r="190">
      <c r="A190" s="2"/>
      <c r="B190" s="2"/>
      <c r="C190" s="2"/>
      <c r="D190" s="44"/>
    </row>
    <row r="191">
      <c r="A191" s="2"/>
      <c r="B191" s="2"/>
      <c r="C191" s="2"/>
      <c r="D191" s="44"/>
    </row>
    <row r="192">
      <c r="A192" s="2"/>
      <c r="B192" s="2"/>
      <c r="C192" s="2"/>
      <c r="D192" s="44"/>
    </row>
    <row r="193">
      <c r="A193" s="2"/>
      <c r="B193" s="2"/>
      <c r="C193" s="2"/>
      <c r="D193" s="44"/>
    </row>
    <row r="194">
      <c r="A194" s="2"/>
      <c r="B194" s="2"/>
      <c r="C194" s="2"/>
      <c r="D194" s="44"/>
    </row>
    <row r="195">
      <c r="A195" s="2"/>
      <c r="B195" s="2"/>
      <c r="C195" s="2"/>
      <c r="D195" s="44"/>
    </row>
    <row r="196">
      <c r="A196" s="2"/>
      <c r="B196" s="2"/>
      <c r="C196" s="2"/>
      <c r="D196" s="44"/>
    </row>
    <row r="197">
      <c r="A197" s="2"/>
      <c r="B197" s="2"/>
      <c r="C197" s="2"/>
      <c r="D197" s="44"/>
    </row>
    <row r="198">
      <c r="A198" s="2"/>
      <c r="B198" s="2"/>
      <c r="C198" s="2"/>
      <c r="D198" s="44"/>
    </row>
    <row r="199">
      <c r="A199" s="2"/>
      <c r="B199" s="2"/>
      <c r="C199" s="2"/>
      <c r="D199" s="44"/>
    </row>
    <row r="200">
      <c r="A200" s="2"/>
      <c r="B200" s="2"/>
      <c r="C200" s="2"/>
      <c r="D200" s="44"/>
    </row>
    <row r="201">
      <c r="A201" s="2"/>
      <c r="B201" s="2"/>
      <c r="C201" s="2"/>
      <c r="D201" s="44"/>
    </row>
    <row r="202">
      <c r="A202" s="2"/>
      <c r="B202" s="2"/>
      <c r="C202" s="2"/>
      <c r="D202" s="44"/>
    </row>
    <row r="203">
      <c r="A203" s="2"/>
      <c r="B203" s="2"/>
      <c r="C203" s="2"/>
      <c r="D203" s="44"/>
    </row>
    <row r="204">
      <c r="A204" s="2"/>
      <c r="B204" s="2"/>
      <c r="C204" s="2"/>
      <c r="D204" s="44"/>
    </row>
    <row r="205">
      <c r="A205" s="2"/>
      <c r="B205" s="2"/>
      <c r="C205" s="2"/>
      <c r="D205" s="44"/>
    </row>
    <row r="206">
      <c r="A206" s="2"/>
      <c r="B206" s="2"/>
      <c r="C206" s="2"/>
      <c r="D206" s="44"/>
    </row>
    <row r="207">
      <c r="A207" s="2"/>
      <c r="B207" s="2"/>
      <c r="C207" s="2"/>
      <c r="D207" s="44"/>
    </row>
    <row r="208">
      <c r="A208" s="2"/>
      <c r="B208" s="2"/>
      <c r="C208" s="2"/>
      <c r="D208" s="44"/>
    </row>
    <row r="209">
      <c r="A209" s="2"/>
      <c r="B209" s="2"/>
      <c r="C209" s="2"/>
      <c r="D209" s="44"/>
    </row>
    <row r="210">
      <c r="A210" s="2"/>
      <c r="B210" s="2"/>
      <c r="C210" s="2"/>
      <c r="D210" s="44"/>
    </row>
    <row r="211">
      <c r="A211" s="2"/>
      <c r="B211" s="2"/>
      <c r="C211" s="2"/>
      <c r="D211" s="44"/>
    </row>
    <row r="212">
      <c r="A212" s="2"/>
      <c r="B212" s="2"/>
      <c r="C212" s="2"/>
      <c r="D212" s="44"/>
    </row>
    <row r="213">
      <c r="A213" s="2"/>
      <c r="B213" s="2"/>
      <c r="C213" s="2"/>
      <c r="D213" s="44"/>
    </row>
    <row r="214">
      <c r="A214" s="2"/>
      <c r="B214" s="2"/>
      <c r="C214" s="2"/>
      <c r="D214" s="44"/>
    </row>
    <row r="215">
      <c r="A215" s="2"/>
      <c r="B215" s="2"/>
      <c r="C215" s="2"/>
      <c r="D215" s="44"/>
    </row>
    <row r="216">
      <c r="A216" s="2"/>
      <c r="B216" s="2"/>
      <c r="C216" s="2"/>
      <c r="D216" s="44"/>
    </row>
    <row r="217">
      <c r="A217" s="2"/>
      <c r="B217" s="2"/>
      <c r="C217" s="2"/>
      <c r="D217" s="44"/>
    </row>
    <row r="218">
      <c r="A218" s="2"/>
      <c r="B218" s="2"/>
      <c r="C218" s="2"/>
      <c r="D218" s="44"/>
    </row>
    <row r="219">
      <c r="A219" s="2"/>
      <c r="B219" s="2"/>
      <c r="C219" s="2"/>
      <c r="D219" s="44"/>
    </row>
    <row r="220">
      <c r="A220" s="2"/>
      <c r="B220" s="2"/>
      <c r="C220" s="2"/>
      <c r="D220" s="44"/>
    </row>
    <row r="221">
      <c r="A221" s="2"/>
      <c r="B221" s="2"/>
      <c r="C221" s="2"/>
      <c r="D221" s="44"/>
    </row>
    <row r="222">
      <c r="A222" s="2"/>
      <c r="B222" s="2"/>
      <c r="C222" s="2"/>
      <c r="D222" s="44"/>
    </row>
    <row r="223">
      <c r="A223" s="2"/>
      <c r="B223" s="2"/>
      <c r="C223" s="2"/>
      <c r="D223" s="44"/>
    </row>
    <row r="224">
      <c r="A224" s="2"/>
      <c r="B224" s="2"/>
      <c r="C224" s="2"/>
      <c r="D224" s="44"/>
    </row>
    <row r="225">
      <c r="A225" s="2"/>
      <c r="B225" s="2"/>
      <c r="C225" s="2"/>
      <c r="D225" s="44"/>
    </row>
    <row r="226">
      <c r="A226" s="2"/>
      <c r="B226" s="2"/>
      <c r="C226" s="2"/>
      <c r="D226" s="44"/>
    </row>
    <row r="227">
      <c r="A227" s="2"/>
      <c r="B227" s="2"/>
      <c r="C227" s="2"/>
      <c r="D227" s="44"/>
    </row>
    <row r="228">
      <c r="A228" s="2"/>
      <c r="B228" s="2"/>
      <c r="C228" s="2"/>
      <c r="D228" s="44"/>
    </row>
    <row r="229">
      <c r="A229" s="2"/>
      <c r="B229" s="2"/>
      <c r="C229" s="2"/>
      <c r="D229" s="44"/>
    </row>
    <row r="230">
      <c r="A230" s="2"/>
      <c r="B230" s="2"/>
      <c r="C230" s="2"/>
      <c r="D230" s="44"/>
    </row>
    <row r="231">
      <c r="A231" s="2"/>
      <c r="B231" s="2"/>
      <c r="C231" s="2"/>
      <c r="D231" s="44"/>
    </row>
    <row r="232">
      <c r="A232" s="2"/>
      <c r="B232" s="2"/>
      <c r="C232" s="2"/>
      <c r="D232" s="44"/>
    </row>
    <row r="233">
      <c r="A233" s="2"/>
      <c r="B233" s="2"/>
      <c r="C233" s="2"/>
      <c r="D233" s="44"/>
    </row>
    <row r="234">
      <c r="A234" s="2"/>
      <c r="B234" s="2"/>
      <c r="C234" s="2"/>
      <c r="D234" s="44"/>
    </row>
    <row r="235">
      <c r="A235" s="2"/>
      <c r="B235" s="2"/>
      <c r="C235" s="2"/>
      <c r="D235" s="44"/>
    </row>
    <row r="236">
      <c r="A236" s="2"/>
      <c r="B236" s="2"/>
      <c r="C236" s="2"/>
      <c r="D236" s="44"/>
    </row>
    <row r="237">
      <c r="A237" s="2"/>
      <c r="B237" s="2"/>
      <c r="C237" s="2"/>
      <c r="D237" s="44"/>
    </row>
    <row r="238">
      <c r="A238" s="2"/>
      <c r="B238" s="2"/>
      <c r="C238" s="2"/>
      <c r="D238" s="44"/>
    </row>
    <row r="239">
      <c r="A239" s="2"/>
      <c r="B239" s="2"/>
      <c r="C239" s="2"/>
      <c r="D239" s="44"/>
    </row>
    <row r="240">
      <c r="A240" s="2"/>
      <c r="B240" s="2"/>
      <c r="C240" s="2"/>
      <c r="D240" s="44"/>
    </row>
    <row r="241">
      <c r="A241" s="2"/>
      <c r="B241" s="2"/>
      <c r="C241" s="2"/>
      <c r="D241" s="44"/>
    </row>
    <row r="242">
      <c r="A242" s="2"/>
      <c r="B242" s="2"/>
      <c r="C242" s="2"/>
      <c r="D242" s="44"/>
    </row>
    <row r="243">
      <c r="A243" s="2"/>
      <c r="B243" s="2"/>
      <c r="C243" s="2"/>
      <c r="D243" s="44"/>
    </row>
    <row r="244">
      <c r="A244" s="2"/>
      <c r="B244" s="2"/>
      <c r="C244" s="2"/>
      <c r="D244" s="44"/>
    </row>
    <row r="245">
      <c r="A245" s="2"/>
      <c r="B245" s="2"/>
      <c r="C245" s="2"/>
      <c r="D245" s="44"/>
    </row>
    <row r="246">
      <c r="A246" s="2"/>
      <c r="B246" s="2"/>
      <c r="C246" s="2"/>
      <c r="D246" s="44"/>
    </row>
    <row r="247">
      <c r="A247" s="2"/>
      <c r="B247" s="2"/>
      <c r="C247" s="2"/>
      <c r="D247" s="44"/>
    </row>
    <row r="248">
      <c r="A248" s="2"/>
      <c r="B248" s="2"/>
      <c r="C248" s="2"/>
      <c r="D248" s="44"/>
    </row>
    <row r="249">
      <c r="A249" s="2"/>
      <c r="B249" s="2"/>
      <c r="C249" s="2"/>
      <c r="D249" s="44"/>
    </row>
    <row r="250">
      <c r="A250" s="2"/>
      <c r="B250" s="2"/>
      <c r="C250" s="2"/>
      <c r="D250" s="44"/>
    </row>
    <row r="251">
      <c r="A251" s="2"/>
      <c r="B251" s="2"/>
      <c r="C251" s="2"/>
      <c r="D251" s="44"/>
    </row>
    <row r="252">
      <c r="A252" s="2"/>
      <c r="B252" s="2"/>
      <c r="C252" s="2"/>
      <c r="D252" s="44"/>
    </row>
    <row r="253">
      <c r="A253" s="2"/>
      <c r="B253" s="2"/>
      <c r="C253" s="2"/>
      <c r="D253" s="44"/>
    </row>
    <row r="254">
      <c r="A254" s="2"/>
      <c r="B254" s="2"/>
      <c r="C254" s="2"/>
      <c r="D254" s="44"/>
    </row>
    <row r="255">
      <c r="A255" s="2"/>
      <c r="B255" s="2"/>
      <c r="C255" s="2"/>
      <c r="D255" s="44"/>
    </row>
    <row r="256">
      <c r="A256" s="2"/>
      <c r="B256" s="2"/>
      <c r="C256" s="2"/>
      <c r="D256" s="44"/>
    </row>
    <row r="257">
      <c r="A257" s="2"/>
      <c r="B257" s="2"/>
      <c r="C257" s="2"/>
      <c r="D257" s="44"/>
    </row>
    <row r="258">
      <c r="A258" s="2"/>
      <c r="B258" s="2"/>
      <c r="C258" s="2"/>
      <c r="D258" s="44"/>
    </row>
    <row r="259">
      <c r="A259" s="2"/>
      <c r="B259" s="2"/>
      <c r="C259" s="2"/>
      <c r="D259" s="44"/>
    </row>
    <row r="260">
      <c r="A260" s="2"/>
      <c r="B260" s="2"/>
      <c r="C260" s="2"/>
      <c r="D260" s="44"/>
    </row>
    <row r="261">
      <c r="A261" s="2"/>
      <c r="B261" s="2"/>
      <c r="C261" s="2"/>
      <c r="D261" s="44"/>
    </row>
    <row r="262">
      <c r="A262" s="2"/>
      <c r="B262" s="2"/>
      <c r="C262" s="2"/>
      <c r="D262" s="44"/>
    </row>
    <row r="263">
      <c r="A263" s="2"/>
      <c r="B263" s="2"/>
      <c r="C263" s="2"/>
      <c r="D263" s="44"/>
    </row>
    <row r="264">
      <c r="A264" s="2"/>
      <c r="B264" s="2"/>
      <c r="C264" s="2"/>
      <c r="D264" s="44"/>
    </row>
    <row r="265">
      <c r="A265" s="2"/>
      <c r="B265" s="2"/>
      <c r="C265" s="2"/>
      <c r="D265" s="44"/>
    </row>
    <row r="266">
      <c r="A266" s="2"/>
      <c r="B266" s="2"/>
      <c r="C266" s="2"/>
      <c r="D266" s="44"/>
    </row>
    <row r="267">
      <c r="A267" s="2"/>
      <c r="B267" s="2"/>
      <c r="C267" s="2"/>
      <c r="D267" s="44"/>
    </row>
    <row r="268">
      <c r="A268" s="2"/>
      <c r="B268" s="2"/>
      <c r="C268" s="2"/>
      <c r="D268" s="44"/>
    </row>
    <row r="269">
      <c r="A269" s="2"/>
      <c r="B269" s="2"/>
      <c r="C269" s="2"/>
      <c r="D269" s="44"/>
    </row>
    <row r="270">
      <c r="A270" s="2"/>
      <c r="B270" s="2"/>
      <c r="C270" s="2"/>
      <c r="D270" s="44"/>
    </row>
    <row r="271">
      <c r="A271" s="2"/>
      <c r="B271" s="2"/>
      <c r="C271" s="2"/>
      <c r="D271" s="44"/>
    </row>
    <row r="272">
      <c r="A272" s="2"/>
      <c r="B272" s="2"/>
      <c r="C272" s="2"/>
      <c r="D272" s="44"/>
    </row>
    <row r="273">
      <c r="A273" s="2"/>
      <c r="B273" s="2"/>
      <c r="C273" s="2"/>
      <c r="D273" s="44"/>
    </row>
    <row r="274">
      <c r="A274" s="2"/>
      <c r="B274" s="2"/>
      <c r="C274" s="2"/>
      <c r="D274" s="44"/>
    </row>
    <row r="275">
      <c r="A275" s="2"/>
      <c r="B275" s="2"/>
      <c r="C275" s="2"/>
      <c r="D275" s="44"/>
    </row>
    <row r="276">
      <c r="A276" s="2"/>
      <c r="B276" s="2"/>
      <c r="C276" s="2"/>
      <c r="D276" s="44"/>
    </row>
    <row r="277">
      <c r="A277" s="2"/>
      <c r="B277" s="2"/>
      <c r="C277" s="2"/>
      <c r="D277" s="44"/>
    </row>
    <row r="278">
      <c r="A278" s="2"/>
      <c r="B278" s="2"/>
      <c r="C278" s="2"/>
      <c r="D278" s="44"/>
    </row>
    <row r="279">
      <c r="A279" s="2"/>
      <c r="B279" s="2"/>
      <c r="C279" s="2"/>
      <c r="D279" s="44"/>
    </row>
    <row r="280">
      <c r="A280" s="2"/>
      <c r="B280" s="2"/>
      <c r="C280" s="2"/>
      <c r="D280" s="44"/>
    </row>
    <row r="281">
      <c r="A281" s="2"/>
      <c r="B281" s="2"/>
      <c r="C281" s="2"/>
      <c r="D281" s="44"/>
    </row>
    <row r="282">
      <c r="A282" s="2"/>
      <c r="B282" s="2"/>
      <c r="C282" s="2"/>
      <c r="D282" s="44"/>
    </row>
    <row r="283">
      <c r="A283" s="2"/>
      <c r="B283" s="2"/>
      <c r="C283" s="2"/>
      <c r="D283" s="44"/>
    </row>
    <row r="284">
      <c r="A284" s="2"/>
      <c r="B284" s="2"/>
      <c r="C284" s="2"/>
      <c r="D284" s="44"/>
    </row>
    <row r="285">
      <c r="A285" s="2"/>
      <c r="B285" s="2"/>
      <c r="C285" s="2"/>
      <c r="D285" s="44"/>
    </row>
    <row r="286">
      <c r="A286" s="2"/>
      <c r="B286" s="2"/>
      <c r="C286" s="2"/>
      <c r="D286" s="44"/>
    </row>
    <row r="287">
      <c r="A287" s="2"/>
      <c r="B287" s="2"/>
      <c r="C287" s="2"/>
      <c r="D287" s="44"/>
    </row>
    <row r="288">
      <c r="A288" s="2"/>
      <c r="B288" s="2"/>
      <c r="C288" s="2"/>
      <c r="D288" s="44"/>
    </row>
    <row r="289">
      <c r="A289" s="2"/>
      <c r="B289" s="2"/>
      <c r="C289" s="2"/>
      <c r="D289" s="44"/>
    </row>
    <row r="290">
      <c r="A290" s="2"/>
      <c r="B290" s="2"/>
      <c r="C290" s="2"/>
      <c r="D290" s="44"/>
    </row>
    <row r="291">
      <c r="A291" s="2"/>
      <c r="B291" s="2"/>
      <c r="C291" s="2"/>
      <c r="D291" s="44"/>
    </row>
    <row r="292">
      <c r="A292" s="2"/>
      <c r="B292" s="2"/>
      <c r="C292" s="2"/>
      <c r="D292" s="44"/>
    </row>
    <row r="293">
      <c r="A293" s="2"/>
      <c r="B293" s="2"/>
      <c r="C293" s="2"/>
      <c r="D293" s="44"/>
    </row>
    <row r="294">
      <c r="A294" s="2"/>
      <c r="B294" s="2"/>
      <c r="C294" s="2"/>
      <c r="D294" s="44"/>
    </row>
    <row r="295">
      <c r="A295" s="2"/>
      <c r="B295" s="2"/>
      <c r="C295" s="2"/>
      <c r="D295" s="44"/>
    </row>
    <row r="296">
      <c r="A296" s="2"/>
      <c r="B296" s="2"/>
      <c r="C296" s="2"/>
      <c r="D296" s="44"/>
    </row>
    <row r="297">
      <c r="A297" s="2"/>
      <c r="B297" s="2"/>
      <c r="C297" s="2"/>
      <c r="D297" s="44"/>
    </row>
    <row r="298">
      <c r="A298" s="2"/>
      <c r="B298" s="2"/>
      <c r="C298" s="2"/>
      <c r="D298" s="44"/>
    </row>
    <row r="299">
      <c r="A299" s="2"/>
      <c r="B299" s="2"/>
      <c r="C299" s="2"/>
      <c r="D299" s="44"/>
    </row>
    <row r="300">
      <c r="A300" s="2"/>
      <c r="B300" s="2"/>
      <c r="C300" s="2"/>
      <c r="D300" s="44"/>
    </row>
    <row r="301">
      <c r="A301" s="2"/>
      <c r="B301" s="2"/>
      <c r="C301" s="2"/>
      <c r="D301" s="44"/>
    </row>
    <row r="302">
      <c r="A302" s="2"/>
      <c r="B302" s="2"/>
      <c r="C302" s="2"/>
      <c r="D302" s="44"/>
    </row>
    <row r="303">
      <c r="A303" s="2"/>
      <c r="B303" s="2"/>
      <c r="C303" s="2"/>
      <c r="D303" s="44"/>
    </row>
    <row r="304">
      <c r="A304" s="2"/>
      <c r="B304" s="2"/>
      <c r="C304" s="2"/>
      <c r="D304" s="44"/>
    </row>
    <row r="305">
      <c r="A305" s="2"/>
      <c r="B305" s="2"/>
      <c r="C305" s="2"/>
      <c r="D305" s="44"/>
    </row>
    <row r="306">
      <c r="A306" s="2"/>
      <c r="B306" s="2"/>
      <c r="C306" s="2"/>
      <c r="D306" s="44"/>
    </row>
    <row r="307">
      <c r="A307" s="2"/>
      <c r="B307" s="2"/>
      <c r="C307" s="2"/>
      <c r="D307" s="44"/>
    </row>
    <row r="308">
      <c r="A308" s="2"/>
      <c r="B308" s="2"/>
      <c r="C308" s="2"/>
      <c r="D308" s="44"/>
    </row>
    <row r="309">
      <c r="A309" s="2"/>
      <c r="B309" s="2"/>
      <c r="C309" s="2"/>
      <c r="D309" s="44"/>
    </row>
    <row r="310">
      <c r="A310" s="2"/>
      <c r="B310" s="2"/>
      <c r="C310" s="2"/>
      <c r="D310" s="44"/>
    </row>
    <row r="311">
      <c r="A311" s="2"/>
      <c r="B311" s="2"/>
      <c r="C311" s="2"/>
      <c r="D311" s="44"/>
    </row>
    <row r="312">
      <c r="A312" s="2"/>
      <c r="B312" s="2"/>
      <c r="C312" s="2"/>
      <c r="D312" s="44"/>
    </row>
    <row r="313">
      <c r="A313" s="2"/>
      <c r="B313" s="2"/>
      <c r="C313" s="2"/>
      <c r="D313" s="44"/>
    </row>
    <row r="314">
      <c r="A314" s="2"/>
      <c r="B314" s="2"/>
      <c r="C314" s="2"/>
      <c r="D314" s="44"/>
    </row>
    <row r="315">
      <c r="A315" s="2"/>
      <c r="B315" s="2"/>
      <c r="C315" s="2"/>
      <c r="D315" s="44"/>
    </row>
    <row r="316">
      <c r="A316" s="2"/>
      <c r="B316" s="2"/>
      <c r="C316" s="2"/>
      <c r="D316" s="44"/>
    </row>
    <row r="317">
      <c r="A317" s="2"/>
      <c r="B317" s="2"/>
      <c r="C317" s="2"/>
      <c r="D317" s="44"/>
    </row>
    <row r="318">
      <c r="A318" s="2"/>
      <c r="B318" s="2"/>
      <c r="C318" s="2"/>
      <c r="D318" s="44"/>
    </row>
    <row r="319">
      <c r="A319" s="2"/>
      <c r="B319" s="2"/>
      <c r="C319" s="2"/>
      <c r="D319" s="44"/>
    </row>
    <row r="320">
      <c r="A320" s="2"/>
      <c r="B320" s="2"/>
      <c r="C320" s="2"/>
      <c r="D320" s="44"/>
    </row>
    <row r="321">
      <c r="A321" s="2"/>
      <c r="B321" s="2"/>
      <c r="C321" s="2"/>
      <c r="D321" s="44"/>
    </row>
    <row r="322">
      <c r="A322" s="2"/>
      <c r="B322" s="2"/>
      <c r="C322" s="2"/>
      <c r="D322" s="44"/>
    </row>
    <row r="323">
      <c r="A323" s="2"/>
      <c r="B323" s="2"/>
      <c r="C323" s="2"/>
      <c r="D323" s="44"/>
    </row>
    <row r="324">
      <c r="A324" s="2"/>
      <c r="B324" s="2"/>
      <c r="C324" s="2"/>
      <c r="D324" s="44"/>
    </row>
    <row r="325">
      <c r="A325" s="2"/>
      <c r="B325" s="2"/>
      <c r="C325" s="2"/>
      <c r="D325" s="44"/>
    </row>
    <row r="326">
      <c r="A326" s="2"/>
      <c r="B326" s="2"/>
      <c r="C326" s="2"/>
      <c r="D326" s="44"/>
    </row>
    <row r="327">
      <c r="A327" s="2"/>
      <c r="B327" s="2"/>
      <c r="C327" s="2"/>
      <c r="D327" s="44"/>
    </row>
    <row r="328">
      <c r="A328" s="2"/>
      <c r="B328" s="2"/>
      <c r="C328" s="2"/>
      <c r="D328" s="44"/>
    </row>
    <row r="329">
      <c r="A329" s="2"/>
      <c r="B329" s="2"/>
      <c r="C329" s="2"/>
      <c r="D329" s="44"/>
    </row>
    <row r="330">
      <c r="A330" s="2"/>
      <c r="B330" s="2"/>
      <c r="C330" s="2"/>
      <c r="D330" s="44"/>
    </row>
    <row r="331">
      <c r="A331" s="2"/>
      <c r="B331" s="2"/>
      <c r="C331" s="2"/>
      <c r="D331" s="44"/>
    </row>
    <row r="332">
      <c r="A332" s="2"/>
      <c r="B332" s="2"/>
      <c r="C332" s="2"/>
      <c r="D332" s="44"/>
    </row>
    <row r="333">
      <c r="A333" s="2"/>
      <c r="B333" s="2"/>
      <c r="C333" s="2"/>
      <c r="D333" s="44"/>
    </row>
    <row r="334">
      <c r="A334" s="2"/>
      <c r="B334" s="2"/>
      <c r="C334" s="2"/>
      <c r="D334" s="44"/>
    </row>
    <row r="335">
      <c r="A335" s="2"/>
      <c r="B335" s="2"/>
      <c r="C335" s="2"/>
      <c r="D335" s="44"/>
    </row>
    <row r="336">
      <c r="A336" s="2"/>
      <c r="B336" s="2"/>
      <c r="C336" s="2"/>
      <c r="D336" s="44"/>
    </row>
    <row r="337">
      <c r="A337" s="2"/>
      <c r="B337" s="2"/>
      <c r="C337" s="2"/>
      <c r="D337" s="44"/>
    </row>
    <row r="338">
      <c r="A338" s="2"/>
      <c r="B338" s="2"/>
      <c r="C338" s="2"/>
      <c r="D338" s="44"/>
    </row>
    <row r="339">
      <c r="A339" s="2"/>
      <c r="B339" s="2"/>
      <c r="C339" s="2"/>
      <c r="D339" s="44"/>
    </row>
    <row r="340">
      <c r="A340" s="2"/>
      <c r="B340" s="2"/>
      <c r="C340" s="2"/>
      <c r="D340" s="44"/>
    </row>
    <row r="341">
      <c r="A341" s="2"/>
      <c r="B341" s="2"/>
      <c r="C341" s="2"/>
      <c r="D341" s="44"/>
    </row>
    <row r="342">
      <c r="A342" s="2"/>
      <c r="B342" s="2"/>
      <c r="C342" s="2"/>
      <c r="D342" s="44"/>
    </row>
    <row r="343">
      <c r="A343" s="2"/>
      <c r="B343" s="2"/>
      <c r="C343" s="2"/>
      <c r="D343" s="44"/>
    </row>
    <row r="344">
      <c r="A344" s="2"/>
      <c r="B344" s="2"/>
      <c r="C344" s="2"/>
      <c r="D344" s="44"/>
    </row>
    <row r="345">
      <c r="A345" s="2"/>
      <c r="B345" s="2"/>
      <c r="C345" s="2"/>
      <c r="D345" s="44"/>
    </row>
    <row r="346">
      <c r="A346" s="2"/>
      <c r="B346" s="2"/>
      <c r="C346" s="2"/>
      <c r="D346" s="44"/>
    </row>
    <row r="347">
      <c r="A347" s="2"/>
      <c r="B347" s="2"/>
      <c r="C347" s="2"/>
      <c r="D347" s="44"/>
    </row>
    <row r="348">
      <c r="A348" s="2"/>
      <c r="B348" s="2"/>
      <c r="C348" s="2"/>
      <c r="D348" s="44"/>
    </row>
    <row r="349">
      <c r="A349" s="2"/>
      <c r="B349" s="2"/>
      <c r="C349" s="2"/>
      <c r="D349" s="44"/>
    </row>
    <row r="350">
      <c r="A350" s="2"/>
      <c r="B350" s="2"/>
      <c r="C350" s="2"/>
      <c r="D350" s="44"/>
    </row>
    <row r="351">
      <c r="A351" s="2"/>
      <c r="B351" s="2"/>
      <c r="C351" s="2"/>
      <c r="D351" s="44"/>
    </row>
    <row r="352">
      <c r="A352" s="2"/>
      <c r="B352" s="2"/>
      <c r="C352" s="2"/>
      <c r="D352" s="44"/>
    </row>
    <row r="353">
      <c r="A353" s="2"/>
      <c r="B353" s="2"/>
      <c r="C353" s="2"/>
      <c r="D353" s="44"/>
    </row>
    <row r="354">
      <c r="A354" s="2"/>
      <c r="B354" s="2"/>
      <c r="C354" s="2"/>
      <c r="D354" s="44"/>
    </row>
    <row r="355">
      <c r="A355" s="2"/>
      <c r="B355" s="2"/>
      <c r="C355" s="2"/>
      <c r="D355" s="44"/>
    </row>
    <row r="356">
      <c r="A356" s="2"/>
      <c r="B356" s="2"/>
      <c r="C356" s="2"/>
      <c r="D356" s="44"/>
    </row>
    <row r="357">
      <c r="A357" s="2"/>
      <c r="B357" s="2"/>
      <c r="C357" s="2"/>
      <c r="D357" s="44"/>
    </row>
    <row r="358">
      <c r="A358" s="2"/>
      <c r="B358" s="2"/>
      <c r="C358" s="2"/>
      <c r="D358" s="44"/>
    </row>
    <row r="359">
      <c r="A359" s="2"/>
      <c r="B359" s="2"/>
      <c r="C359" s="2"/>
      <c r="D359" s="44"/>
    </row>
    <row r="360">
      <c r="A360" s="2"/>
      <c r="B360" s="2"/>
      <c r="C360" s="2"/>
      <c r="D360" s="44"/>
    </row>
    <row r="361">
      <c r="A361" s="2"/>
      <c r="B361" s="2"/>
      <c r="C361" s="2"/>
      <c r="D361" s="44"/>
    </row>
    <row r="362">
      <c r="A362" s="2"/>
      <c r="B362" s="2"/>
      <c r="C362" s="2"/>
      <c r="D362" s="44"/>
    </row>
    <row r="363">
      <c r="A363" s="2"/>
      <c r="B363" s="2"/>
      <c r="C363" s="2"/>
      <c r="D363" s="44"/>
    </row>
    <row r="364">
      <c r="A364" s="2"/>
      <c r="B364" s="2"/>
      <c r="C364" s="2"/>
      <c r="D364" s="44"/>
    </row>
    <row r="365">
      <c r="A365" s="2"/>
      <c r="B365" s="2"/>
      <c r="C365" s="2"/>
      <c r="D365" s="44"/>
    </row>
    <row r="366">
      <c r="A366" s="2"/>
      <c r="B366" s="2"/>
      <c r="C366" s="2"/>
      <c r="D366" s="44"/>
    </row>
    <row r="367">
      <c r="A367" s="2"/>
      <c r="B367" s="2"/>
      <c r="C367" s="2"/>
      <c r="D367" s="44"/>
    </row>
    <row r="368">
      <c r="A368" s="2"/>
      <c r="B368" s="2"/>
      <c r="C368" s="2"/>
      <c r="D368" s="44"/>
    </row>
    <row r="369">
      <c r="A369" s="2"/>
      <c r="B369" s="2"/>
      <c r="C369" s="2"/>
      <c r="D369" s="44"/>
    </row>
    <row r="370">
      <c r="A370" s="2"/>
      <c r="B370" s="2"/>
      <c r="C370" s="2"/>
      <c r="D370" s="44"/>
    </row>
    <row r="371">
      <c r="A371" s="2"/>
      <c r="B371" s="2"/>
      <c r="C371" s="2"/>
      <c r="D371" s="44"/>
    </row>
    <row r="372">
      <c r="A372" s="2"/>
      <c r="B372" s="2"/>
      <c r="C372" s="2"/>
      <c r="D372" s="44"/>
    </row>
    <row r="373">
      <c r="A373" s="2"/>
      <c r="B373" s="2"/>
      <c r="C373" s="2"/>
      <c r="D373" s="44"/>
    </row>
    <row r="374">
      <c r="A374" s="2"/>
      <c r="B374" s="2"/>
      <c r="C374" s="2"/>
      <c r="D374" s="44"/>
    </row>
    <row r="375">
      <c r="A375" s="2"/>
      <c r="B375" s="2"/>
      <c r="C375" s="2"/>
      <c r="D375" s="44"/>
    </row>
    <row r="376">
      <c r="A376" s="2"/>
      <c r="B376" s="2"/>
      <c r="C376" s="2"/>
      <c r="D376" s="44"/>
    </row>
    <row r="377">
      <c r="A377" s="2"/>
      <c r="B377" s="2"/>
      <c r="C377" s="2"/>
      <c r="D377" s="44"/>
    </row>
    <row r="378">
      <c r="A378" s="2"/>
      <c r="B378" s="2"/>
      <c r="C378" s="2"/>
      <c r="D378" s="44"/>
    </row>
    <row r="379">
      <c r="A379" s="2"/>
      <c r="B379" s="2"/>
      <c r="C379" s="2"/>
      <c r="D379" s="44"/>
    </row>
    <row r="380">
      <c r="A380" s="2"/>
      <c r="B380" s="2"/>
      <c r="C380" s="2"/>
      <c r="D380" s="44"/>
    </row>
    <row r="381">
      <c r="A381" s="2"/>
      <c r="B381" s="2"/>
      <c r="C381" s="2"/>
      <c r="D381" s="44"/>
    </row>
    <row r="382">
      <c r="A382" s="2"/>
      <c r="B382" s="2"/>
      <c r="C382" s="2"/>
      <c r="D382" s="44"/>
    </row>
    <row r="383">
      <c r="A383" s="2"/>
      <c r="B383" s="2"/>
      <c r="C383" s="2"/>
      <c r="D383" s="44"/>
    </row>
    <row r="384">
      <c r="A384" s="2"/>
      <c r="B384" s="2"/>
      <c r="C384" s="2"/>
      <c r="D384" s="44"/>
    </row>
    <row r="385">
      <c r="A385" s="2"/>
      <c r="B385" s="2"/>
      <c r="C385" s="2"/>
      <c r="D385" s="44"/>
    </row>
    <row r="386">
      <c r="A386" s="2"/>
      <c r="B386" s="2"/>
      <c r="C386" s="2"/>
      <c r="D386" s="44"/>
    </row>
    <row r="387">
      <c r="A387" s="2"/>
      <c r="B387" s="2"/>
      <c r="C387" s="2"/>
      <c r="D387" s="44"/>
    </row>
    <row r="388">
      <c r="A388" s="2"/>
      <c r="B388" s="2"/>
      <c r="C388" s="2"/>
      <c r="D388" s="44"/>
    </row>
    <row r="389">
      <c r="A389" s="2"/>
      <c r="B389" s="2"/>
      <c r="C389" s="2"/>
      <c r="D389" s="44"/>
    </row>
    <row r="390">
      <c r="A390" s="2"/>
      <c r="B390" s="2"/>
      <c r="C390" s="2"/>
      <c r="D390" s="44"/>
    </row>
    <row r="391">
      <c r="A391" s="2"/>
      <c r="B391" s="2"/>
      <c r="C391" s="2"/>
      <c r="D391" s="44"/>
    </row>
    <row r="392">
      <c r="A392" s="2"/>
      <c r="B392" s="2"/>
      <c r="C392" s="2"/>
      <c r="D392" s="44"/>
    </row>
    <row r="393">
      <c r="A393" s="2"/>
      <c r="B393" s="2"/>
      <c r="C393" s="2"/>
      <c r="D393" s="44"/>
    </row>
    <row r="394">
      <c r="A394" s="2"/>
      <c r="B394" s="2"/>
      <c r="C394" s="2"/>
      <c r="D394" s="44"/>
    </row>
    <row r="395">
      <c r="A395" s="2"/>
      <c r="B395" s="2"/>
      <c r="C395" s="2"/>
      <c r="D395" s="44"/>
    </row>
    <row r="396">
      <c r="A396" s="2"/>
      <c r="B396" s="2"/>
      <c r="C396" s="2"/>
      <c r="D396" s="44"/>
    </row>
    <row r="397">
      <c r="A397" s="2"/>
      <c r="B397" s="2"/>
      <c r="C397" s="2"/>
      <c r="D397" s="44"/>
    </row>
    <row r="398">
      <c r="A398" s="2"/>
      <c r="B398" s="2"/>
      <c r="C398" s="2"/>
      <c r="D398" s="44"/>
    </row>
    <row r="399">
      <c r="A399" s="2"/>
      <c r="B399" s="2"/>
      <c r="C399" s="2"/>
      <c r="D399" s="44"/>
    </row>
    <row r="400">
      <c r="A400" s="2"/>
      <c r="B400" s="2"/>
      <c r="C400" s="2"/>
      <c r="D400" s="44"/>
    </row>
    <row r="401">
      <c r="A401" s="2"/>
      <c r="B401" s="2"/>
      <c r="C401" s="2"/>
      <c r="D401" s="44"/>
    </row>
    <row r="402">
      <c r="A402" s="2"/>
      <c r="B402" s="2"/>
      <c r="C402" s="2"/>
      <c r="D402" s="44"/>
    </row>
    <row r="403">
      <c r="A403" s="2"/>
      <c r="B403" s="2"/>
      <c r="C403" s="2"/>
      <c r="D403" s="44"/>
    </row>
    <row r="404">
      <c r="A404" s="2"/>
      <c r="B404" s="2"/>
      <c r="C404" s="2"/>
      <c r="D404" s="44"/>
    </row>
    <row r="405">
      <c r="A405" s="2"/>
      <c r="B405" s="2"/>
      <c r="C405" s="2"/>
      <c r="D405" s="44"/>
    </row>
    <row r="406">
      <c r="A406" s="2"/>
      <c r="B406" s="2"/>
      <c r="C406" s="2"/>
      <c r="D406" s="44"/>
    </row>
    <row r="407">
      <c r="A407" s="2"/>
      <c r="B407" s="2"/>
      <c r="C407" s="2"/>
      <c r="D407" s="44"/>
    </row>
    <row r="408">
      <c r="A408" s="2"/>
      <c r="B408" s="2"/>
      <c r="C408" s="2"/>
      <c r="D408" s="44"/>
    </row>
    <row r="409">
      <c r="A409" s="2"/>
      <c r="B409" s="2"/>
      <c r="C409" s="2"/>
      <c r="D409" s="44"/>
    </row>
    <row r="410">
      <c r="A410" s="2"/>
      <c r="B410" s="2"/>
      <c r="C410" s="2"/>
      <c r="D410" s="44"/>
    </row>
    <row r="411">
      <c r="A411" s="2"/>
      <c r="B411" s="2"/>
      <c r="C411" s="2"/>
      <c r="D411" s="44"/>
    </row>
    <row r="412">
      <c r="A412" s="2"/>
      <c r="B412" s="2"/>
      <c r="C412" s="2"/>
      <c r="D412" s="44"/>
    </row>
    <row r="413">
      <c r="A413" s="2"/>
      <c r="B413" s="2"/>
      <c r="C413" s="2"/>
      <c r="D413" s="44"/>
    </row>
    <row r="414">
      <c r="A414" s="2"/>
      <c r="B414" s="2"/>
      <c r="C414" s="2"/>
      <c r="D414" s="44"/>
    </row>
    <row r="415">
      <c r="A415" s="2"/>
      <c r="B415" s="2"/>
      <c r="C415" s="2"/>
      <c r="D415" s="44"/>
    </row>
    <row r="416">
      <c r="A416" s="2"/>
      <c r="B416" s="2"/>
      <c r="C416" s="2"/>
      <c r="D416" s="44"/>
    </row>
    <row r="417">
      <c r="A417" s="2"/>
      <c r="B417" s="2"/>
      <c r="C417" s="2"/>
      <c r="D417" s="44"/>
    </row>
    <row r="418">
      <c r="A418" s="2"/>
      <c r="B418" s="2"/>
      <c r="C418" s="2"/>
      <c r="D418" s="44"/>
    </row>
    <row r="419">
      <c r="A419" s="2"/>
      <c r="B419" s="2"/>
      <c r="C419" s="2"/>
      <c r="D419" s="44"/>
    </row>
    <row r="420">
      <c r="A420" s="2"/>
      <c r="B420" s="2"/>
      <c r="C420" s="2"/>
      <c r="D420" s="44"/>
    </row>
    <row r="421">
      <c r="A421" s="2"/>
      <c r="B421" s="2"/>
      <c r="C421" s="2"/>
      <c r="D421" s="44"/>
    </row>
    <row r="422">
      <c r="A422" s="2"/>
      <c r="B422" s="2"/>
      <c r="C422" s="2"/>
      <c r="D422" s="44"/>
    </row>
    <row r="423">
      <c r="A423" s="2"/>
      <c r="B423" s="2"/>
      <c r="C423" s="2"/>
      <c r="D423" s="44"/>
    </row>
    <row r="424">
      <c r="A424" s="2"/>
      <c r="B424" s="2"/>
      <c r="C424" s="2"/>
      <c r="D424" s="44"/>
    </row>
    <row r="425">
      <c r="A425" s="2"/>
      <c r="B425" s="2"/>
      <c r="C425" s="2"/>
      <c r="D425" s="44"/>
    </row>
    <row r="426">
      <c r="A426" s="2"/>
      <c r="B426" s="2"/>
      <c r="C426" s="2"/>
      <c r="D426" s="44"/>
    </row>
    <row r="427">
      <c r="A427" s="2"/>
      <c r="B427" s="2"/>
      <c r="C427" s="2"/>
      <c r="D427" s="44"/>
    </row>
    <row r="428">
      <c r="A428" s="2"/>
      <c r="B428" s="2"/>
      <c r="C428" s="2"/>
      <c r="D428" s="44"/>
    </row>
    <row r="429">
      <c r="A429" s="2"/>
      <c r="B429" s="2"/>
      <c r="C429" s="2"/>
      <c r="D429" s="44"/>
    </row>
    <row r="430">
      <c r="A430" s="2"/>
      <c r="B430" s="2"/>
      <c r="C430" s="2"/>
      <c r="D430" s="44"/>
    </row>
    <row r="431">
      <c r="A431" s="2"/>
      <c r="B431" s="2"/>
      <c r="C431" s="2"/>
      <c r="D431" s="44"/>
    </row>
    <row r="432">
      <c r="A432" s="2"/>
      <c r="B432" s="2"/>
      <c r="C432" s="2"/>
      <c r="D432" s="44"/>
    </row>
    <row r="433">
      <c r="A433" s="2"/>
      <c r="B433" s="2"/>
      <c r="C433" s="2"/>
      <c r="D433" s="44"/>
    </row>
    <row r="434">
      <c r="A434" s="2"/>
      <c r="B434" s="2"/>
      <c r="C434" s="2"/>
      <c r="D434" s="44"/>
    </row>
    <row r="435">
      <c r="A435" s="2"/>
      <c r="B435" s="2"/>
      <c r="C435" s="2"/>
      <c r="D435" s="44"/>
    </row>
    <row r="436">
      <c r="A436" s="2"/>
      <c r="B436" s="2"/>
      <c r="C436" s="2"/>
      <c r="D436" s="44"/>
    </row>
    <row r="437">
      <c r="A437" s="2"/>
      <c r="B437" s="2"/>
      <c r="C437" s="2"/>
      <c r="D437" s="44"/>
    </row>
    <row r="438">
      <c r="A438" s="2"/>
      <c r="B438" s="2"/>
      <c r="C438" s="2"/>
      <c r="D438" s="44"/>
    </row>
    <row r="439">
      <c r="A439" s="2"/>
      <c r="B439" s="2"/>
      <c r="C439" s="2"/>
      <c r="D439" s="44"/>
    </row>
    <row r="440">
      <c r="A440" s="2"/>
      <c r="B440" s="2"/>
      <c r="C440" s="2"/>
      <c r="D440" s="44"/>
    </row>
    <row r="441">
      <c r="A441" s="2"/>
      <c r="B441" s="2"/>
      <c r="C441" s="2"/>
      <c r="D441" s="44"/>
    </row>
    <row r="442">
      <c r="A442" s="2"/>
      <c r="B442" s="2"/>
      <c r="C442" s="2"/>
      <c r="D442" s="44"/>
    </row>
    <row r="443">
      <c r="A443" s="2"/>
      <c r="B443" s="2"/>
      <c r="C443" s="2"/>
      <c r="D443" s="44"/>
    </row>
    <row r="444">
      <c r="A444" s="2"/>
      <c r="B444" s="2"/>
      <c r="C444" s="2"/>
      <c r="D444" s="44"/>
    </row>
    <row r="445">
      <c r="A445" s="2"/>
      <c r="B445" s="2"/>
      <c r="C445" s="2"/>
      <c r="D445" s="44"/>
    </row>
    <row r="446">
      <c r="A446" s="2"/>
      <c r="B446" s="2"/>
      <c r="C446" s="2"/>
      <c r="D446" s="44"/>
    </row>
    <row r="447">
      <c r="A447" s="2"/>
      <c r="B447" s="2"/>
      <c r="C447" s="2"/>
      <c r="D447" s="44"/>
    </row>
    <row r="448">
      <c r="A448" s="2"/>
      <c r="B448" s="2"/>
      <c r="C448" s="2"/>
      <c r="D448" s="44"/>
    </row>
    <row r="449">
      <c r="A449" s="2"/>
      <c r="B449" s="2"/>
      <c r="C449" s="2"/>
      <c r="D449" s="44"/>
    </row>
    <row r="450">
      <c r="A450" s="2"/>
      <c r="B450" s="2"/>
      <c r="C450" s="2"/>
      <c r="D450" s="44"/>
    </row>
    <row r="451">
      <c r="A451" s="2"/>
      <c r="B451" s="2"/>
      <c r="C451" s="2"/>
      <c r="D451" s="44"/>
    </row>
    <row r="452">
      <c r="A452" s="2"/>
      <c r="B452" s="2"/>
      <c r="C452" s="2"/>
      <c r="D452" s="44"/>
    </row>
    <row r="453">
      <c r="A453" s="2"/>
      <c r="B453" s="2"/>
      <c r="C453" s="2"/>
      <c r="D453" s="44"/>
    </row>
    <row r="454">
      <c r="A454" s="2"/>
      <c r="B454" s="2"/>
      <c r="C454" s="2"/>
      <c r="D454" s="44"/>
    </row>
    <row r="455">
      <c r="A455" s="2"/>
      <c r="B455" s="2"/>
      <c r="C455" s="2"/>
      <c r="D455" s="44"/>
    </row>
    <row r="456">
      <c r="A456" s="2"/>
      <c r="B456" s="2"/>
      <c r="C456" s="2"/>
      <c r="D456" s="44"/>
    </row>
    <row r="457">
      <c r="A457" s="2"/>
      <c r="B457" s="2"/>
      <c r="C457" s="2"/>
      <c r="D457" s="44"/>
    </row>
    <row r="458">
      <c r="A458" s="2"/>
      <c r="B458" s="2"/>
      <c r="C458" s="2"/>
      <c r="D458" s="44"/>
    </row>
    <row r="459">
      <c r="A459" s="2"/>
      <c r="B459" s="2"/>
      <c r="C459" s="2"/>
      <c r="D459" s="44"/>
    </row>
    <row r="460">
      <c r="A460" s="2"/>
      <c r="B460" s="2"/>
      <c r="C460" s="2"/>
      <c r="D460" s="44"/>
    </row>
    <row r="461">
      <c r="A461" s="2"/>
      <c r="B461" s="2"/>
      <c r="C461" s="2"/>
      <c r="D461" s="44"/>
    </row>
    <row r="462">
      <c r="A462" s="2"/>
      <c r="B462" s="2"/>
      <c r="C462" s="2"/>
      <c r="D462" s="44"/>
    </row>
    <row r="463">
      <c r="A463" s="2"/>
      <c r="B463" s="2"/>
      <c r="C463" s="2"/>
      <c r="D463" s="44"/>
    </row>
    <row r="464">
      <c r="A464" s="2"/>
      <c r="B464" s="2"/>
      <c r="C464" s="2"/>
      <c r="D464" s="44"/>
    </row>
    <row r="465">
      <c r="A465" s="2"/>
      <c r="B465" s="2"/>
      <c r="C465" s="2"/>
      <c r="D465" s="44"/>
    </row>
    <row r="466">
      <c r="A466" s="2"/>
      <c r="B466" s="2"/>
      <c r="C466" s="2"/>
      <c r="D466" s="44"/>
    </row>
    <row r="467">
      <c r="A467" s="2"/>
      <c r="B467" s="2"/>
      <c r="C467" s="2"/>
      <c r="D467" s="44"/>
    </row>
    <row r="468">
      <c r="A468" s="2"/>
      <c r="B468" s="2"/>
      <c r="C468" s="2"/>
      <c r="D468" s="44"/>
    </row>
    <row r="469">
      <c r="A469" s="2"/>
      <c r="B469" s="2"/>
      <c r="C469" s="2"/>
      <c r="D469" s="44"/>
    </row>
    <row r="470">
      <c r="A470" s="2"/>
      <c r="B470" s="2"/>
      <c r="C470" s="2"/>
      <c r="D470" s="44"/>
    </row>
    <row r="471">
      <c r="A471" s="2"/>
      <c r="B471" s="2"/>
      <c r="C471" s="2"/>
      <c r="D471" s="44"/>
    </row>
    <row r="472">
      <c r="A472" s="2"/>
      <c r="B472" s="2"/>
      <c r="C472" s="2"/>
      <c r="D472" s="44"/>
    </row>
    <row r="473">
      <c r="A473" s="2"/>
      <c r="B473" s="2"/>
      <c r="C473" s="2"/>
      <c r="D473" s="44"/>
    </row>
    <row r="474">
      <c r="A474" s="2"/>
      <c r="B474" s="2"/>
      <c r="C474" s="2"/>
      <c r="D474" s="44"/>
    </row>
    <row r="475">
      <c r="A475" s="2"/>
      <c r="B475" s="2"/>
      <c r="C475" s="2"/>
      <c r="D475" s="44"/>
    </row>
    <row r="476">
      <c r="A476" s="2"/>
      <c r="B476" s="2"/>
      <c r="C476" s="2"/>
      <c r="D476" s="44"/>
    </row>
    <row r="477">
      <c r="A477" s="2"/>
      <c r="B477" s="2"/>
      <c r="C477" s="2"/>
      <c r="D477" s="44"/>
    </row>
    <row r="478">
      <c r="A478" s="2"/>
      <c r="B478" s="2"/>
      <c r="C478" s="2"/>
      <c r="D478" s="44"/>
    </row>
    <row r="479">
      <c r="A479" s="2"/>
      <c r="B479" s="2"/>
      <c r="C479" s="2"/>
      <c r="D479" s="44"/>
    </row>
    <row r="480">
      <c r="A480" s="2"/>
      <c r="B480" s="2"/>
      <c r="C480" s="2"/>
      <c r="D480" s="44"/>
    </row>
    <row r="481">
      <c r="A481" s="2"/>
      <c r="B481" s="2"/>
      <c r="C481" s="2"/>
      <c r="D481" s="44"/>
    </row>
    <row r="482">
      <c r="A482" s="2"/>
      <c r="B482" s="2"/>
      <c r="C482" s="2"/>
      <c r="D482" s="44"/>
    </row>
    <row r="483">
      <c r="A483" s="2"/>
      <c r="B483" s="2"/>
      <c r="C483" s="2"/>
      <c r="D483" s="44"/>
    </row>
    <row r="484">
      <c r="A484" s="2"/>
      <c r="B484" s="2"/>
      <c r="C484" s="2"/>
      <c r="D484" s="44"/>
    </row>
    <row r="485">
      <c r="A485" s="2"/>
      <c r="B485" s="2"/>
      <c r="C485" s="2"/>
      <c r="D485" s="44"/>
    </row>
    <row r="486">
      <c r="A486" s="2"/>
      <c r="B486" s="2"/>
      <c r="C486" s="2"/>
      <c r="D486" s="44"/>
    </row>
    <row r="487">
      <c r="A487" s="2"/>
      <c r="B487" s="2"/>
      <c r="C487" s="2"/>
      <c r="D487" s="44"/>
    </row>
    <row r="488">
      <c r="A488" s="2"/>
      <c r="B488" s="2"/>
      <c r="C488" s="2"/>
      <c r="D488" s="44"/>
    </row>
    <row r="489">
      <c r="A489" s="2"/>
      <c r="B489" s="2"/>
      <c r="C489" s="2"/>
      <c r="D489" s="44"/>
    </row>
    <row r="490">
      <c r="A490" s="2"/>
      <c r="B490" s="2"/>
      <c r="C490" s="2"/>
      <c r="D490" s="44"/>
    </row>
    <row r="491">
      <c r="A491" s="2"/>
      <c r="B491" s="2"/>
      <c r="C491" s="2"/>
      <c r="D491" s="44"/>
    </row>
    <row r="492">
      <c r="A492" s="2"/>
      <c r="B492" s="2"/>
      <c r="C492" s="2"/>
      <c r="D492" s="44"/>
    </row>
    <row r="493">
      <c r="A493" s="2"/>
      <c r="B493" s="2"/>
      <c r="C493" s="2"/>
      <c r="D493" s="44"/>
    </row>
    <row r="494">
      <c r="A494" s="2"/>
      <c r="B494" s="2"/>
      <c r="C494" s="2"/>
      <c r="D494" s="44"/>
    </row>
    <row r="495">
      <c r="A495" s="2"/>
      <c r="B495" s="2"/>
      <c r="C495" s="2"/>
      <c r="D495" s="44"/>
    </row>
    <row r="496">
      <c r="A496" s="2"/>
      <c r="B496" s="2"/>
      <c r="C496" s="2"/>
      <c r="D496" s="44"/>
    </row>
    <row r="497">
      <c r="A497" s="2"/>
      <c r="B497" s="2"/>
      <c r="C497" s="2"/>
      <c r="D497" s="44"/>
    </row>
    <row r="498">
      <c r="A498" s="2"/>
      <c r="B498" s="2"/>
      <c r="C498" s="2"/>
      <c r="D498" s="44"/>
    </row>
    <row r="499">
      <c r="A499" s="2"/>
      <c r="B499" s="2"/>
      <c r="C499" s="2"/>
      <c r="D499" s="44"/>
    </row>
    <row r="500">
      <c r="A500" s="2"/>
      <c r="B500" s="2"/>
      <c r="C500" s="2"/>
      <c r="D500" s="44"/>
    </row>
    <row r="501">
      <c r="A501" s="2"/>
      <c r="B501" s="2"/>
      <c r="C501" s="2"/>
      <c r="D501" s="44"/>
    </row>
    <row r="502">
      <c r="A502" s="2"/>
      <c r="B502" s="2"/>
      <c r="C502" s="2"/>
      <c r="D502" s="44"/>
    </row>
    <row r="503">
      <c r="A503" s="2"/>
      <c r="B503" s="2"/>
      <c r="C503" s="2"/>
      <c r="D503" s="44"/>
    </row>
    <row r="504">
      <c r="A504" s="2"/>
      <c r="B504" s="2"/>
      <c r="C504" s="2"/>
      <c r="D504" s="44"/>
    </row>
    <row r="505">
      <c r="A505" s="2"/>
      <c r="B505" s="2"/>
      <c r="C505" s="2"/>
      <c r="D505" s="44"/>
    </row>
    <row r="506">
      <c r="A506" s="2"/>
      <c r="B506" s="2"/>
      <c r="C506" s="2"/>
      <c r="D506" s="44"/>
    </row>
    <row r="507">
      <c r="A507" s="2"/>
      <c r="B507" s="2"/>
      <c r="C507" s="2"/>
      <c r="D507" s="44"/>
    </row>
    <row r="508">
      <c r="A508" s="2"/>
      <c r="B508" s="2"/>
      <c r="C508" s="2"/>
      <c r="D508" s="44"/>
    </row>
    <row r="509">
      <c r="A509" s="2"/>
      <c r="B509" s="2"/>
      <c r="C509" s="2"/>
      <c r="D509" s="44"/>
    </row>
    <row r="510">
      <c r="A510" s="2"/>
      <c r="B510" s="2"/>
      <c r="C510" s="2"/>
      <c r="D510" s="44"/>
    </row>
    <row r="511">
      <c r="A511" s="2"/>
      <c r="B511" s="2"/>
      <c r="C511" s="2"/>
      <c r="D511" s="44"/>
    </row>
    <row r="512">
      <c r="A512" s="2"/>
      <c r="B512" s="2"/>
      <c r="C512" s="2"/>
      <c r="D512" s="44"/>
    </row>
    <row r="513">
      <c r="A513" s="2"/>
      <c r="B513" s="2"/>
      <c r="C513" s="2"/>
      <c r="D513" s="44"/>
    </row>
    <row r="514">
      <c r="A514" s="2"/>
      <c r="B514" s="2"/>
      <c r="C514" s="2"/>
      <c r="D514" s="44"/>
    </row>
    <row r="515">
      <c r="A515" s="2"/>
      <c r="B515" s="2"/>
      <c r="C515" s="2"/>
      <c r="D515" s="44"/>
    </row>
    <row r="516">
      <c r="A516" s="2"/>
      <c r="B516" s="2"/>
      <c r="C516" s="2"/>
      <c r="D516" s="44"/>
    </row>
    <row r="517">
      <c r="A517" s="2"/>
      <c r="B517" s="2"/>
      <c r="C517" s="2"/>
      <c r="D517" s="44"/>
    </row>
    <row r="518">
      <c r="A518" s="2"/>
      <c r="B518" s="2"/>
      <c r="C518" s="2"/>
      <c r="D518" s="44"/>
    </row>
    <row r="519">
      <c r="A519" s="2"/>
      <c r="B519" s="2"/>
      <c r="C519" s="2"/>
      <c r="D519" s="44"/>
    </row>
    <row r="520">
      <c r="A520" s="2"/>
      <c r="B520" s="2"/>
      <c r="C520" s="2"/>
      <c r="D520" s="44"/>
    </row>
    <row r="521">
      <c r="A521" s="2"/>
      <c r="B521" s="2"/>
      <c r="C521" s="2"/>
      <c r="D521" s="44"/>
    </row>
    <row r="522">
      <c r="A522" s="2"/>
      <c r="B522" s="2"/>
      <c r="C522" s="2"/>
      <c r="D522" s="44"/>
    </row>
    <row r="523">
      <c r="A523" s="2"/>
      <c r="B523" s="2"/>
      <c r="C523" s="2"/>
      <c r="D523" s="44"/>
    </row>
    <row r="524">
      <c r="A524" s="2"/>
      <c r="B524" s="2"/>
      <c r="C524" s="2"/>
      <c r="D524" s="44"/>
    </row>
    <row r="525">
      <c r="A525" s="2"/>
      <c r="B525" s="2"/>
      <c r="C525" s="2"/>
      <c r="D525" s="44"/>
    </row>
    <row r="526">
      <c r="A526" s="2"/>
      <c r="B526" s="2"/>
      <c r="C526" s="2"/>
      <c r="D526" s="44"/>
    </row>
    <row r="527">
      <c r="A527" s="2"/>
      <c r="B527" s="2"/>
      <c r="C527" s="2"/>
      <c r="D527" s="44"/>
    </row>
    <row r="528">
      <c r="A528" s="2"/>
      <c r="B528" s="2"/>
      <c r="C528" s="2"/>
      <c r="D528" s="44"/>
    </row>
    <row r="529">
      <c r="A529" s="2"/>
      <c r="B529" s="2"/>
      <c r="C529" s="2"/>
      <c r="D529" s="44"/>
    </row>
    <row r="530">
      <c r="A530" s="2"/>
      <c r="B530" s="2"/>
      <c r="C530" s="2"/>
      <c r="D530" s="44"/>
    </row>
    <row r="531">
      <c r="A531" s="2"/>
      <c r="B531" s="2"/>
      <c r="C531" s="2"/>
      <c r="D531" s="44"/>
    </row>
    <row r="532">
      <c r="A532" s="2"/>
      <c r="B532" s="2"/>
      <c r="C532" s="2"/>
      <c r="D532" s="44"/>
    </row>
    <row r="533">
      <c r="A533" s="2"/>
      <c r="B533" s="2"/>
      <c r="C533" s="2"/>
      <c r="D533" s="44"/>
    </row>
    <row r="534">
      <c r="A534" s="2"/>
      <c r="B534" s="2"/>
      <c r="C534" s="2"/>
      <c r="D534" s="44"/>
    </row>
    <row r="535">
      <c r="A535" s="2"/>
      <c r="B535" s="2"/>
      <c r="C535" s="2"/>
      <c r="D535" s="44"/>
    </row>
    <row r="536">
      <c r="A536" s="2"/>
      <c r="B536" s="2"/>
      <c r="C536" s="2"/>
      <c r="D536" s="44"/>
    </row>
    <row r="537">
      <c r="A537" s="2"/>
      <c r="B537" s="2"/>
      <c r="C537" s="2"/>
      <c r="D537" s="44"/>
    </row>
    <row r="538">
      <c r="A538" s="2"/>
      <c r="B538" s="2"/>
      <c r="C538" s="2"/>
      <c r="D538" s="44"/>
    </row>
    <row r="539">
      <c r="A539" s="2"/>
      <c r="B539" s="2"/>
      <c r="C539" s="2"/>
      <c r="D539" s="44"/>
    </row>
    <row r="540">
      <c r="A540" s="2"/>
      <c r="B540" s="2"/>
      <c r="C540" s="2"/>
      <c r="D540" s="44"/>
    </row>
    <row r="541">
      <c r="A541" s="2"/>
      <c r="B541" s="2"/>
      <c r="C541" s="2"/>
      <c r="D541" s="44"/>
    </row>
    <row r="542">
      <c r="A542" s="2"/>
      <c r="B542" s="2"/>
      <c r="C542" s="2"/>
      <c r="D542" s="44"/>
    </row>
    <row r="543">
      <c r="A543" s="2"/>
      <c r="B543" s="2"/>
      <c r="C543" s="2"/>
      <c r="D543" s="44"/>
    </row>
    <row r="544">
      <c r="A544" s="2"/>
      <c r="B544" s="2"/>
      <c r="C544" s="2"/>
      <c r="D544" s="44"/>
    </row>
    <row r="545">
      <c r="A545" s="2"/>
      <c r="B545" s="2"/>
      <c r="C545" s="2"/>
      <c r="D545" s="44"/>
    </row>
    <row r="546">
      <c r="A546" s="2"/>
      <c r="B546" s="2"/>
      <c r="C546" s="2"/>
      <c r="D546" s="44"/>
    </row>
    <row r="547">
      <c r="A547" s="2"/>
      <c r="B547" s="2"/>
      <c r="C547" s="2"/>
      <c r="D547" s="44"/>
    </row>
    <row r="548">
      <c r="A548" s="2"/>
      <c r="B548" s="2"/>
      <c r="C548" s="2"/>
      <c r="D548" s="44"/>
    </row>
    <row r="549">
      <c r="A549" s="2"/>
      <c r="B549" s="2"/>
      <c r="C549" s="2"/>
      <c r="D549" s="44"/>
    </row>
    <row r="550">
      <c r="A550" s="2"/>
      <c r="B550" s="2"/>
      <c r="C550" s="2"/>
      <c r="D550" s="44"/>
    </row>
    <row r="551">
      <c r="A551" s="2"/>
      <c r="B551" s="2"/>
      <c r="C551" s="2"/>
      <c r="D551" s="44"/>
    </row>
    <row r="552">
      <c r="A552" s="2"/>
      <c r="B552" s="2"/>
      <c r="C552" s="2"/>
      <c r="D552" s="44"/>
    </row>
    <row r="553">
      <c r="A553" s="2"/>
      <c r="B553" s="2"/>
      <c r="C553" s="2"/>
      <c r="D553" s="44"/>
    </row>
    <row r="554">
      <c r="A554" s="2"/>
      <c r="B554" s="2"/>
      <c r="C554" s="2"/>
      <c r="D554" s="44"/>
    </row>
    <row r="555">
      <c r="A555" s="2"/>
      <c r="B555" s="2"/>
      <c r="C555" s="2"/>
      <c r="D555" s="44"/>
    </row>
    <row r="556">
      <c r="A556" s="2"/>
      <c r="B556" s="2"/>
      <c r="C556" s="2"/>
      <c r="D556" s="44"/>
    </row>
    <row r="557">
      <c r="A557" s="2"/>
      <c r="B557" s="2"/>
      <c r="C557" s="2"/>
      <c r="D557" s="44"/>
    </row>
    <row r="558">
      <c r="A558" s="2"/>
      <c r="B558" s="2"/>
      <c r="C558" s="2"/>
      <c r="D558" s="44"/>
    </row>
    <row r="559">
      <c r="A559" s="2"/>
      <c r="B559" s="2"/>
      <c r="C559" s="2"/>
      <c r="D559" s="44"/>
    </row>
    <row r="560">
      <c r="A560" s="2"/>
      <c r="B560" s="2"/>
      <c r="C560" s="2"/>
      <c r="D560" s="44"/>
    </row>
    <row r="561">
      <c r="A561" s="2"/>
      <c r="B561" s="2"/>
      <c r="C561" s="2"/>
      <c r="D561" s="44"/>
    </row>
    <row r="562">
      <c r="A562" s="2"/>
      <c r="B562" s="2"/>
      <c r="C562" s="2"/>
      <c r="D562" s="44"/>
    </row>
    <row r="563">
      <c r="A563" s="2"/>
      <c r="B563" s="2"/>
      <c r="C563" s="2"/>
      <c r="D563" s="44"/>
    </row>
    <row r="564">
      <c r="A564" s="2"/>
      <c r="B564" s="2"/>
      <c r="C564" s="2"/>
      <c r="D564" s="44"/>
    </row>
    <row r="565">
      <c r="A565" s="2"/>
      <c r="B565" s="2"/>
      <c r="C565" s="2"/>
      <c r="D565" s="44"/>
    </row>
    <row r="566">
      <c r="A566" s="2"/>
      <c r="B566" s="2"/>
      <c r="C566" s="2"/>
      <c r="D566" s="44"/>
    </row>
    <row r="567">
      <c r="A567" s="2"/>
      <c r="B567" s="2"/>
      <c r="C567" s="2"/>
      <c r="D567" s="44"/>
    </row>
    <row r="568">
      <c r="A568" s="2"/>
      <c r="B568" s="2"/>
      <c r="C568" s="2"/>
      <c r="D568" s="44"/>
    </row>
    <row r="569">
      <c r="A569" s="2"/>
      <c r="B569" s="2"/>
      <c r="C569" s="2"/>
      <c r="D569" s="44"/>
    </row>
    <row r="570">
      <c r="A570" s="2"/>
      <c r="B570" s="2"/>
      <c r="C570" s="2"/>
      <c r="D570" s="44"/>
    </row>
    <row r="571">
      <c r="A571" s="2"/>
      <c r="B571" s="2"/>
      <c r="C571" s="2"/>
      <c r="D571" s="44"/>
    </row>
    <row r="572">
      <c r="A572" s="2"/>
      <c r="B572" s="2"/>
      <c r="C572" s="2"/>
      <c r="D572" s="44"/>
    </row>
    <row r="573">
      <c r="A573" s="2"/>
      <c r="B573" s="2"/>
      <c r="C573" s="2"/>
      <c r="D573" s="44"/>
    </row>
    <row r="574">
      <c r="A574" s="2"/>
      <c r="B574" s="2"/>
      <c r="C574" s="2"/>
      <c r="D574" s="44"/>
    </row>
    <row r="575">
      <c r="A575" s="2"/>
      <c r="B575" s="2"/>
      <c r="C575" s="2"/>
      <c r="D575" s="44"/>
    </row>
    <row r="576">
      <c r="A576" s="2"/>
      <c r="B576" s="2"/>
      <c r="C576" s="2"/>
      <c r="D576" s="44"/>
    </row>
    <row r="577">
      <c r="A577" s="2"/>
      <c r="B577" s="2"/>
      <c r="C577" s="2"/>
      <c r="D577" s="44"/>
    </row>
    <row r="578">
      <c r="A578" s="2"/>
      <c r="B578" s="2"/>
      <c r="C578" s="2"/>
      <c r="D578" s="44"/>
    </row>
    <row r="579">
      <c r="A579" s="2"/>
      <c r="B579" s="2"/>
      <c r="C579" s="2"/>
      <c r="D579" s="44"/>
    </row>
    <row r="580">
      <c r="A580" s="2"/>
      <c r="B580" s="2"/>
      <c r="C580" s="2"/>
      <c r="D580" s="44"/>
    </row>
    <row r="581">
      <c r="A581" s="2"/>
      <c r="B581" s="2"/>
      <c r="C581" s="2"/>
      <c r="D581" s="44"/>
    </row>
    <row r="582">
      <c r="A582" s="2"/>
      <c r="B582" s="2"/>
      <c r="C582" s="2"/>
      <c r="D582" s="44"/>
    </row>
    <row r="583">
      <c r="A583" s="2"/>
      <c r="B583" s="2"/>
      <c r="C583" s="2"/>
      <c r="D583" s="44"/>
    </row>
    <row r="584">
      <c r="A584" s="2"/>
      <c r="B584" s="2"/>
      <c r="C584" s="2"/>
      <c r="D584" s="44"/>
    </row>
    <row r="585">
      <c r="A585" s="2"/>
      <c r="B585" s="2"/>
      <c r="C585" s="2"/>
      <c r="D585" s="44"/>
    </row>
    <row r="586">
      <c r="A586" s="2"/>
      <c r="B586" s="2"/>
      <c r="C586" s="2"/>
      <c r="D586" s="44"/>
    </row>
    <row r="587">
      <c r="A587" s="2"/>
      <c r="B587" s="2"/>
      <c r="C587" s="2"/>
      <c r="D587" s="44"/>
    </row>
    <row r="588">
      <c r="A588" s="2"/>
      <c r="B588" s="2"/>
      <c r="C588" s="2"/>
      <c r="D588" s="44"/>
    </row>
    <row r="589">
      <c r="A589" s="2"/>
      <c r="B589" s="2"/>
      <c r="C589" s="2"/>
      <c r="D589" s="44"/>
    </row>
    <row r="590">
      <c r="A590" s="2"/>
      <c r="B590" s="2"/>
      <c r="C590" s="2"/>
      <c r="D590" s="44"/>
    </row>
    <row r="591">
      <c r="A591" s="2"/>
      <c r="B591" s="2"/>
      <c r="C591" s="2"/>
      <c r="D591" s="44"/>
    </row>
    <row r="592">
      <c r="A592" s="2"/>
      <c r="B592" s="2"/>
      <c r="C592" s="2"/>
      <c r="D592" s="44"/>
    </row>
    <row r="593">
      <c r="A593" s="2"/>
      <c r="B593" s="2"/>
      <c r="C593" s="2"/>
      <c r="D593" s="44"/>
    </row>
    <row r="594">
      <c r="A594" s="2"/>
      <c r="B594" s="2"/>
      <c r="C594" s="2"/>
      <c r="D594" s="44"/>
    </row>
    <row r="595">
      <c r="A595" s="2"/>
      <c r="B595" s="2"/>
      <c r="C595" s="2"/>
      <c r="D595" s="44"/>
    </row>
    <row r="596">
      <c r="A596" s="2"/>
      <c r="B596" s="2"/>
      <c r="C596" s="2"/>
      <c r="D596" s="44"/>
    </row>
    <row r="597">
      <c r="A597" s="2"/>
      <c r="B597" s="2"/>
      <c r="C597" s="2"/>
      <c r="D597" s="44"/>
    </row>
    <row r="598">
      <c r="A598" s="2"/>
      <c r="B598" s="2"/>
      <c r="C598" s="2"/>
      <c r="D598" s="44"/>
    </row>
    <row r="599">
      <c r="A599" s="2"/>
      <c r="B599" s="2"/>
      <c r="C599" s="2"/>
      <c r="D599" s="44"/>
    </row>
    <row r="600">
      <c r="A600" s="2"/>
      <c r="B600" s="2"/>
      <c r="C600" s="2"/>
      <c r="D600" s="44"/>
    </row>
    <row r="601">
      <c r="A601" s="2"/>
      <c r="B601" s="2"/>
      <c r="C601" s="2"/>
      <c r="D601" s="44"/>
    </row>
    <row r="602">
      <c r="A602" s="2"/>
      <c r="B602" s="2"/>
      <c r="C602" s="2"/>
      <c r="D602" s="44"/>
    </row>
    <row r="603">
      <c r="A603" s="2"/>
      <c r="B603" s="2"/>
      <c r="C603" s="2"/>
      <c r="D603" s="44"/>
    </row>
    <row r="604">
      <c r="A604" s="2"/>
      <c r="B604" s="2"/>
      <c r="C604" s="2"/>
      <c r="D604" s="44"/>
    </row>
    <row r="605">
      <c r="A605" s="2"/>
      <c r="B605" s="2"/>
      <c r="C605" s="2"/>
      <c r="D605" s="44"/>
    </row>
    <row r="606">
      <c r="A606" s="2"/>
      <c r="B606" s="2"/>
      <c r="C606" s="2"/>
      <c r="D606" s="44"/>
    </row>
    <row r="607">
      <c r="A607" s="2"/>
      <c r="B607" s="2"/>
      <c r="C607" s="2"/>
      <c r="D607" s="44"/>
    </row>
    <row r="608">
      <c r="A608" s="2"/>
      <c r="B608" s="2"/>
      <c r="C608" s="2"/>
      <c r="D608" s="44"/>
    </row>
    <row r="609">
      <c r="A609" s="2"/>
      <c r="B609" s="2"/>
      <c r="C609" s="2"/>
      <c r="D609" s="44"/>
    </row>
    <row r="610">
      <c r="A610" s="2"/>
      <c r="B610" s="2"/>
      <c r="C610" s="2"/>
      <c r="D610" s="44"/>
    </row>
    <row r="611">
      <c r="A611" s="2"/>
      <c r="B611" s="2"/>
      <c r="C611" s="2"/>
      <c r="D611" s="44"/>
    </row>
    <row r="612">
      <c r="A612" s="2"/>
      <c r="B612" s="2"/>
      <c r="C612" s="2"/>
      <c r="D612" s="44"/>
    </row>
    <row r="613">
      <c r="A613" s="2"/>
      <c r="B613" s="2"/>
      <c r="C613" s="2"/>
      <c r="D613" s="44"/>
    </row>
    <row r="614">
      <c r="A614" s="2"/>
      <c r="B614" s="2"/>
      <c r="C614" s="2"/>
      <c r="D614" s="44"/>
    </row>
    <row r="615">
      <c r="A615" s="2"/>
      <c r="B615" s="2"/>
      <c r="C615" s="2"/>
      <c r="D615" s="44"/>
    </row>
    <row r="616">
      <c r="A616" s="2"/>
      <c r="B616" s="2"/>
      <c r="C616" s="2"/>
      <c r="D616" s="44"/>
    </row>
    <row r="617">
      <c r="A617" s="2"/>
      <c r="B617" s="2"/>
      <c r="C617" s="2"/>
      <c r="D617" s="44"/>
    </row>
    <row r="618">
      <c r="A618" s="2"/>
      <c r="B618" s="2"/>
      <c r="C618" s="2"/>
      <c r="D618" s="44"/>
    </row>
    <row r="619">
      <c r="A619" s="2"/>
      <c r="B619" s="2"/>
      <c r="C619" s="2"/>
      <c r="D619" s="44"/>
    </row>
    <row r="620">
      <c r="A620" s="2"/>
      <c r="B620" s="2"/>
      <c r="C620" s="2"/>
      <c r="D620" s="44"/>
    </row>
    <row r="621">
      <c r="A621" s="2"/>
      <c r="B621" s="2"/>
      <c r="C621" s="2"/>
      <c r="D621" s="44"/>
    </row>
    <row r="622">
      <c r="A622" s="2"/>
      <c r="B622" s="2"/>
      <c r="C622" s="2"/>
      <c r="D622" s="44"/>
    </row>
    <row r="623">
      <c r="A623" s="2"/>
      <c r="B623" s="2"/>
      <c r="C623" s="2"/>
      <c r="D623" s="44"/>
    </row>
    <row r="624">
      <c r="A624" s="2"/>
      <c r="B624" s="2"/>
      <c r="C624" s="2"/>
      <c r="D624" s="44"/>
    </row>
    <row r="625">
      <c r="A625" s="2"/>
      <c r="B625" s="2"/>
      <c r="C625" s="2"/>
      <c r="D625" s="44"/>
    </row>
    <row r="626">
      <c r="A626" s="2"/>
      <c r="B626" s="2"/>
      <c r="C626" s="2"/>
      <c r="D626" s="44"/>
    </row>
    <row r="627">
      <c r="A627" s="2"/>
      <c r="B627" s="2"/>
      <c r="C627" s="2"/>
      <c r="D627" s="44"/>
    </row>
    <row r="628">
      <c r="A628" s="2"/>
      <c r="B628" s="2"/>
      <c r="C628" s="2"/>
      <c r="D628" s="44"/>
    </row>
    <row r="629">
      <c r="A629" s="2"/>
      <c r="B629" s="2"/>
      <c r="C629" s="2"/>
      <c r="D629" s="44"/>
    </row>
    <row r="630">
      <c r="A630" s="2"/>
      <c r="B630" s="2"/>
      <c r="C630" s="2"/>
      <c r="D630" s="44"/>
    </row>
    <row r="631">
      <c r="A631" s="2"/>
      <c r="B631" s="2"/>
      <c r="C631" s="2"/>
      <c r="D631" s="44"/>
    </row>
    <row r="632">
      <c r="A632" s="2"/>
      <c r="B632" s="2"/>
      <c r="C632" s="2"/>
      <c r="D632" s="44"/>
    </row>
    <row r="633">
      <c r="A633" s="2"/>
      <c r="B633" s="2"/>
      <c r="C633" s="2"/>
      <c r="D633" s="44"/>
    </row>
    <row r="634">
      <c r="A634" s="2"/>
      <c r="B634" s="2"/>
      <c r="C634" s="2"/>
      <c r="D634" s="44"/>
    </row>
    <row r="635">
      <c r="A635" s="2"/>
      <c r="B635" s="2"/>
      <c r="C635" s="2"/>
      <c r="D635" s="44"/>
    </row>
    <row r="636">
      <c r="A636" s="2"/>
      <c r="B636" s="2"/>
      <c r="C636" s="2"/>
      <c r="D636" s="44"/>
    </row>
    <row r="637">
      <c r="A637" s="2"/>
      <c r="B637" s="2"/>
      <c r="C637" s="2"/>
      <c r="D637" s="44"/>
    </row>
    <row r="638">
      <c r="A638" s="2"/>
      <c r="B638" s="2"/>
      <c r="C638" s="2"/>
      <c r="D638" s="44"/>
    </row>
    <row r="639">
      <c r="A639" s="2"/>
      <c r="B639" s="2"/>
      <c r="C639" s="2"/>
      <c r="D639" s="44"/>
    </row>
    <row r="640">
      <c r="A640" s="2"/>
      <c r="B640" s="2"/>
      <c r="C640" s="2"/>
      <c r="D640" s="44"/>
    </row>
    <row r="641">
      <c r="A641" s="2"/>
      <c r="B641" s="2"/>
      <c r="C641" s="2"/>
      <c r="D641" s="44"/>
    </row>
    <row r="642">
      <c r="A642" s="2"/>
      <c r="B642" s="2"/>
      <c r="C642" s="2"/>
      <c r="D642" s="44"/>
    </row>
    <row r="643">
      <c r="A643" s="2"/>
      <c r="B643" s="2"/>
      <c r="C643" s="2"/>
      <c r="D643" s="44"/>
    </row>
    <row r="644">
      <c r="A644" s="2"/>
      <c r="B644" s="2"/>
      <c r="C644" s="2"/>
      <c r="D644" s="44"/>
    </row>
    <row r="645">
      <c r="A645" s="2"/>
      <c r="B645" s="2"/>
      <c r="C645" s="2"/>
      <c r="D645" s="44"/>
    </row>
    <row r="646">
      <c r="A646" s="2"/>
      <c r="B646" s="2"/>
      <c r="C646" s="2"/>
      <c r="D646" s="44"/>
    </row>
    <row r="647">
      <c r="A647" s="2"/>
      <c r="B647" s="2"/>
      <c r="C647" s="2"/>
      <c r="D647" s="44"/>
    </row>
    <row r="648">
      <c r="A648" s="2"/>
      <c r="B648" s="2"/>
      <c r="C648" s="2"/>
      <c r="D648" s="44"/>
    </row>
    <row r="649">
      <c r="A649" s="2"/>
      <c r="B649" s="2"/>
      <c r="C649" s="2"/>
      <c r="D649" s="44"/>
    </row>
    <row r="650">
      <c r="A650" s="2"/>
      <c r="B650" s="2"/>
      <c r="C650" s="2"/>
      <c r="D650" s="44"/>
    </row>
    <row r="651">
      <c r="A651" s="2"/>
      <c r="B651" s="2"/>
      <c r="C651" s="2"/>
      <c r="D651" s="44"/>
    </row>
    <row r="652">
      <c r="A652" s="2"/>
      <c r="B652" s="2"/>
      <c r="C652" s="2"/>
      <c r="D652" s="44"/>
    </row>
    <row r="653">
      <c r="A653" s="2"/>
      <c r="B653" s="2"/>
      <c r="C653" s="2"/>
      <c r="D653" s="44"/>
    </row>
    <row r="654">
      <c r="A654" s="2"/>
      <c r="B654" s="2"/>
      <c r="C654" s="2"/>
      <c r="D654" s="44"/>
    </row>
    <row r="655">
      <c r="A655" s="2"/>
      <c r="B655" s="2"/>
      <c r="C655" s="2"/>
      <c r="D655" s="44"/>
    </row>
    <row r="656">
      <c r="A656" s="2"/>
      <c r="B656" s="2"/>
      <c r="C656" s="2"/>
      <c r="D656" s="44"/>
    </row>
    <row r="657">
      <c r="A657" s="2"/>
      <c r="B657" s="2"/>
      <c r="C657" s="2"/>
      <c r="D657" s="44"/>
    </row>
    <row r="658">
      <c r="A658" s="2"/>
      <c r="B658" s="2"/>
      <c r="C658" s="2"/>
      <c r="D658" s="44"/>
    </row>
    <row r="659">
      <c r="A659" s="2"/>
      <c r="B659" s="2"/>
      <c r="C659" s="2"/>
      <c r="D659" s="44"/>
    </row>
    <row r="660">
      <c r="A660" s="2"/>
      <c r="B660" s="2"/>
      <c r="C660" s="2"/>
      <c r="D660" s="44"/>
    </row>
    <row r="661">
      <c r="A661" s="2"/>
      <c r="B661" s="2"/>
      <c r="C661" s="2"/>
      <c r="D661" s="44"/>
    </row>
    <row r="662">
      <c r="A662" s="2"/>
      <c r="B662" s="2"/>
      <c r="C662" s="2"/>
      <c r="D662" s="44"/>
    </row>
    <row r="663">
      <c r="A663" s="2"/>
      <c r="B663" s="2"/>
      <c r="C663" s="2"/>
      <c r="D663" s="44"/>
    </row>
    <row r="664">
      <c r="A664" s="2"/>
      <c r="B664" s="2"/>
      <c r="C664" s="2"/>
      <c r="D664" s="44"/>
    </row>
    <row r="665">
      <c r="A665" s="2"/>
      <c r="B665" s="2"/>
      <c r="C665" s="2"/>
      <c r="D665" s="44"/>
    </row>
    <row r="666">
      <c r="A666" s="2"/>
      <c r="B666" s="2"/>
      <c r="C666" s="2"/>
      <c r="D666" s="44"/>
    </row>
    <row r="667">
      <c r="A667" s="2"/>
      <c r="B667" s="2"/>
      <c r="C667" s="2"/>
      <c r="D667" s="44"/>
    </row>
    <row r="668">
      <c r="A668" s="2"/>
      <c r="B668" s="2"/>
      <c r="C668" s="2"/>
      <c r="D668" s="44"/>
    </row>
    <row r="669">
      <c r="A669" s="2"/>
      <c r="B669" s="2"/>
      <c r="C669" s="2"/>
      <c r="D669" s="44"/>
    </row>
    <row r="670">
      <c r="A670" s="2"/>
      <c r="B670" s="2"/>
      <c r="C670" s="2"/>
      <c r="D670" s="44"/>
    </row>
    <row r="671">
      <c r="A671" s="2"/>
      <c r="B671" s="2"/>
      <c r="C671" s="2"/>
      <c r="D671" s="44"/>
    </row>
    <row r="672">
      <c r="A672" s="2"/>
      <c r="B672" s="2"/>
      <c r="C672" s="2"/>
      <c r="D672" s="44"/>
    </row>
    <row r="673">
      <c r="A673" s="2"/>
      <c r="B673" s="2"/>
      <c r="C673" s="2"/>
      <c r="D673" s="44"/>
    </row>
    <row r="674">
      <c r="A674" s="2"/>
      <c r="B674" s="2"/>
      <c r="C674" s="2"/>
      <c r="D674" s="44"/>
    </row>
    <row r="675">
      <c r="A675" s="2"/>
      <c r="B675" s="2"/>
      <c r="C675" s="2"/>
      <c r="D675" s="44"/>
    </row>
    <row r="676">
      <c r="A676" s="2"/>
      <c r="B676" s="2"/>
      <c r="C676" s="2"/>
      <c r="D676" s="44"/>
    </row>
    <row r="677">
      <c r="A677" s="2"/>
      <c r="B677" s="2"/>
      <c r="C677" s="2"/>
      <c r="D677" s="44"/>
    </row>
    <row r="678">
      <c r="A678" s="2"/>
      <c r="B678" s="2"/>
      <c r="C678" s="2"/>
      <c r="D678" s="44"/>
    </row>
    <row r="679">
      <c r="A679" s="2"/>
      <c r="B679" s="2"/>
      <c r="C679" s="2"/>
      <c r="D679" s="44"/>
    </row>
    <row r="680">
      <c r="A680" s="2"/>
      <c r="B680" s="2"/>
      <c r="C680" s="2"/>
      <c r="D680" s="44"/>
    </row>
    <row r="681">
      <c r="A681" s="2"/>
      <c r="B681" s="2"/>
      <c r="C681" s="2"/>
      <c r="D681" s="44"/>
    </row>
    <row r="682">
      <c r="A682" s="2"/>
      <c r="B682" s="2"/>
      <c r="C682" s="2"/>
      <c r="D682" s="44"/>
    </row>
    <row r="683">
      <c r="A683" s="2"/>
      <c r="B683" s="2"/>
      <c r="C683" s="2"/>
      <c r="D683" s="44"/>
    </row>
    <row r="684">
      <c r="A684" s="2"/>
      <c r="B684" s="2"/>
      <c r="C684" s="2"/>
      <c r="D684" s="44"/>
    </row>
    <row r="685">
      <c r="A685" s="2"/>
      <c r="B685" s="2"/>
      <c r="C685" s="2"/>
      <c r="D685" s="44"/>
    </row>
    <row r="686">
      <c r="A686" s="2"/>
      <c r="B686" s="2"/>
      <c r="C686" s="2"/>
      <c r="D686" s="44"/>
    </row>
    <row r="687">
      <c r="A687" s="2"/>
      <c r="B687" s="2"/>
      <c r="C687" s="2"/>
      <c r="D687" s="44"/>
    </row>
    <row r="688">
      <c r="A688" s="2"/>
      <c r="B688" s="2"/>
      <c r="C688" s="2"/>
      <c r="D688" s="44"/>
    </row>
    <row r="689">
      <c r="A689" s="2"/>
      <c r="B689" s="2"/>
      <c r="C689" s="2"/>
      <c r="D689" s="44"/>
    </row>
    <row r="690">
      <c r="A690" s="2"/>
      <c r="B690" s="2"/>
      <c r="C690" s="2"/>
      <c r="D690" s="44"/>
    </row>
    <row r="691">
      <c r="A691" s="2"/>
      <c r="B691" s="2"/>
      <c r="C691" s="2"/>
      <c r="D691" s="44"/>
    </row>
    <row r="692">
      <c r="A692" s="2"/>
      <c r="B692" s="2"/>
      <c r="C692" s="2"/>
      <c r="D692" s="44"/>
    </row>
    <row r="693">
      <c r="A693" s="2"/>
      <c r="B693" s="2"/>
      <c r="C693" s="2"/>
      <c r="D693" s="44"/>
    </row>
    <row r="694">
      <c r="A694" s="2"/>
      <c r="B694" s="2"/>
      <c r="C694" s="2"/>
      <c r="D694" s="44"/>
    </row>
    <row r="695">
      <c r="A695" s="2"/>
      <c r="B695" s="2"/>
      <c r="C695" s="2"/>
      <c r="D695" s="44"/>
    </row>
    <row r="696">
      <c r="A696" s="2"/>
      <c r="B696" s="2"/>
      <c r="C696" s="2"/>
      <c r="D696" s="44"/>
    </row>
    <row r="697">
      <c r="A697" s="2"/>
      <c r="B697" s="2"/>
      <c r="C697" s="2"/>
      <c r="D697" s="44"/>
    </row>
    <row r="698">
      <c r="A698" s="2"/>
      <c r="B698" s="2"/>
      <c r="C698" s="2"/>
      <c r="D698" s="44"/>
    </row>
    <row r="699">
      <c r="A699" s="2"/>
      <c r="B699" s="2"/>
      <c r="C699" s="2"/>
      <c r="D699" s="44"/>
    </row>
    <row r="700">
      <c r="A700" s="2"/>
      <c r="B700" s="2"/>
      <c r="C700" s="2"/>
      <c r="D700" s="44"/>
    </row>
    <row r="701">
      <c r="A701" s="2"/>
      <c r="B701" s="2"/>
      <c r="C701" s="2"/>
      <c r="D701" s="44"/>
    </row>
    <row r="702">
      <c r="A702" s="2"/>
      <c r="B702" s="2"/>
      <c r="C702" s="2"/>
      <c r="D702" s="44"/>
    </row>
    <row r="703">
      <c r="A703" s="2"/>
      <c r="B703" s="2"/>
      <c r="C703" s="2"/>
      <c r="D703" s="44"/>
    </row>
    <row r="704">
      <c r="A704" s="2"/>
      <c r="B704" s="2"/>
      <c r="C704" s="2"/>
      <c r="D704" s="44"/>
    </row>
    <row r="705">
      <c r="A705" s="2"/>
      <c r="B705" s="2"/>
      <c r="C705" s="2"/>
      <c r="D705" s="44"/>
    </row>
    <row r="706">
      <c r="A706" s="2"/>
      <c r="B706" s="2"/>
      <c r="C706" s="2"/>
      <c r="D706" s="44"/>
    </row>
    <row r="707">
      <c r="A707" s="2"/>
      <c r="B707" s="2"/>
      <c r="C707" s="2"/>
      <c r="D707" s="44"/>
    </row>
    <row r="708">
      <c r="A708" s="2"/>
      <c r="B708" s="2"/>
      <c r="C708" s="2"/>
      <c r="D708" s="44"/>
    </row>
    <row r="709">
      <c r="A709" s="2"/>
      <c r="B709" s="2"/>
      <c r="C709" s="2"/>
      <c r="D709" s="44"/>
    </row>
    <row r="710">
      <c r="A710" s="2"/>
      <c r="B710" s="2"/>
      <c r="C710" s="2"/>
      <c r="D710" s="44"/>
    </row>
    <row r="711">
      <c r="A711" s="2"/>
      <c r="B711" s="2"/>
      <c r="C711" s="2"/>
      <c r="D711" s="44"/>
    </row>
    <row r="712">
      <c r="A712" s="2"/>
      <c r="B712" s="2"/>
      <c r="C712" s="2"/>
      <c r="D712" s="44"/>
    </row>
    <row r="713">
      <c r="A713" s="2"/>
      <c r="B713" s="2"/>
      <c r="C713" s="2"/>
      <c r="D713" s="44"/>
    </row>
    <row r="714">
      <c r="A714" s="2"/>
      <c r="B714" s="2"/>
      <c r="C714" s="2"/>
      <c r="D714" s="44"/>
    </row>
    <row r="715">
      <c r="A715" s="2"/>
      <c r="B715" s="2"/>
      <c r="C715" s="2"/>
      <c r="D715" s="44"/>
    </row>
    <row r="716">
      <c r="A716" s="2"/>
      <c r="B716" s="2"/>
      <c r="C716" s="2"/>
      <c r="D716" s="44"/>
    </row>
    <row r="717">
      <c r="A717" s="2"/>
      <c r="B717" s="2"/>
      <c r="C717" s="2"/>
      <c r="D717" s="44"/>
    </row>
    <row r="718">
      <c r="A718" s="2"/>
      <c r="B718" s="2"/>
      <c r="C718" s="2"/>
      <c r="D718" s="44"/>
    </row>
    <row r="719">
      <c r="A719" s="2"/>
      <c r="B719" s="2"/>
      <c r="C719" s="2"/>
      <c r="D719" s="44"/>
    </row>
    <row r="720">
      <c r="A720" s="2"/>
      <c r="B720" s="2"/>
      <c r="C720" s="2"/>
      <c r="D720" s="44"/>
    </row>
    <row r="721">
      <c r="A721" s="2"/>
      <c r="B721" s="2"/>
      <c r="C721" s="2"/>
      <c r="D721" s="44"/>
    </row>
    <row r="722">
      <c r="A722" s="2"/>
      <c r="B722" s="2"/>
      <c r="C722" s="2"/>
      <c r="D722" s="44"/>
    </row>
    <row r="723">
      <c r="A723" s="2"/>
      <c r="B723" s="2"/>
      <c r="C723" s="2"/>
      <c r="D723" s="44"/>
    </row>
    <row r="724">
      <c r="A724" s="2"/>
      <c r="B724" s="2"/>
      <c r="C724" s="2"/>
      <c r="D724" s="44"/>
    </row>
    <row r="725">
      <c r="A725" s="2"/>
      <c r="B725" s="2"/>
      <c r="C725" s="2"/>
      <c r="D725" s="44"/>
    </row>
    <row r="726">
      <c r="A726" s="2"/>
      <c r="B726" s="2"/>
      <c r="C726" s="2"/>
      <c r="D726" s="44"/>
    </row>
    <row r="727">
      <c r="A727" s="2"/>
      <c r="B727" s="2"/>
      <c r="C727" s="2"/>
      <c r="D727" s="44"/>
    </row>
    <row r="728">
      <c r="A728" s="2"/>
      <c r="B728" s="2"/>
      <c r="C728" s="2"/>
      <c r="D728" s="44"/>
    </row>
    <row r="729">
      <c r="A729" s="2"/>
      <c r="B729" s="2"/>
      <c r="C729" s="2"/>
      <c r="D729" s="44"/>
    </row>
    <row r="730">
      <c r="A730" s="2"/>
      <c r="B730" s="2"/>
      <c r="C730" s="2"/>
      <c r="D730" s="44"/>
    </row>
    <row r="731">
      <c r="A731" s="2"/>
      <c r="B731" s="2"/>
      <c r="C731" s="2"/>
      <c r="D731" s="44"/>
    </row>
    <row r="732">
      <c r="A732" s="2"/>
      <c r="B732" s="2"/>
      <c r="C732" s="2"/>
      <c r="D732" s="44"/>
    </row>
    <row r="733">
      <c r="A733" s="2"/>
      <c r="B733" s="2"/>
      <c r="C733" s="2"/>
      <c r="D733" s="44"/>
    </row>
    <row r="734">
      <c r="A734" s="2"/>
      <c r="B734" s="2"/>
      <c r="C734" s="2"/>
      <c r="D734" s="44"/>
    </row>
    <row r="735">
      <c r="A735" s="2"/>
      <c r="B735" s="2"/>
      <c r="C735" s="2"/>
      <c r="D735" s="44"/>
    </row>
    <row r="736">
      <c r="A736" s="2"/>
      <c r="B736" s="2"/>
      <c r="C736" s="2"/>
      <c r="D736" s="44"/>
    </row>
    <row r="737">
      <c r="A737" s="2"/>
      <c r="B737" s="2"/>
      <c r="C737" s="2"/>
      <c r="D737" s="44"/>
    </row>
    <row r="738">
      <c r="A738" s="2"/>
      <c r="B738" s="2"/>
      <c r="C738" s="2"/>
      <c r="D738" s="44"/>
    </row>
    <row r="739">
      <c r="A739" s="2"/>
      <c r="B739" s="2"/>
      <c r="C739" s="2"/>
      <c r="D739" s="44"/>
    </row>
    <row r="740">
      <c r="A740" s="2"/>
      <c r="B740" s="2"/>
      <c r="C740" s="2"/>
      <c r="D740" s="44"/>
    </row>
    <row r="741">
      <c r="A741" s="2"/>
      <c r="B741" s="2"/>
      <c r="C741" s="2"/>
      <c r="D741" s="44"/>
    </row>
    <row r="742">
      <c r="A742" s="2"/>
      <c r="B742" s="2"/>
      <c r="C742" s="2"/>
      <c r="D742" s="44"/>
    </row>
    <row r="743">
      <c r="A743" s="2"/>
      <c r="B743" s="2"/>
      <c r="C743" s="2"/>
      <c r="D743" s="44"/>
    </row>
    <row r="744">
      <c r="A744" s="2"/>
      <c r="B744" s="2"/>
      <c r="C744" s="2"/>
      <c r="D744" s="44"/>
    </row>
    <row r="745">
      <c r="A745" s="2"/>
      <c r="B745" s="2"/>
      <c r="C745" s="2"/>
      <c r="D745" s="44"/>
    </row>
    <row r="746">
      <c r="A746" s="2"/>
      <c r="B746" s="2"/>
      <c r="C746" s="2"/>
      <c r="D746" s="44"/>
    </row>
    <row r="747">
      <c r="A747" s="2"/>
      <c r="B747" s="2"/>
      <c r="C747" s="2"/>
      <c r="D747" s="44"/>
    </row>
    <row r="748">
      <c r="A748" s="2"/>
      <c r="B748" s="2"/>
      <c r="C748" s="2"/>
      <c r="D748" s="44"/>
    </row>
    <row r="749">
      <c r="A749" s="2"/>
      <c r="B749" s="2"/>
      <c r="C749" s="2"/>
      <c r="D749" s="44"/>
    </row>
    <row r="750">
      <c r="A750" s="2"/>
      <c r="B750" s="2"/>
      <c r="C750" s="2"/>
      <c r="D750" s="44"/>
    </row>
    <row r="751">
      <c r="A751" s="2"/>
      <c r="B751" s="2"/>
      <c r="C751" s="2"/>
      <c r="D751" s="44"/>
    </row>
    <row r="752">
      <c r="A752" s="2"/>
      <c r="B752" s="2"/>
      <c r="C752" s="2"/>
      <c r="D752" s="44"/>
    </row>
    <row r="753">
      <c r="A753" s="2"/>
      <c r="B753" s="2"/>
      <c r="C753" s="2"/>
      <c r="D753" s="44"/>
    </row>
    <row r="754">
      <c r="A754" s="2"/>
      <c r="B754" s="2"/>
      <c r="C754" s="2"/>
      <c r="D754" s="44"/>
    </row>
    <row r="755">
      <c r="A755" s="2"/>
      <c r="B755" s="2"/>
      <c r="C755" s="2"/>
      <c r="D755" s="44"/>
    </row>
    <row r="756">
      <c r="A756" s="2"/>
      <c r="B756" s="2"/>
      <c r="C756" s="2"/>
      <c r="D756" s="44"/>
    </row>
    <row r="757">
      <c r="A757" s="2"/>
      <c r="B757" s="2"/>
      <c r="C757" s="2"/>
      <c r="D757" s="44"/>
    </row>
    <row r="758">
      <c r="A758" s="2"/>
      <c r="B758" s="2"/>
      <c r="C758" s="2"/>
      <c r="D758" s="44"/>
    </row>
    <row r="759">
      <c r="A759" s="2"/>
      <c r="B759" s="2"/>
      <c r="C759" s="2"/>
      <c r="D759" s="44"/>
    </row>
    <row r="760">
      <c r="A760" s="2"/>
      <c r="B760" s="2"/>
      <c r="C760" s="2"/>
      <c r="D760" s="44"/>
    </row>
    <row r="761">
      <c r="A761" s="2"/>
      <c r="B761" s="2"/>
      <c r="C761" s="2"/>
      <c r="D761" s="44"/>
    </row>
    <row r="762">
      <c r="A762" s="2"/>
      <c r="B762" s="2"/>
      <c r="C762" s="2"/>
      <c r="D762" s="44"/>
    </row>
    <row r="763">
      <c r="A763" s="2"/>
      <c r="B763" s="2"/>
      <c r="C763" s="2"/>
      <c r="D763" s="44"/>
    </row>
    <row r="764">
      <c r="A764" s="2"/>
      <c r="B764" s="2"/>
      <c r="C764" s="2"/>
      <c r="D764" s="44"/>
    </row>
    <row r="765">
      <c r="A765" s="2"/>
      <c r="B765" s="2"/>
      <c r="C765" s="2"/>
      <c r="D765" s="44"/>
    </row>
    <row r="766">
      <c r="A766" s="2"/>
      <c r="B766" s="2"/>
      <c r="C766" s="2"/>
      <c r="D766" s="44"/>
    </row>
    <row r="767">
      <c r="A767" s="2"/>
      <c r="B767" s="2"/>
      <c r="C767" s="2"/>
      <c r="D767" s="44"/>
    </row>
    <row r="768">
      <c r="A768" s="2"/>
      <c r="B768" s="2"/>
      <c r="C768" s="2"/>
      <c r="D768" s="44"/>
    </row>
    <row r="769">
      <c r="A769" s="2"/>
      <c r="B769" s="2"/>
      <c r="C769" s="2"/>
      <c r="D769" s="44"/>
    </row>
    <row r="770">
      <c r="A770" s="2"/>
      <c r="B770" s="2"/>
      <c r="C770" s="2"/>
      <c r="D770" s="44"/>
    </row>
    <row r="771">
      <c r="A771" s="2"/>
      <c r="B771" s="2"/>
      <c r="C771" s="2"/>
      <c r="D771" s="44"/>
    </row>
    <row r="772">
      <c r="A772" s="2"/>
      <c r="B772" s="2"/>
      <c r="C772" s="2"/>
      <c r="D772" s="44"/>
    </row>
    <row r="773">
      <c r="A773" s="2"/>
      <c r="B773" s="2"/>
      <c r="C773" s="2"/>
      <c r="D773" s="44"/>
    </row>
    <row r="774">
      <c r="A774" s="2"/>
      <c r="B774" s="2"/>
      <c r="C774" s="2"/>
      <c r="D774" s="44"/>
    </row>
    <row r="775">
      <c r="A775" s="2"/>
      <c r="B775" s="2"/>
      <c r="C775" s="2"/>
      <c r="D775" s="44"/>
    </row>
    <row r="776">
      <c r="A776" s="2"/>
      <c r="B776" s="2"/>
      <c r="C776" s="2"/>
      <c r="D776" s="44"/>
    </row>
    <row r="777">
      <c r="A777" s="2"/>
      <c r="B777" s="2"/>
      <c r="C777" s="2"/>
      <c r="D777" s="44"/>
    </row>
    <row r="778">
      <c r="A778" s="2"/>
      <c r="B778" s="2"/>
      <c r="C778" s="2"/>
      <c r="D778" s="44"/>
    </row>
    <row r="779">
      <c r="A779" s="2"/>
      <c r="B779" s="2"/>
      <c r="C779" s="2"/>
      <c r="D779" s="44"/>
    </row>
    <row r="780">
      <c r="A780" s="2"/>
      <c r="B780" s="2"/>
      <c r="C780" s="2"/>
      <c r="D780" s="44"/>
    </row>
    <row r="781">
      <c r="A781" s="2"/>
      <c r="B781" s="2"/>
      <c r="C781" s="2"/>
      <c r="D781" s="44"/>
    </row>
    <row r="782">
      <c r="A782" s="2"/>
      <c r="B782" s="2"/>
      <c r="C782" s="2"/>
      <c r="D782" s="44"/>
    </row>
    <row r="783">
      <c r="A783" s="2"/>
      <c r="B783" s="2"/>
      <c r="C783" s="2"/>
      <c r="D783" s="44"/>
    </row>
    <row r="784">
      <c r="A784" s="2"/>
      <c r="B784" s="2"/>
      <c r="C784" s="2"/>
      <c r="D784" s="44"/>
    </row>
    <row r="785">
      <c r="A785" s="2"/>
      <c r="B785" s="2"/>
      <c r="C785" s="2"/>
      <c r="D785" s="44"/>
    </row>
    <row r="786">
      <c r="A786" s="2"/>
      <c r="B786" s="2"/>
      <c r="C786" s="2"/>
      <c r="D786" s="44"/>
    </row>
    <row r="787">
      <c r="A787" s="2"/>
      <c r="B787" s="2"/>
      <c r="C787" s="2"/>
      <c r="D787" s="44"/>
    </row>
    <row r="788">
      <c r="A788" s="2"/>
      <c r="B788" s="2"/>
      <c r="C788" s="2"/>
      <c r="D788" s="44"/>
    </row>
    <row r="789">
      <c r="A789" s="2"/>
      <c r="B789" s="2"/>
      <c r="C789" s="2"/>
      <c r="D789" s="44"/>
    </row>
    <row r="790">
      <c r="A790" s="2"/>
      <c r="B790" s="2"/>
      <c r="C790" s="2"/>
      <c r="D790" s="44"/>
    </row>
    <row r="791">
      <c r="A791" s="2"/>
      <c r="B791" s="2"/>
      <c r="C791" s="2"/>
      <c r="D791" s="44"/>
    </row>
    <row r="792">
      <c r="A792" s="2"/>
      <c r="B792" s="2"/>
      <c r="C792" s="2"/>
      <c r="D792" s="44"/>
    </row>
    <row r="793">
      <c r="A793" s="2"/>
      <c r="B793" s="2"/>
      <c r="C793" s="2"/>
      <c r="D793" s="44"/>
    </row>
    <row r="794">
      <c r="A794" s="2"/>
      <c r="B794" s="2"/>
      <c r="C794" s="2"/>
      <c r="D794" s="44"/>
    </row>
    <row r="795">
      <c r="A795" s="2"/>
      <c r="B795" s="2"/>
      <c r="C795" s="2"/>
      <c r="D795" s="44"/>
    </row>
    <row r="796">
      <c r="A796" s="2"/>
      <c r="B796" s="2"/>
      <c r="C796" s="2"/>
      <c r="D796" s="44"/>
    </row>
    <row r="797">
      <c r="A797" s="2"/>
      <c r="B797" s="2"/>
      <c r="C797" s="2"/>
      <c r="D797" s="44"/>
    </row>
    <row r="798">
      <c r="A798" s="2"/>
      <c r="B798" s="2"/>
      <c r="C798" s="2"/>
      <c r="D798" s="44"/>
    </row>
    <row r="799">
      <c r="A799" s="2"/>
      <c r="B799" s="2"/>
      <c r="C799" s="2"/>
      <c r="D799" s="44"/>
    </row>
    <row r="800">
      <c r="A800" s="2"/>
      <c r="B800" s="2"/>
      <c r="C800" s="2"/>
      <c r="D800" s="44"/>
    </row>
    <row r="801">
      <c r="A801" s="2"/>
      <c r="B801" s="2"/>
      <c r="C801" s="2"/>
      <c r="D801" s="44"/>
    </row>
    <row r="802">
      <c r="A802" s="2"/>
      <c r="B802" s="2"/>
      <c r="C802" s="2"/>
      <c r="D802" s="44"/>
    </row>
    <row r="803">
      <c r="A803" s="2"/>
      <c r="B803" s="2"/>
      <c r="C803" s="2"/>
      <c r="D803" s="44"/>
    </row>
    <row r="804">
      <c r="A804" s="2"/>
      <c r="B804" s="2"/>
      <c r="C804" s="2"/>
      <c r="D804" s="44"/>
    </row>
    <row r="805">
      <c r="A805" s="2"/>
      <c r="B805" s="2"/>
      <c r="C805" s="2"/>
      <c r="D805" s="44"/>
    </row>
    <row r="806">
      <c r="A806" s="2"/>
      <c r="B806" s="2"/>
      <c r="C806" s="2"/>
      <c r="D806" s="44"/>
    </row>
    <row r="807">
      <c r="A807" s="2"/>
      <c r="B807" s="2"/>
      <c r="C807" s="2"/>
      <c r="D807" s="44"/>
    </row>
    <row r="808">
      <c r="A808" s="2"/>
      <c r="B808" s="2"/>
      <c r="C808" s="2"/>
      <c r="D808" s="44"/>
    </row>
    <row r="809">
      <c r="A809" s="2"/>
      <c r="B809" s="2"/>
      <c r="C809" s="2"/>
      <c r="D809" s="44"/>
    </row>
    <row r="810">
      <c r="A810" s="2"/>
      <c r="B810" s="2"/>
      <c r="C810" s="2"/>
      <c r="D810" s="44"/>
    </row>
    <row r="811">
      <c r="A811" s="2"/>
      <c r="B811" s="2"/>
      <c r="C811" s="2"/>
      <c r="D811" s="44"/>
    </row>
    <row r="812">
      <c r="A812" s="2"/>
      <c r="B812" s="2"/>
      <c r="C812" s="2"/>
      <c r="D812" s="44"/>
    </row>
    <row r="813">
      <c r="A813" s="2"/>
      <c r="B813" s="2"/>
      <c r="C813" s="2"/>
      <c r="D813" s="44"/>
    </row>
    <row r="814">
      <c r="A814" s="2"/>
      <c r="B814" s="2"/>
      <c r="C814" s="2"/>
      <c r="D814" s="44"/>
    </row>
    <row r="815">
      <c r="A815" s="2"/>
      <c r="B815" s="2"/>
      <c r="C815" s="2"/>
      <c r="D815" s="44"/>
    </row>
    <row r="816">
      <c r="A816" s="2"/>
      <c r="B816" s="2"/>
      <c r="C816" s="2"/>
      <c r="D816" s="44"/>
    </row>
    <row r="817">
      <c r="A817" s="2"/>
      <c r="B817" s="2"/>
      <c r="C817" s="2"/>
      <c r="D817" s="44"/>
    </row>
    <row r="818">
      <c r="A818" s="2"/>
      <c r="B818" s="2"/>
      <c r="C818" s="2"/>
      <c r="D818" s="44"/>
    </row>
    <row r="819">
      <c r="A819" s="2"/>
      <c r="B819" s="2"/>
      <c r="C819" s="2"/>
      <c r="D819" s="44"/>
    </row>
    <row r="820">
      <c r="A820" s="2"/>
      <c r="B820" s="2"/>
      <c r="C820" s="2"/>
      <c r="D820" s="44"/>
    </row>
    <row r="821">
      <c r="A821" s="2"/>
      <c r="B821" s="2"/>
      <c r="C821" s="2"/>
      <c r="D821" s="44"/>
    </row>
    <row r="822">
      <c r="A822" s="2"/>
      <c r="B822" s="2"/>
      <c r="C822" s="2"/>
      <c r="D822" s="44"/>
    </row>
    <row r="823">
      <c r="A823" s="2"/>
      <c r="B823" s="2"/>
      <c r="C823" s="2"/>
      <c r="D823" s="44"/>
    </row>
    <row r="824">
      <c r="A824" s="2"/>
      <c r="B824" s="2"/>
      <c r="C824" s="2"/>
      <c r="D824" s="44"/>
    </row>
    <row r="825">
      <c r="A825" s="2"/>
      <c r="B825" s="2"/>
      <c r="C825" s="2"/>
      <c r="D825" s="44"/>
    </row>
    <row r="826">
      <c r="A826" s="2"/>
      <c r="B826" s="2"/>
      <c r="C826" s="2"/>
      <c r="D826" s="44"/>
    </row>
    <row r="827">
      <c r="A827" s="2"/>
      <c r="B827" s="2"/>
      <c r="C827" s="2"/>
      <c r="D827" s="44"/>
    </row>
    <row r="828">
      <c r="A828" s="2"/>
      <c r="B828" s="2"/>
      <c r="C828" s="2"/>
      <c r="D828" s="44"/>
    </row>
    <row r="829">
      <c r="A829" s="2"/>
      <c r="B829" s="2"/>
      <c r="C829" s="2"/>
      <c r="D829" s="44"/>
    </row>
    <row r="830">
      <c r="A830" s="2"/>
      <c r="B830" s="2"/>
      <c r="C830" s="2"/>
      <c r="D830" s="44"/>
    </row>
    <row r="831">
      <c r="A831" s="2"/>
      <c r="B831" s="2"/>
      <c r="C831" s="2"/>
      <c r="D831" s="44"/>
    </row>
    <row r="832">
      <c r="A832" s="2"/>
      <c r="B832" s="2"/>
      <c r="C832" s="2"/>
      <c r="D832" s="44"/>
    </row>
    <row r="833">
      <c r="A833" s="2"/>
      <c r="B833" s="2"/>
      <c r="C833" s="2"/>
      <c r="D833" s="44"/>
    </row>
    <row r="834">
      <c r="A834" s="2"/>
      <c r="B834" s="2"/>
      <c r="C834" s="2"/>
      <c r="D834" s="44"/>
    </row>
    <row r="835">
      <c r="A835" s="2"/>
      <c r="B835" s="2"/>
      <c r="C835" s="2"/>
      <c r="D835" s="44"/>
    </row>
    <row r="836">
      <c r="A836" s="2"/>
      <c r="B836" s="2"/>
      <c r="C836" s="2"/>
      <c r="D836" s="44"/>
    </row>
    <row r="837">
      <c r="A837" s="2"/>
      <c r="B837" s="2"/>
      <c r="C837" s="2"/>
      <c r="D837" s="44"/>
    </row>
    <row r="838">
      <c r="A838" s="2"/>
      <c r="B838" s="2"/>
      <c r="C838" s="2"/>
      <c r="D838" s="44"/>
    </row>
    <row r="839">
      <c r="A839" s="2"/>
      <c r="B839" s="2"/>
      <c r="C839" s="2"/>
      <c r="D839" s="44"/>
    </row>
    <row r="840">
      <c r="A840" s="2"/>
      <c r="B840" s="2"/>
      <c r="C840" s="2"/>
      <c r="D840" s="44"/>
    </row>
    <row r="841">
      <c r="A841" s="2"/>
      <c r="B841" s="2"/>
      <c r="C841" s="2"/>
      <c r="D841" s="44"/>
    </row>
    <row r="842">
      <c r="A842" s="2"/>
      <c r="B842" s="2"/>
      <c r="C842" s="2"/>
      <c r="D842" s="44"/>
    </row>
    <row r="843">
      <c r="A843" s="2"/>
      <c r="B843" s="2"/>
      <c r="C843" s="2"/>
      <c r="D843" s="44"/>
    </row>
    <row r="844">
      <c r="A844" s="2"/>
      <c r="B844" s="2"/>
      <c r="C844" s="2"/>
      <c r="D844" s="44"/>
    </row>
    <row r="845">
      <c r="A845" s="2"/>
      <c r="B845" s="2"/>
      <c r="C845" s="2"/>
      <c r="D845" s="44"/>
    </row>
    <row r="846">
      <c r="A846" s="2"/>
      <c r="B846" s="2"/>
      <c r="C846" s="2"/>
      <c r="D846" s="44"/>
    </row>
    <row r="847">
      <c r="A847" s="2"/>
      <c r="B847" s="2"/>
      <c r="C847" s="2"/>
      <c r="D847" s="44"/>
    </row>
    <row r="848">
      <c r="A848" s="2"/>
      <c r="B848" s="2"/>
      <c r="C848" s="2"/>
      <c r="D848" s="44"/>
    </row>
    <row r="849">
      <c r="A849" s="2"/>
      <c r="B849" s="2"/>
      <c r="C849" s="2"/>
      <c r="D849" s="44"/>
    </row>
    <row r="850">
      <c r="A850" s="2"/>
      <c r="B850" s="2"/>
      <c r="C850" s="2"/>
      <c r="D850" s="44"/>
    </row>
    <row r="851">
      <c r="A851" s="2"/>
      <c r="B851" s="2"/>
      <c r="C851" s="2"/>
      <c r="D851" s="44"/>
    </row>
    <row r="852">
      <c r="A852" s="2"/>
      <c r="B852" s="2"/>
      <c r="C852" s="2"/>
      <c r="D852" s="44"/>
    </row>
    <row r="853">
      <c r="A853" s="2"/>
      <c r="B853" s="2"/>
      <c r="C853" s="2"/>
      <c r="D853" s="44"/>
    </row>
    <row r="854">
      <c r="A854" s="2"/>
      <c r="B854" s="2"/>
      <c r="C854" s="2"/>
      <c r="D854" s="44"/>
    </row>
    <row r="855">
      <c r="A855" s="2"/>
      <c r="B855" s="2"/>
      <c r="C855" s="2"/>
      <c r="D855" s="44"/>
    </row>
    <row r="856">
      <c r="A856" s="2"/>
      <c r="B856" s="2"/>
      <c r="C856" s="2"/>
      <c r="D856" s="44"/>
    </row>
    <row r="857">
      <c r="A857" s="2"/>
      <c r="B857" s="2"/>
      <c r="C857" s="2"/>
      <c r="D857" s="44"/>
    </row>
    <row r="858">
      <c r="A858" s="2"/>
      <c r="B858" s="2"/>
      <c r="C858" s="2"/>
      <c r="D858" s="44"/>
    </row>
    <row r="859">
      <c r="A859" s="2"/>
      <c r="B859" s="2"/>
      <c r="C859" s="2"/>
      <c r="D859" s="44"/>
    </row>
    <row r="860">
      <c r="A860" s="2"/>
      <c r="B860" s="2"/>
      <c r="C860" s="2"/>
      <c r="D860" s="44"/>
    </row>
    <row r="861">
      <c r="A861" s="2"/>
      <c r="B861" s="2"/>
      <c r="C861" s="2"/>
      <c r="D861" s="44"/>
    </row>
    <row r="862">
      <c r="A862" s="2"/>
      <c r="B862" s="2"/>
      <c r="C862" s="2"/>
      <c r="D862" s="44"/>
    </row>
    <row r="863">
      <c r="A863" s="2"/>
      <c r="B863" s="2"/>
      <c r="C863" s="2"/>
      <c r="D863" s="44"/>
    </row>
    <row r="864">
      <c r="A864" s="2"/>
      <c r="B864" s="2"/>
      <c r="C864" s="2"/>
      <c r="D864" s="44"/>
    </row>
    <row r="865">
      <c r="A865" s="2"/>
      <c r="B865" s="2"/>
      <c r="C865" s="2"/>
      <c r="D865" s="44"/>
    </row>
    <row r="866">
      <c r="A866" s="2"/>
      <c r="B866" s="2"/>
      <c r="C866" s="2"/>
      <c r="D866" s="44"/>
    </row>
    <row r="867">
      <c r="A867" s="2"/>
      <c r="B867" s="2"/>
      <c r="C867" s="2"/>
      <c r="D867" s="44"/>
    </row>
    <row r="868">
      <c r="A868" s="2"/>
      <c r="B868" s="2"/>
      <c r="C868" s="2"/>
      <c r="D868" s="44"/>
    </row>
    <row r="869">
      <c r="A869" s="2"/>
      <c r="B869" s="2"/>
      <c r="C869" s="2"/>
      <c r="D869" s="44"/>
    </row>
    <row r="870">
      <c r="A870" s="2"/>
      <c r="B870" s="2"/>
      <c r="C870" s="2"/>
      <c r="D870" s="44"/>
    </row>
    <row r="871">
      <c r="A871" s="2"/>
      <c r="B871" s="2"/>
      <c r="C871" s="2"/>
      <c r="D871" s="44"/>
    </row>
    <row r="872">
      <c r="A872" s="2"/>
      <c r="B872" s="2"/>
      <c r="C872" s="2"/>
      <c r="D872" s="44"/>
    </row>
    <row r="873">
      <c r="A873" s="2"/>
      <c r="B873" s="2"/>
      <c r="C873" s="2"/>
      <c r="D873" s="44"/>
    </row>
    <row r="874">
      <c r="A874" s="2"/>
      <c r="B874" s="2"/>
      <c r="C874" s="2"/>
      <c r="D874" s="44"/>
    </row>
    <row r="875">
      <c r="A875" s="2"/>
      <c r="B875" s="2"/>
      <c r="C875" s="2"/>
      <c r="D875" s="44"/>
    </row>
    <row r="876">
      <c r="A876" s="2"/>
      <c r="B876" s="2"/>
      <c r="C876" s="2"/>
      <c r="D876" s="44"/>
    </row>
    <row r="877">
      <c r="A877" s="2"/>
      <c r="B877" s="2"/>
      <c r="C877" s="2"/>
      <c r="D877" s="44"/>
    </row>
    <row r="878">
      <c r="A878" s="2"/>
      <c r="B878" s="2"/>
      <c r="C878" s="2"/>
      <c r="D878" s="44"/>
    </row>
    <row r="879">
      <c r="A879" s="2"/>
      <c r="B879" s="2"/>
      <c r="C879" s="2"/>
      <c r="D879" s="44"/>
    </row>
    <row r="880">
      <c r="A880" s="2"/>
      <c r="B880" s="2"/>
      <c r="C880" s="2"/>
      <c r="D880" s="44"/>
    </row>
    <row r="881">
      <c r="A881" s="2"/>
      <c r="B881" s="2"/>
      <c r="C881" s="2"/>
      <c r="D881" s="44"/>
    </row>
    <row r="882">
      <c r="A882" s="2"/>
      <c r="B882" s="2"/>
      <c r="C882" s="2"/>
      <c r="D882" s="44"/>
    </row>
    <row r="883">
      <c r="A883" s="2"/>
      <c r="B883" s="2"/>
      <c r="C883" s="2"/>
      <c r="D883" s="44"/>
    </row>
    <row r="884">
      <c r="A884" s="2"/>
      <c r="B884" s="2"/>
      <c r="C884" s="2"/>
      <c r="D884" s="44"/>
    </row>
    <row r="885">
      <c r="A885" s="2"/>
      <c r="B885" s="2"/>
      <c r="C885" s="2"/>
      <c r="D885" s="44"/>
    </row>
    <row r="886">
      <c r="A886" s="2"/>
      <c r="B886" s="2"/>
      <c r="C886" s="2"/>
      <c r="D886" s="44"/>
    </row>
    <row r="887">
      <c r="A887" s="2"/>
      <c r="B887" s="2"/>
      <c r="C887" s="2"/>
      <c r="D887" s="44"/>
    </row>
    <row r="888">
      <c r="A888" s="2"/>
      <c r="B888" s="2"/>
      <c r="C888" s="2"/>
      <c r="D888" s="44"/>
    </row>
    <row r="889">
      <c r="A889" s="2"/>
      <c r="B889" s="2"/>
      <c r="C889" s="2"/>
      <c r="D889" s="44"/>
    </row>
    <row r="890">
      <c r="A890" s="2"/>
      <c r="B890" s="2"/>
      <c r="C890" s="2"/>
      <c r="D890" s="44"/>
    </row>
    <row r="891">
      <c r="A891" s="2"/>
      <c r="B891" s="2"/>
      <c r="C891" s="2"/>
      <c r="D891" s="44"/>
    </row>
    <row r="892">
      <c r="A892" s="2"/>
      <c r="B892" s="2"/>
      <c r="C892" s="2"/>
      <c r="D892" s="44"/>
    </row>
    <row r="893">
      <c r="A893" s="2"/>
      <c r="B893" s="2"/>
      <c r="C893" s="2"/>
      <c r="D893" s="44"/>
    </row>
    <row r="894">
      <c r="A894" s="2"/>
      <c r="B894" s="2"/>
      <c r="C894" s="2"/>
      <c r="D894" s="44"/>
    </row>
    <row r="895">
      <c r="A895" s="2"/>
      <c r="B895" s="2"/>
      <c r="C895" s="2"/>
      <c r="D895" s="44"/>
    </row>
    <row r="896">
      <c r="A896" s="2"/>
      <c r="B896" s="2"/>
      <c r="C896" s="2"/>
      <c r="D896" s="44"/>
    </row>
    <row r="897">
      <c r="A897" s="2"/>
      <c r="B897" s="2"/>
      <c r="C897" s="2"/>
      <c r="D897" s="44"/>
    </row>
    <row r="898">
      <c r="A898" s="2"/>
      <c r="B898" s="2"/>
      <c r="C898" s="2"/>
      <c r="D898" s="44"/>
    </row>
    <row r="899">
      <c r="A899" s="2"/>
      <c r="B899" s="2"/>
      <c r="C899" s="2"/>
      <c r="D899" s="44"/>
    </row>
    <row r="900">
      <c r="A900" s="2"/>
      <c r="B900" s="2"/>
      <c r="C900" s="2"/>
      <c r="D900" s="44"/>
    </row>
    <row r="901">
      <c r="A901" s="2"/>
      <c r="B901" s="2"/>
      <c r="C901" s="2"/>
      <c r="D901" s="44"/>
    </row>
    <row r="902">
      <c r="A902" s="2"/>
      <c r="B902" s="2"/>
      <c r="C902" s="2"/>
      <c r="D902" s="44"/>
    </row>
    <row r="903">
      <c r="A903" s="2"/>
      <c r="B903" s="2"/>
      <c r="C903" s="2"/>
      <c r="D903" s="44"/>
    </row>
    <row r="904">
      <c r="A904" s="2"/>
      <c r="B904" s="2"/>
      <c r="C904" s="2"/>
      <c r="D904" s="44"/>
    </row>
    <row r="905">
      <c r="A905" s="2"/>
      <c r="B905" s="2"/>
      <c r="C905" s="2"/>
      <c r="D905" s="44"/>
    </row>
    <row r="906">
      <c r="A906" s="2"/>
      <c r="B906" s="2"/>
      <c r="C906" s="2"/>
      <c r="D906" s="44"/>
    </row>
    <row r="907">
      <c r="A907" s="2"/>
      <c r="B907" s="2"/>
      <c r="C907" s="2"/>
      <c r="D907" s="44"/>
    </row>
    <row r="908">
      <c r="A908" s="2"/>
      <c r="B908" s="2"/>
      <c r="C908" s="2"/>
      <c r="D908" s="44"/>
    </row>
    <row r="909">
      <c r="A909" s="2"/>
      <c r="B909" s="2"/>
      <c r="C909" s="2"/>
      <c r="D909" s="44"/>
    </row>
    <row r="910">
      <c r="A910" s="2"/>
      <c r="B910" s="2"/>
      <c r="C910" s="2"/>
      <c r="D910" s="44"/>
    </row>
    <row r="911">
      <c r="A911" s="2"/>
      <c r="B911" s="2"/>
      <c r="C911" s="2"/>
      <c r="D911" s="44"/>
    </row>
    <row r="912">
      <c r="A912" s="2"/>
      <c r="B912" s="2"/>
      <c r="C912" s="2"/>
      <c r="D912" s="44"/>
    </row>
    <row r="913">
      <c r="A913" s="2"/>
      <c r="B913" s="2"/>
      <c r="C913" s="2"/>
      <c r="D913" s="44"/>
    </row>
    <row r="914">
      <c r="A914" s="2"/>
      <c r="B914" s="2"/>
      <c r="C914" s="2"/>
      <c r="D914" s="44"/>
    </row>
    <row r="915">
      <c r="A915" s="2"/>
      <c r="B915" s="2"/>
      <c r="C915" s="2"/>
      <c r="D915" s="44"/>
    </row>
    <row r="916">
      <c r="A916" s="2"/>
      <c r="B916" s="2"/>
      <c r="C916" s="2"/>
      <c r="D916" s="44"/>
    </row>
    <row r="917">
      <c r="A917" s="2"/>
      <c r="B917" s="2"/>
      <c r="C917" s="2"/>
      <c r="D917" s="44"/>
    </row>
    <row r="918">
      <c r="A918" s="2"/>
      <c r="B918" s="2"/>
      <c r="C918" s="2"/>
      <c r="D918" s="44"/>
    </row>
    <row r="919">
      <c r="A919" s="2"/>
      <c r="B919" s="2"/>
      <c r="C919" s="2"/>
      <c r="D919" s="44"/>
    </row>
    <row r="920">
      <c r="A920" s="2"/>
      <c r="B920" s="2"/>
      <c r="C920" s="2"/>
      <c r="D920" s="44"/>
    </row>
    <row r="921">
      <c r="A921" s="2"/>
      <c r="B921" s="2"/>
      <c r="C921" s="2"/>
      <c r="D921" s="44"/>
    </row>
    <row r="922">
      <c r="A922" s="2"/>
      <c r="B922" s="2"/>
      <c r="C922" s="2"/>
      <c r="D922" s="44"/>
    </row>
    <row r="923">
      <c r="A923" s="2"/>
      <c r="B923" s="2"/>
      <c r="C923" s="2"/>
      <c r="D923" s="44"/>
    </row>
    <row r="924">
      <c r="A924" s="2"/>
      <c r="B924" s="2"/>
      <c r="C924" s="2"/>
      <c r="D924" s="44"/>
    </row>
    <row r="925">
      <c r="A925" s="2"/>
      <c r="B925" s="2"/>
      <c r="C925" s="2"/>
      <c r="D925" s="44"/>
    </row>
    <row r="926">
      <c r="A926" s="2"/>
      <c r="B926" s="2"/>
      <c r="C926" s="2"/>
      <c r="D926" s="44"/>
    </row>
    <row r="927">
      <c r="A927" s="2"/>
      <c r="B927" s="2"/>
      <c r="C927" s="2"/>
      <c r="D927" s="44"/>
    </row>
    <row r="928">
      <c r="A928" s="2"/>
      <c r="B928" s="2"/>
      <c r="C928" s="2"/>
      <c r="D928" s="44"/>
    </row>
    <row r="929">
      <c r="A929" s="2"/>
      <c r="B929" s="2"/>
      <c r="C929" s="2"/>
      <c r="D929" s="44"/>
    </row>
    <row r="930">
      <c r="A930" s="2"/>
      <c r="B930" s="2"/>
      <c r="C930" s="2"/>
      <c r="D930" s="44"/>
    </row>
    <row r="931">
      <c r="A931" s="2"/>
      <c r="B931" s="2"/>
      <c r="C931" s="2"/>
      <c r="D931" s="44"/>
    </row>
    <row r="932">
      <c r="A932" s="2"/>
      <c r="B932" s="2"/>
      <c r="C932" s="2"/>
      <c r="D932" s="44"/>
    </row>
    <row r="933">
      <c r="A933" s="2"/>
      <c r="B933" s="2"/>
      <c r="C933" s="2"/>
      <c r="D933" s="44"/>
    </row>
    <row r="934">
      <c r="A934" s="2"/>
      <c r="B934" s="2"/>
      <c r="C934" s="2"/>
      <c r="D934" s="44"/>
    </row>
    <row r="935">
      <c r="A935" s="2"/>
      <c r="B935" s="2"/>
      <c r="C935" s="2"/>
      <c r="D935" s="44"/>
    </row>
    <row r="936">
      <c r="A936" s="2"/>
      <c r="B936" s="2"/>
      <c r="C936" s="2"/>
      <c r="D936" s="44"/>
    </row>
    <row r="937">
      <c r="A937" s="2"/>
      <c r="B937" s="2"/>
      <c r="C937" s="2"/>
      <c r="D937" s="44"/>
    </row>
    <row r="938">
      <c r="A938" s="2"/>
      <c r="B938" s="2"/>
      <c r="C938" s="2"/>
      <c r="D938" s="44"/>
    </row>
    <row r="939">
      <c r="A939" s="2"/>
      <c r="B939" s="2"/>
      <c r="C939" s="2"/>
      <c r="D939" s="44"/>
    </row>
    <row r="940">
      <c r="A940" s="2"/>
      <c r="B940" s="2"/>
      <c r="C940" s="2"/>
      <c r="D940" s="44"/>
    </row>
    <row r="941">
      <c r="A941" s="2"/>
      <c r="B941" s="2"/>
      <c r="C941" s="2"/>
      <c r="D941" s="44"/>
    </row>
    <row r="942">
      <c r="A942" s="2"/>
      <c r="B942" s="2"/>
      <c r="C942" s="2"/>
      <c r="D942" s="44"/>
    </row>
    <row r="943">
      <c r="A943" s="2"/>
      <c r="B943" s="2"/>
      <c r="C943" s="2"/>
      <c r="D943" s="44"/>
    </row>
    <row r="944">
      <c r="A944" s="2"/>
      <c r="B944" s="2"/>
      <c r="C944" s="2"/>
      <c r="D944" s="44"/>
    </row>
    <row r="945">
      <c r="A945" s="2"/>
      <c r="B945" s="2"/>
      <c r="C945" s="2"/>
      <c r="D945" s="44"/>
    </row>
    <row r="946">
      <c r="A946" s="2"/>
      <c r="B946" s="2"/>
      <c r="C946" s="2"/>
      <c r="D946" s="44"/>
    </row>
    <row r="947">
      <c r="A947" s="2"/>
      <c r="B947" s="2"/>
      <c r="C947" s="2"/>
      <c r="D947" s="44"/>
    </row>
    <row r="948">
      <c r="A948" s="2"/>
      <c r="B948" s="2"/>
      <c r="C948" s="2"/>
      <c r="D948" s="44"/>
    </row>
    <row r="949">
      <c r="A949" s="2"/>
      <c r="B949" s="2"/>
      <c r="C949" s="2"/>
      <c r="D949" s="44"/>
    </row>
    <row r="950">
      <c r="A950" s="2"/>
      <c r="B950" s="2"/>
      <c r="C950" s="2"/>
      <c r="D950" s="44"/>
    </row>
    <row r="951">
      <c r="A951" s="2"/>
      <c r="B951" s="2"/>
      <c r="C951" s="2"/>
      <c r="D951" s="44"/>
    </row>
    <row r="952">
      <c r="A952" s="2"/>
      <c r="B952" s="2"/>
      <c r="C952" s="2"/>
      <c r="D952" s="44"/>
    </row>
    <row r="953">
      <c r="A953" s="2"/>
      <c r="B953" s="2"/>
      <c r="C953" s="2"/>
      <c r="D953" s="44"/>
    </row>
    <row r="954">
      <c r="A954" s="2"/>
      <c r="B954" s="2"/>
      <c r="C954" s="2"/>
      <c r="D954" s="44"/>
    </row>
    <row r="955">
      <c r="A955" s="2"/>
      <c r="B955" s="2"/>
      <c r="C955" s="2"/>
      <c r="D955" s="44"/>
    </row>
    <row r="956">
      <c r="A956" s="2"/>
      <c r="B956" s="2"/>
      <c r="C956" s="2"/>
      <c r="D956" s="44"/>
    </row>
    <row r="957">
      <c r="A957" s="2"/>
      <c r="B957" s="2"/>
      <c r="C957" s="2"/>
      <c r="D957" s="44"/>
    </row>
    <row r="958">
      <c r="A958" s="2"/>
      <c r="B958" s="2"/>
      <c r="C958" s="2"/>
      <c r="D958" s="44"/>
    </row>
    <row r="959">
      <c r="A959" s="2"/>
      <c r="B959" s="2"/>
      <c r="C959" s="2"/>
      <c r="D959" s="44"/>
    </row>
    <row r="960">
      <c r="A960" s="2"/>
      <c r="B960" s="2"/>
      <c r="C960" s="2"/>
      <c r="D960" s="44"/>
    </row>
    <row r="961">
      <c r="A961" s="2"/>
      <c r="B961" s="2"/>
      <c r="C961" s="2"/>
      <c r="D961" s="44"/>
    </row>
    <row r="962">
      <c r="A962" s="2"/>
      <c r="B962" s="2"/>
      <c r="C962" s="2"/>
      <c r="D962" s="44"/>
    </row>
    <row r="963">
      <c r="A963" s="2"/>
      <c r="B963" s="2"/>
      <c r="C963" s="2"/>
      <c r="D963" s="44"/>
    </row>
    <row r="964">
      <c r="A964" s="2"/>
      <c r="B964" s="2"/>
      <c r="C964" s="2"/>
      <c r="D964" s="44"/>
    </row>
    <row r="965">
      <c r="A965" s="2"/>
      <c r="B965" s="2"/>
      <c r="C965" s="2"/>
      <c r="D965" s="44"/>
    </row>
    <row r="966">
      <c r="A966" s="2"/>
      <c r="B966" s="2"/>
      <c r="C966" s="2"/>
      <c r="D966" s="44"/>
    </row>
    <row r="967">
      <c r="A967" s="2"/>
      <c r="B967" s="2"/>
      <c r="C967" s="2"/>
      <c r="D967" s="44"/>
    </row>
    <row r="968">
      <c r="A968" s="2"/>
      <c r="B968" s="2"/>
      <c r="C968" s="2"/>
      <c r="D968" s="44"/>
    </row>
    <row r="969">
      <c r="A969" s="2"/>
      <c r="B969" s="2"/>
      <c r="C969" s="2"/>
      <c r="D969" s="44"/>
    </row>
    <row r="970">
      <c r="A970" s="2"/>
      <c r="B970" s="2"/>
      <c r="C970" s="2"/>
      <c r="D970" s="44"/>
    </row>
    <row r="971">
      <c r="A971" s="2"/>
      <c r="B971" s="2"/>
      <c r="C971" s="2"/>
      <c r="D971" s="44"/>
    </row>
    <row r="972">
      <c r="A972" s="2"/>
      <c r="B972" s="2"/>
      <c r="C972" s="2"/>
      <c r="D972" s="44"/>
    </row>
    <row r="973">
      <c r="A973" s="2"/>
      <c r="B973" s="2"/>
      <c r="C973" s="2"/>
      <c r="D973" s="44"/>
    </row>
    <row r="974">
      <c r="A974" s="2"/>
      <c r="B974" s="2"/>
      <c r="C974" s="2"/>
      <c r="D974" s="44"/>
    </row>
    <row r="975">
      <c r="A975" s="2"/>
      <c r="B975" s="2"/>
      <c r="C975" s="2"/>
      <c r="D975" s="44"/>
    </row>
    <row r="976">
      <c r="A976" s="2"/>
      <c r="B976" s="2"/>
      <c r="C976" s="2"/>
      <c r="D976" s="44"/>
    </row>
    <row r="977">
      <c r="A977" s="2"/>
      <c r="B977" s="2"/>
      <c r="C977" s="2"/>
      <c r="D977" s="44"/>
    </row>
    <row r="978">
      <c r="A978" s="2"/>
      <c r="B978" s="2"/>
      <c r="C978" s="2"/>
      <c r="D978" s="44"/>
    </row>
    <row r="979">
      <c r="A979" s="2"/>
      <c r="B979" s="2"/>
      <c r="C979" s="2"/>
      <c r="D979" s="44"/>
    </row>
    <row r="980">
      <c r="A980" s="2"/>
      <c r="B980" s="2"/>
      <c r="C980" s="2"/>
      <c r="D980" s="44"/>
    </row>
    <row r="981">
      <c r="A981" s="2"/>
      <c r="B981" s="2"/>
      <c r="C981" s="2"/>
      <c r="D981" s="44"/>
    </row>
    <row r="982">
      <c r="A982" s="2"/>
      <c r="B982" s="2"/>
      <c r="C982" s="2"/>
      <c r="D982" s="44"/>
    </row>
    <row r="983">
      <c r="A983" s="2"/>
      <c r="B983" s="2"/>
      <c r="C983" s="2"/>
      <c r="D983" s="44"/>
    </row>
    <row r="984">
      <c r="A984" s="2"/>
      <c r="B984" s="2"/>
      <c r="C984" s="2"/>
      <c r="D984" s="44"/>
    </row>
    <row r="985">
      <c r="A985" s="2"/>
      <c r="B985" s="2"/>
      <c r="C985" s="2"/>
      <c r="D985" s="44"/>
    </row>
    <row r="986">
      <c r="A986" s="2"/>
      <c r="B986" s="2"/>
      <c r="C986" s="2"/>
      <c r="D986" s="44"/>
    </row>
    <row r="987">
      <c r="A987" s="2"/>
      <c r="B987" s="2"/>
      <c r="C987" s="2"/>
      <c r="D987" s="44"/>
    </row>
    <row r="988">
      <c r="A988" s="2"/>
      <c r="B988" s="2"/>
      <c r="C988" s="2"/>
      <c r="D988" s="44"/>
    </row>
    <row r="989">
      <c r="A989" s="2"/>
      <c r="B989" s="2"/>
      <c r="C989" s="2"/>
      <c r="D989" s="44"/>
    </row>
    <row r="990">
      <c r="A990" s="66"/>
      <c r="B990" s="66"/>
      <c r="C990" s="66"/>
      <c r="D990" s="6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63"/>
    <col customWidth="1" min="2" max="2" width="26.75"/>
    <col customWidth="1" min="3" max="3" width="30.13"/>
    <col customWidth="1" min="4" max="4" width="23.25"/>
    <col customWidth="1" min="5" max="5" width="27.13"/>
    <col customWidth="1" min="6" max="6" width="27.38"/>
    <col customWidth="1" min="7" max="7" width="23.13"/>
    <col customWidth="1" min="8" max="8" width="15.88"/>
    <col customWidth="1" min="10" max="10" width="24.25"/>
  </cols>
  <sheetData>
    <row r="1">
      <c r="A1" s="14" t="s">
        <v>287</v>
      </c>
      <c r="B1" s="14" t="s">
        <v>0</v>
      </c>
      <c r="C1" s="12" t="s">
        <v>9</v>
      </c>
      <c r="D1" s="7" t="s">
        <v>290</v>
      </c>
      <c r="E1" s="1" t="s">
        <v>4</v>
      </c>
      <c r="F1" s="1" t="s">
        <v>291</v>
      </c>
      <c r="G1" s="1" t="s">
        <v>292</v>
      </c>
      <c r="H1" s="1" t="s">
        <v>294</v>
      </c>
      <c r="I1" s="1" t="s">
        <v>294</v>
      </c>
      <c r="J1" s="1" t="s">
        <v>294</v>
      </c>
      <c r="K1" s="1" t="s">
        <v>296</v>
      </c>
      <c r="L1" s="1" t="s">
        <v>245</v>
      </c>
      <c r="M1" s="1" t="s">
        <v>247</v>
      </c>
    </row>
    <row r="2">
      <c r="A2" s="1" t="s">
        <v>299</v>
      </c>
      <c r="B2" s="1" t="s">
        <v>300</v>
      </c>
      <c r="C2" s="1" t="s">
        <v>301</v>
      </c>
      <c r="D2" s="1" t="s">
        <v>301</v>
      </c>
      <c r="E2" s="1" t="s">
        <v>75</v>
      </c>
      <c r="F2" s="1" t="s">
        <v>81</v>
      </c>
      <c r="G2" s="1">
        <v>356647.0</v>
      </c>
      <c r="K2" s="17">
        <f t="shared" ref="K2:K335" si="1">IF(G2&gt;0,1,0)</f>
        <v>1</v>
      </c>
      <c r="L2" s="17">
        <f>IF(COUNTIF(Sheet14!A:A, A2)&gt;0, 1, 0)</f>
        <v>0</v>
      </c>
      <c r="M2" s="17">
        <f t="shared" ref="M2:M3" si="2">if(L2=1,G2*2,G2)</f>
        <v>356647</v>
      </c>
    </row>
    <row r="3">
      <c r="A3" s="1" t="s">
        <v>282</v>
      </c>
      <c r="B3" s="1" t="s">
        <v>282</v>
      </c>
      <c r="C3" s="1" t="s">
        <v>301</v>
      </c>
      <c r="D3" s="1" t="s">
        <v>319</v>
      </c>
      <c r="E3" s="1" t="s">
        <v>31</v>
      </c>
      <c r="F3" s="1" t="s">
        <v>31</v>
      </c>
      <c r="G3" s="1">
        <v>244527.0</v>
      </c>
      <c r="K3" s="17">
        <f t="shared" si="1"/>
        <v>1</v>
      </c>
      <c r="L3" s="17">
        <f>IF(COUNTIF(Sheet14!A:A, A3)&gt;0, 1, 0)</f>
        <v>0</v>
      </c>
      <c r="M3" s="17">
        <f t="shared" si="2"/>
        <v>244527</v>
      </c>
    </row>
    <row r="4" hidden="1">
      <c r="A4" s="35" t="s">
        <v>331</v>
      </c>
      <c r="B4" s="35" t="s">
        <v>333</v>
      </c>
      <c r="C4" s="35" t="s">
        <v>301</v>
      </c>
      <c r="D4" s="35" t="s">
        <v>319</v>
      </c>
      <c r="E4" s="35" t="s">
        <v>31</v>
      </c>
      <c r="F4" s="35" t="s">
        <v>31</v>
      </c>
      <c r="G4" s="35">
        <v>548.0</v>
      </c>
      <c r="H4" s="37"/>
      <c r="I4" s="35"/>
      <c r="J4" s="37"/>
      <c r="K4" s="37">
        <f t="shared" si="1"/>
        <v>1</v>
      </c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</row>
    <row r="5" hidden="1">
      <c r="A5" s="35" t="s">
        <v>341</v>
      </c>
      <c r="B5" s="35" t="s">
        <v>343</v>
      </c>
      <c r="C5" s="35" t="s">
        <v>301</v>
      </c>
      <c r="D5" s="35" t="s">
        <v>301</v>
      </c>
      <c r="E5" s="35" t="s">
        <v>75</v>
      </c>
      <c r="F5" s="35" t="s">
        <v>81</v>
      </c>
      <c r="G5" s="35">
        <v>0.0</v>
      </c>
      <c r="H5" s="37"/>
      <c r="I5" s="35" t="s">
        <v>344</v>
      </c>
      <c r="J5" s="35"/>
      <c r="K5" s="17">
        <f t="shared" si="1"/>
        <v>0</v>
      </c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</row>
    <row r="6" hidden="1">
      <c r="A6" s="35" t="s">
        <v>352</v>
      </c>
      <c r="B6" s="35" t="s">
        <v>353</v>
      </c>
      <c r="C6" s="35" t="s">
        <v>301</v>
      </c>
      <c r="D6" s="35" t="s">
        <v>354</v>
      </c>
      <c r="E6" s="35" t="s">
        <v>75</v>
      </c>
      <c r="F6" s="35" t="s">
        <v>81</v>
      </c>
      <c r="G6" s="35">
        <v>0.0</v>
      </c>
      <c r="H6" s="37"/>
      <c r="I6" s="35" t="s">
        <v>355</v>
      </c>
      <c r="J6" s="35" t="s">
        <v>356</v>
      </c>
      <c r="K6" s="17">
        <f t="shared" si="1"/>
        <v>0</v>
      </c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</row>
    <row r="7">
      <c r="A7" s="1" t="s">
        <v>362</v>
      </c>
      <c r="B7" s="1" t="s">
        <v>363</v>
      </c>
      <c r="C7" s="1" t="s">
        <v>301</v>
      </c>
      <c r="D7" s="1" t="s">
        <v>319</v>
      </c>
      <c r="E7" s="1" t="s">
        <v>75</v>
      </c>
      <c r="F7" s="1" t="s">
        <v>81</v>
      </c>
      <c r="G7" s="1">
        <v>662.0</v>
      </c>
      <c r="K7" s="17">
        <f t="shared" si="1"/>
        <v>1</v>
      </c>
      <c r="L7" s="17">
        <f>IF(COUNTIF(Sheet14!A:A, A7)&gt;0, 1, 0)</f>
        <v>0</v>
      </c>
      <c r="M7" s="17">
        <f t="shared" ref="M7:M9" si="3">if(L7=1,G7*2,G7)</f>
        <v>662</v>
      </c>
    </row>
    <row r="8">
      <c r="A8" s="1" t="s">
        <v>379</v>
      </c>
      <c r="B8" s="1" t="s">
        <v>380</v>
      </c>
      <c r="C8" s="1" t="s">
        <v>301</v>
      </c>
      <c r="D8" s="1" t="s">
        <v>319</v>
      </c>
      <c r="E8" s="1" t="s">
        <v>31</v>
      </c>
      <c r="F8" s="1" t="s">
        <v>31</v>
      </c>
      <c r="G8" s="1">
        <v>8792.0</v>
      </c>
      <c r="K8" s="17">
        <f t="shared" si="1"/>
        <v>1</v>
      </c>
      <c r="L8" s="17">
        <f>IF(COUNTIF(Sheet14!A:A, A8)&gt;0, 1, 0)</f>
        <v>0</v>
      </c>
      <c r="M8" s="17">
        <f t="shared" si="3"/>
        <v>8792</v>
      </c>
    </row>
    <row r="9">
      <c r="A9" s="1" t="s">
        <v>386</v>
      </c>
      <c r="B9" s="1" t="s">
        <v>387</v>
      </c>
      <c r="C9" s="1" t="s">
        <v>301</v>
      </c>
      <c r="D9" s="1" t="s">
        <v>319</v>
      </c>
      <c r="E9" s="1" t="s">
        <v>75</v>
      </c>
      <c r="F9" s="1" t="s">
        <v>81</v>
      </c>
      <c r="G9" s="1">
        <v>12047.0</v>
      </c>
      <c r="K9" s="17">
        <f t="shared" si="1"/>
        <v>1</v>
      </c>
      <c r="L9" s="17">
        <f>IF(COUNTIF(Sheet14!A:A, A9)&gt;0, 1, 0)</f>
        <v>0</v>
      </c>
      <c r="M9" s="17">
        <f t="shared" si="3"/>
        <v>12047</v>
      </c>
    </row>
    <row r="10" hidden="1">
      <c r="A10" s="35" t="s">
        <v>390</v>
      </c>
      <c r="B10" s="35" t="s">
        <v>390</v>
      </c>
      <c r="C10" s="35" t="s">
        <v>301</v>
      </c>
      <c r="D10" s="35" t="s">
        <v>301</v>
      </c>
      <c r="E10" s="35" t="s">
        <v>31</v>
      </c>
      <c r="F10" s="35" t="s">
        <v>31</v>
      </c>
      <c r="G10" s="35">
        <v>0.0</v>
      </c>
      <c r="H10" s="37"/>
      <c r="I10" s="35" t="s">
        <v>396</v>
      </c>
      <c r="J10" s="35"/>
      <c r="K10" s="37">
        <f t="shared" si="1"/>
        <v>0</v>
      </c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</row>
    <row r="11">
      <c r="A11" s="1" t="s">
        <v>402</v>
      </c>
      <c r="B11" s="1" t="s">
        <v>403</v>
      </c>
      <c r="C11" s="1" t="s">
        <v>301</v>
      </c>
      <c r="D11" s="1" t="s">
        <v>301</v>
      </c>
      <c r="E11" s="1" t="s">
        <v>54</v>
      </c>
      <c r="F11" s="1" t="s">
        <v>54</v>
      </c>
      <c r="G11" s="1">
        <v>1578.0</v>
      </c>
      <c r="K11" s="17">
        <f t="shared" si="1"/>
        <v>1</v>
      </c>
      <c r="L11" s="17">
        <f>IF(COUNTIF(Sheet14!A:A, A11)&gt;0, 1, 0)</f>
        <v>0</v>
      </c>
      <c r="M11" s="17">
        <f t="shared" ref="M11:M31" si="4">if(L11=1,G11*2,G11)</f>
        <v>1578</v>
      </c>
    </row>
    <row r="12">
      <c r="A12" s="1" t="s">
        <v>420</v>
      </c>
      <c r="B12" s="1" t="s">
        <v>420</v>
      </c>
      <c r="C12" s="1" t="s">
        <v>301</v>
      </c>
      <c r="D12" s="1" t="s">
        <v>423</v>
      </c>
      <c r="E12" s="1" t="s">
        <v>31</v>
      </c>
      <c r="F12" s="1" t="s">
        <v>31</v>
      </c>
      <c r="G12" s="1">
        <v>67862.0</v>
      </c>
      <c r="K12" s="17">
        <f t="shared" si="1"/>
        <v>1</v>
      </c>
      <c r="L12" s="17">
        <f>IF(COUNTIF(Sheet14!A:A, A12)&gt;0, 1, 0)</f>
        <v>1</v>
      </c>
      <c r="M12" s="17">
        <f t="shared" si="4"/>
        <v>135724</v>
      </c>
    </row>
    <row r="13">
      <c r="A13" s="1" t="s">
        <v>428</v>
      </c>
      <c r="B13" s="1" t="s">
        <v>429</v>
      </c>
      <c r="C13" s="1" t="s">
        <v>301</v>
      </c>
      <c r="D13" s="1" t="s">
        <v>301</v>
      </c>
      <c r="E13" s="1" t="s">
        <v>31</v>
      </c>
      <c r="F13" s="1" t="s">
        <v>31</v>
      </c>
      <c r="G13" s="1">
        <v>2481.0</v>
      </c>
      <c r="K13" s="17">
        <f t="shared" si="1"/>
        <v>1</v>
      </c>
      <c r="L13" s="17">
        <f>IF(COUNTIF(Sheet14!A:A, A13)&gt;0, 1, 0)</f>
        <v>0</v>
      </c>
      <c r="M13" s="17">
        <f t="shared" si="4"/>
        <v>2481</v>
      </c>
    </row>
    <row r="14">
      <c r="A14" s="1" t="s">
        <v>438</v>
      </c>
      <c r="B14" s="1" t="s">
        <v>438</v>
      </c>
      <c r="C14" s="1" t="s">
        <v>301</v>
      </c>
      <c r="D14" s="1" t="s">
        <v>301</v>
      </c>
      <c r="E14" s="1" t="s">
        <v>31</v>
      </c>
      <c r="F14" s="1" t="s">
        <v>31</v>
      </c>
      <c r="G14" s="1">
        <v>1001.0</v>
      </c>
      <c r="K14" s="17">
        <f t="shared" si="1"/>
        <v>1</v>
      </c>
      <c r="L14" s="17">
        <f>IF(COUNTIF(Sheet14!A:A, A14)&gt;0, 1, 0)</f>
        <v>0</v>
      </c>
      <c r="M14" s="17">
        <f t="shared" si="4"/>
        <v>1001</v>
      </c>
    </row>
    <row r="15">
      <c r="A15" s="1" t="s">
        <v>447</v>
      </c>
      <c r="B15" s="1" t="s">
        <v>448</v>
      </c>
      <c r="C15" s="1" t="s">
        <v>301</v>
      </c>
      <c r="D15" s="1" t="s">
        <v>301</v>
      </c>
      <c r="E15" s="1" t="s">
        <v>450</v>
      </c>
      <c r="F15" s="1" t="s">
        <v>81</v>
      </c>
      <c r="G15" s="1">
        <v>5933.0</v>
      </c>
      <c r="K15" s="17">
        <f t="shared" si="1"/>
        <v>1</v>
      </c>
      <c r="L15" s="17">
        <f>IF(COUNTIF(Sheet14!A:A, A15)&gt;0, 1, 0)</f>
        <v>0</v>
      </c>
      <c r="M15" s="17">
        <f t="shared" si="4"/>
        <v>5933</v>
      </c>
    </row>
    <row r="16">
      <c r="A16" s="1" t="s">
        <v>454</v>
      </c>
      <c r="B16" s="1" t="s">
        <v>455</v>
      </c>
      <c r="C16" s="1" t="s">
        <v>301</v>
      </c>
      <c r="D16" s="1" t="s">
        <v>301</v>
      </c>
      <c r="E16" s="1" t="s">
        <v>75</v>
      </c>
      <c r="F16" s="1" t="s">
        <v>81</v>
      </c>
      <c r="G16" s="1">
        <v>852.0</v>
      </c>
      <c r="K16" s="17">
        <f t="shared" si="1"/>
        <v>1</v>
      </c>
      <c r="L16" s="17">
        <f>IF(COUNTIF(Sheet14!A:A, A16)&gt;0, 1, 0)</f>
        <v>0</v>
      </c>
      <c r="M16" s="17">
        <f t="shared" si="4"/>
        <v>852</v>
      </c>
    </row>
    <row r="17">
      <c r="A17" s="1" t="s">
        <v>464</v>
      </c>
      <c r="B17" s="1" t="s">
        <v>465</v>
      </c>
      <c r="C17" s="1" t="s">
        <v>301</v>
      </c>
      <c r="D17" s="1" t="s">
        <v>301</v>
      </c>
      <c r="E17" s="1" t="s">
        <v>75</v>
      </c>
      <c r="F17" s="1" t="s">
        <v>81</v>
      </c>
      <c r="G17" s="1">
        <v>7047.0</v>
      </c>
      <c r="K17" s="17">
        <f t="shared" si="1"/>
        <v>1</v>
      </c>
      <c r="L17" s="17">
        <f>IF(COUNTIF(Sheet14!A:A, A17)&gt;0, 1, 0)</f>
        <v>0</v>
      </c>
      <c r="M17" s="17">
        <f t="shared" si="4"/>
        <v>7047</v>
      </c>
    </row>
    <row r="18">
      <c r="A18" s="1" t="s">
        <v>474</v>
      </c>
      <c r="B18" s="1" t="s">
        <v>474</v>
      </c>
      <c r="C18" s="1" t="s">
        <v>301</v>
      </c>
      <c r="D18" s="1" t="s">
        <v>319</v>
      </c>
      <c r="E18" s="1" t="s">
        <v>91</v>
      </c>
      <c r="F18" s="1" t="s">
        <v>61</v>
      </c>
      <c r="G18" s="1">
        <v>10211.0</v>
      </c>
      <c r="K18" s="17">
        <f t="shared" si="1"/>
        <v>1</v>
      </c>
      <c r="L18" s="17">
        <f>IF(COUNTIF(Sheet14!A:A, A18)&gt;0, 1, 0)</f>
        <v>0</v>
      </c>
      <c r="M18" s="17">
        <f t="shared" si="4"/>
        <v>10211</v>
      </c>
    </row>
    <row r="19">
      <c r="A19" s="1" t="s">
        <v>483</v>
      </c>
      <c r="B19" s="1" t="s">
        <v>484</v>
      </c>
      <c r="C19" s="1" t="s">
        <v>301</v>
      </c>
      <c r="D19" s="1" t="s">
        <v>301</v>
      </c>
      <c r="E19" s="1" t="s">
        <v>75</v>
      </c>
      <c r="F19" s="1" t="s">
        <v>81</v>
      </c>
      <c r="G19" s="1">
        <v>3886.0</v>
      </c>
      <c r="K19" s="17">
        <f t="shared" si="1"/>
        <v>1</v>
      </c>
      <c r="L19" s="17">
        <f>IF(COUNTIF(Sheet14!A:A, A19)&gt;0, 1, 0)</f>
        <v>0</v>
      </c>
      <c r="M19" s="17">
        <f t="shared" si="4"/>
        <v>3886</v>
      </c>
    </row>
    <row r="20">
      <c r="A20" s="1" t="s">
        <v>487</v>
      </c>
      <c r="B20" s="1" t="s">
        <v>488</v>
      </c>
      <c r="C20" s="1" t="s">
        <v>301</v>
      </c>
      <c r="D20" s="1" t="s">
        <v>301</v>
      </c>
      <c r="E20" s="1" t="s">
        <v>31</v>
      </c>
      <c r="F20" s="1" t="s">
        <v>31</v>
      </c>
      <c r="G20" s="1">
        <v>1000.0</v>
      </c>
      <c r="K20" s="17">
        <f t="shared" si="1"/>
        <v>1</v>
      </c>
      <c r="L20" s="17">
        <f>IF(COUNTIF(Sheet14!A:A, A20)&gt;0, 1, 0)</f>
        <v>0</v>
      </c>
      <c r="M20" s="17">
        <f t="shared" si="4"/>
        <v>1000</v>
      </c>
    </row>
    <row r="21">
      <c r="A21" s="1" t="s">
        <v>492</v>
      </c>
      <c r="B21" s="1" t="s">
        <v>493</v>
      </c>
      <c r="C21" s="1" t="s">
        <v>301</v>
      </c>
      <c r="D21" s="1" t="s">
        <v>301</v>
      </c>
      <c r="E21" s="1" t="s">
        <v>31</v>
      </c>
      <c r="F21" s="1" t="s">
        <v>31</v>
      </c>
      <c r="G21" s="1">
        <v>1404.0</v>
      </c>
      <c r="K21" s="17">
        <f t="shared" si="1"/>
        <v>1</v>
      </c>
      <c r="L21" s="17">
        <f>IF(COUNTIF(Sheet14!A:A, A21)&gt;0, 1, 0)</f>
        <v>0</v>
      </c>
      <c r="M21" s="17">
        <f t="shared" si="4"/>
        <v>1404</v>
      </c>
    </row>
    <row r="22">
      <c r="A22" s="1" t="s">
        <v>496</v>
      </c>
      <c r="B22" s="1" t="s">
        <v>497</v>
      </c>
      <c r="C22" s="1" t="s">
        <v>301</v>
      </c>
      <c r="D22" s="1" t="s">
        <v>301</v>
      </c>
      <c r="E22" s="1" t="s">
        <v>75</v>
      </c>
      <c r="F22" s="1" t="s">
        <v>81</v>
      </c>
      <c r="G22" s="1">
        <v>4575.0</v>
      </c>
      <c r="I22" s="1"/>
      <c r="K22" s="17">
        <f t="shared" si="1"/>
        <v>1</v>
      </c>
      <c r="L22" s="17">
        <f>IF(COUNTIF(Sheet14!A:A, A22)&gt;0, 1, 0)</f>
        <v>0</v>
      </c>
      <c r="M22" s="17">
        <f t="shared" si="4"/>
        <v>4575</v>
      </c>
    </row>
    <row r="23">
      <c r="A23" s="1" t="s">
        <v>500</v>
      </c>
      <c r="B23" s="1" t="s">
        <v>501</v>
      </c>
      <c r="C23" s="1" t="s">
        <v>301</v>
      </c>
      <c r="F23" s="1" t="s">
        <v>81</v>
      </c>
      <c r="G23" s="1">
        <v>662.0</v>
      </c>
      <c r="K23" s="17">
        <f t="shared" si="1"/>
        <v>1</v>
      </c>
      <c r="L23" s="17">
        <f>IF(COUNTIF(Sheet14!A:A, A23)&gt;0, 1, 0)</f>
        <v>0</v>
      </c>
      <c r="M23" s="17">
        <f t="shared" si="4"/>
        <v>662</v>
      </c>
    </row>
    <row r="24">
      <c r="A24" s="1" t="s">
        <v>509</v>
      </c>
      <c r="B24" s="1" t="s">
        <v>510</v>
      </c>
      <c r="C24" s="1" t="s">
        <v>301</v>
      </c>
      <c r="D24" s="1" t="s">
        <v>301</v>
      </c>
      <c r="E24" s="1" t="s">
        <v>512</v>
      </c>
      <c r="F24" s="1" t="s">
        <v>54</v>
      </c>
      <c r="G24" s="1">
        <v>77746.0</v>
      </c>
      <c r="J24" s="1"/>
      <c r="K24" s="17">
        <f t="shared" si="1"/>
        <v>1</v>
      </c>
      <c r="L24" s="17">
        <f>IF(COUNTIF(Sheet14!A:A, A24)&gt;0, 1, 0)</f>
        <v>1</v>
      </c>
      <c r="M24" s="17">
        <f t="shared" si="4"/>
        <v>155492</v>
      </c>
    </row>
    <row r="25">
      <c r="A25" s="1" t="s">
        <v>517</v>
      </c>
      <c r="B25" s="1" t="s">
        <v>517</v>
      </c>
      <c r="C25" s="1" t="s">
        <v>301</v>
      </c>
      <c r="D25" s="1" t="s">
        <v>301</v>
      </c>
      <c r="E25" s="1" t="s">
        <v>31</v>
      </c>
      <c r="F25" s="1" t="s">
        <v>31</v>
      </c>
      <c r="G25" s="1">
        <v>138093.0</v>
      </c>
      <c r="K25" s="17">
        <f t="shared" si="1"/>
        <v>1</v>
      </c>
      <c r="L25" s="17">
        <f>IF(COUNTIF(Sheet14!A:A, A25)&gt;0, 1, 0)</f>
        <v>1</v>
      </c>
      <c r="M25" s="17">
        <f t="shared" si="4"/>
        <v>276186</v>
      </c>
    </row>
    <row r="26">
      <c r="A26" s="1" t="s">
        <v>521</v>
      </c>
      <c r="B26" s="1" t="s">
        <v>523</v>
      </c>
      <c r="C26" s="1" t="s">
        <v>301</v>
      </c>
      <c r="D26" s="1" t="s">
        <v>301</v>
      </c>
      <c r="E26" s="1" t="s">
        <v>31</v>
      </c>
      <c r="F26" s="1" t="s">
        <v>31</v>
      </c>
      <c r="G26" s="1">
        <v>242202.0</v>
      </c>
      <c r="K26" s="17">
        <f t="shared" si="1"/>
        <v>1</v>
      </c>
      <c r="L26" s="17">
        <f>IF(COUNTIF(Sheet14!A:A, A26)&gt;0, 1, 0)</f>
        <v>1</v>
      </c>
      <c r="M26" s="17">
        <f t="shared" si="4"/>
        <v>484404</v>
      </c>
    </row>
    <row r="27">
      <c r="A27" s="1" t="s">
        <v>529</v>
      </c>
      <c r="B27" s="1" t="s">
        <v>529</v>
      </c>
      <c r="C27" s="1" t="s">
        <v>301</v>
      </c>
      <c r="D27" s="1" t="s">
        <v>319</v>
      </c>
      <c r="E27" s="1" t="s">
        <v>530</v>
      </c>
      <c r="F27" s="1" t="s">
        <v>61</v>
      </c>
      <c r="G27" s="1">
        <v>691.0</v>
      </c>
      <c r="I27" s="1"/>
      <c r="K27" s="17">
        <f t="shared" si="1"/>
        <v>1</v>
      </c>
      <c r="L27" s="17">
        <f>IF(COUNTIF(Sheet14!A:A, A27)&gt;0, 1, 0)</f>
        <v>0</v>
      </c>
      <c r="M27" s="17">
        <f t="shared" si="4"/>
        <v>691</v>
      </c>
    </row>
    <row r="28">
      <c r="A28" s="1" t="s">
        <v>535</v>
      </c>
      <c r="B28" s="1" t="s">
        <v>535</v>
      </c>
      <c r="C28" s="1" t="s">
        <v>301</v>
      </c>
      <c r="D28" s="1" t="s">
        <v>319</v>
      </c>
      <c r="E28" s="1" t="s">
        <v>31</v>
      </c>
      <c r="F28" s="1" t="s">
        <v>31</v>
      </c>
      <c r="G28" s="1">
        <v>16737.0</v>
      </c>
      <c r="I28" s="1"/>
      <c r="K28" s="17">
        <f t="shared" si="1"/>
        <v>1</v>
      </c>
      <c r="L28" s="17">
        <f>IF(COUNTIF(Sheet14!A:A, A28)&gt;0, 1, 0)</f>
        <v>1</v>
      </c>
      <c r="M28" s="17">
        <f t="shared" si="4"/>
        <v>33474</v>
      </c>
    </row>
    <row r="29">
      <c r="A29" s="1" t="s">
        <v>542</v>
      </c>
      <c r="B29" s="1" t="s">
        <v>543</v>
      </c>
      <c r="C29" s="1" t="s">
        <v>301</v>
      </c>
      <c r="D29" s="1" t="s">
        <v>544</v>
      </c>
      <c r="E29" s="1" t="s">
        <v>75</v>
      </c>
      <c r="F29" s="1" t="s">
        <v>81</v>
      </c>
      <c r="G29" s="1">
        <v>322.0</v>
      </c>
      <c r="K29" s="17">
        <f t="shared" si="1"/>
        <v>1</v>
      </c>
      <c r="L29" s="17">
        <f>IF(COUNTIF(Sheet14!A:A, A29)&gt;0, 1, 0)</f>
        <v>0</v>
      </c>
      <c r="M29" s="17">
        <f t="shared" si="4"/>
        <v>322</v>
      </c>
    </row>
    <row r="30">
      <c r="A30" s="1" t="s">
        <v>547</v>
      </c>
      <c r="B30" s="1" t="s">
        <v>547</v>
      </c>
      <c r="C30" s="1" t="s">
        <v>301</v>
      </c>
      <c r="E30" s="1" t="s">
        <v>31</v>
      </c>
      <c r="F30" s="1" t="s">
        <v>31</v>
      </c>
      <c r="G30" s="1">
        <v>960240.0</v>
      </c>
      <c r="K30" s="17">
        <f t="shared" si="1"/>
        <v>1</v>
      </c>
      <c r="L30" s="17">
        <f>IF(COUNTIF(Sheet14!A:A, A30)&gt;0, 1, 0)</f>
        <v>0</v>
      </c>
      <c r="M30" s="17">
        <f t="shared" si="4"/>
        <v>960240</v>
      </c>
    </row>
    <row r="31">
      <c r="A31" s="1" t="s">
        <v>551</v>
      </c>
      <c r="B31" s="1" t="s">
        <v>551</v>
      </c>
      <c r="C31" s="1" t="s">
        <v>301</v>
      </c>
      <c r="D31" s="1" t="s">
        <v>544</v>
      </c>
      <c r="E31" s="1" t="s">
        <v>552</v>
      </c>
      <c r="F31" s="1" t="s">
        <v>61</v>
      </c>
      <c r="G31" s="1">
        <v>7909.0</v>
      </c>
      <c r="K31" s="17">
        <f t="shared" si="1"/>
        <v>1</v>
      </c>
      <c r="L31" s="17">
        <f>IF(COUNTIF(Sheet14!A:A, A31)&gt;0, 1, 0)</f>
        <v>0</v>
      </c>
      <c r="M31" s="17">
        <f t="shared" si="4"/>
        <v>7909</v>
      </c>
    </row>
    <row r="32" hidden="1">
      <c r="A32" s="35" t="s">
        <v>555</v>
      </c>
      <c r="B32" s="35" t="s">
        <v>556</v>
      </c>
      <c r="C32" s="35" t="s">
        <v>301</v>
      </c>
      <c r="D32" s="35" t="s">
        <v>544</v>
      </c>
      <c r="E32" s="35" t="s">
        <v>31</v>
      </c>
      <c r="F32" s="35" t="s">
        <v>31</v>
      </c>
      <c r="G32" s="35">
        <v>0.0</v>
      </c>
      <c r="H32" s="37"/>
      <c r="I32" s="35" t="s">
        <v>557</v>
      </c>
      <c r="J32" s="35" t="s">
        <v>558</v>
      </c>
      <c r="K32" s="17">
        <f t="shared" si="1"/>
        <v>0</v>
      </c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</row>
    <row r="33">
      <c r="A33" s="1" t="s">
        <v>563</v>
      </c>
      <c r="B33" s="1" t="s">
        <v>563</v>
      </c>
      <c r="C33" s="1" t="s">
        <v>301</v>
      </c>
      <c r="D33" s="1" t="s">
        <v>544</v>
      </c>
      <c r="E33" s="1" t="s">
        <v>54</v>
      </c>
      <c r="F33" s="1" t="s">
        <v>54</v>
      </c>
      <c r="G33" s="1">
        <v>683.0</v>
      </c>
      <c r="I33" s="1"/>
      <c r="J33" s="1"/>
      <c r="K33" s="17">
        <f t="shared" si="1"/>
        <v>1</v>
      </c>
      <c r="L33" s="17">
        <f>IF(COUNTIF(Sheet14!A:A, A33)&gt;0, 1, 0)</f>
        <v>0</v>
      </c>
      <c r="M33" s="17">
        <f t="shared" ref="M33:M48" si="5">if(L33=1,G33*2,G33)</f>
        <v>683</v>
      </c>
    </row>
    <row r="34">
      <c r="A34" s="1" t="s">
        <v>572</v>
      </c>
      <c r="B34" s="1" t="s">
        <v>572</v>
      </c>
      <c r="C34" s="1" t="s">
        <v>301</v>
      </c>
      <c r="D34" s="1" t="s">
        <v>544</v>
      </c>
      <c r="F34" s="1" t="s">
        <v>81</v>
      </c>
      <c r="G34" s="1">
        <v>410.0</v>
      </c>
      <c r="I34" s="1"/>
      <c r="K34" s="17">
        <f t="shared" si="1"/>
        <v>1</v>
      </c>
      <c r="L34" s="17">
        <f>IF(COUNTIF(Sheet14!A:A, A34)&gt;0, 1, 0)</f>
        <v>0</v>
      </c>
      <c r="M34" s="17">
        <f t="shared" si="5"/>
        <v>410</v>
      </c>
    </row>
    <row r="35">
      <c r="A35" s="1" t="s">
        <v>577</v>
      </c>
      <c r="B35" s="1" t="s">
        <v>577</v>
      </c>
      <c r="C35" s="1" t="s">
        <v>301</v>
      </c>
      <c r="D35" s="1" t="s">
        <v>544</v>
      </c>
      <c r="E35" s="1" t="s">
        <v>579</v>
      </c>
      <c r="F35" s="1" t="s">
        <v>81</v>
      </c>
      <c r="G35" s="1">
        <v>18682.0</v>
      </c>
      <c r="K35" s="17">
        <f t="shared" si="1"/>
        <v>1</v>
      </c>
      <c r="L35" s="17">
        <f>IF(COUNTIF(Sheet14!A:A, A35)&gt;0, 1, 0)</f>
        <v>0</v>
      </c>
      <c r="M35" s="17">
        <f t="shared" si="5"/>
        <v>18682</v>
      </c>
    </row>
    <row r="36">
      <c r="A36" s="1" t="s">
        <v>581</v>
      </c>
      <c r="B36" s="1" t="s">
        <v>581</v>
      </c>
      <c r="C36" s="1" t="s">
        <v>301</v>
      </c>
      <c r="D36" s="1" t="s">
        <v>544</v>
      </c>
      <c r="E36" s="1" t="s">
        <v>147</v>
      </c>
      <c r="F36" s="1" t="s">
        <v>61</v>
      </c>
      <c r="G36" s="1">
        <v>11172.0</v>
      </c>
      <c r="I36" s="1"/>
      <c r="K36" s="17">
        <f t="shared" si="1"/>
        <v>1</v>
      </c>
      <c r="L36" s="17">
        <f>IF(COUNTIF(Sheet14!A:A, A36)&gt;0, 1, 0)</f>
        <v>0</v>
      </c>
      <c r="M36" s="17">
        <f t="shared" si="5"/>
        <v>11172</v>
      </c>
    </row>
    <row r="37">
      <c r="A37" s="46" t="s">
        <v>585</v>
      </c>
      <c r="B37" s="46" t="s">
        <v>585</v>
      </c>
      <c r="C37" s="46" t="s">
        <v>301</v>
      </c>
      <c r="D37" s="46" t="s">
        <v>544</v>
      </c>
      <c r="E37" s="46" t="s">
        <v>147</v>
      </c>
      <c r="F37" s="46" t="s">
        <v>61</v>
      </c>
      <c r="G37" s="46">
        <v>96.0</v>
      </c>
      <c r="H37" s="47"/>
      <c r="I37" s="46"/>
      <c r="J37" s="46"/>
      <c r="K37" s="17">
        <f t="shared" si="1"/>
        <v>1</v>
      </c>
      <c r="L37" s="17">
        <f>IF(COUNTIF(Sheet14!A:A, A37)&gt;0, 1, 0)</f>
        <v>0</v>
      </c>
      <c r="M37" s="17">
        <f t="shared" si="5"/>
        <v>96</v>
      </c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</row>
    <row r="38">
      <c r="A38" s="46" t="s">
        <v>592</v>
      </c>
      <c r="B38" s="46" t="s">
        <v>593</v>
      </c>
      <c r="C38" s="46" t="s">
        <v>301</v>
      </c>
      <c r="D38" s="46" t="s">
        <v>544</v>
      </c>
      <c r="E38" s="46" t="s">
        <v>147</v>
      </c>
      <c r="F38" s="46" t="s">
        <v>61</v>
      </c>
      <c r="G38" s="46">
        <v>130.0</v>
      </c>
      <c r="H38" s="47"/>
      <c r="I38" s="46"/>
      <c r="J38" s="46"/>
      <c r="K38" s="17">
        <f t="shared" si="1"/>
        <v>1</v>
      </c>
      <c r="L38" s="17">
        <f>IF(COUNTIF(Sheet14!A:A, A38)&gt;0, 1, 0)</f>
        <v>0</v>
      </c>
      <c r="M38" s="17">
        <f t="shared" si="5"/>
        <v>130</v>
      </c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</row>
    <row r="39">
      <c r="A39" s="1" t="s">
        <v>595</v>
      </c>
      <c r="B39" s="1" t="s">
        <v>595</v>
      </c>
      <c r="C39" s="1" t="s">
        <v>301</v>
      </c>
      <c r="D39" s="1" t="s">
        <v>544</v>
      </c>
      <c r="E39" s="1" t="s">
        <v>598</v>
      </c>
      <c r="F39" s="1" t="s">
        <v>61</v>
      </c>
      <c r="G39" s="1">
        <v>34.0</v>
      </c>
      <c r="K39" s="17">
        <f t="shared" si="1"/>
        <v>1</v>
      </c>
      <c r="L39" s="17">
        <f>IF(COUNTIF(Sheet14!A:A, A39)&gt;0, 1, 0)</f>
        <v>0</v>
      </c>
      <c r="M39" s="17">
        <f t="shared" si="5"/>
        <v>34</v>
      </c>
    </row>
    <row r="40">
      <c r="A40" s="1" t="s">
        <v>602</v>
      </c>
      <c r="B40" s="1" t="s">
        <v>602</v>
      </c>
      <c r="C40" s="1" t="s">
        <v>301</v>
      </c>
      <c r="D40" s="1" t="s">
        <v>603</v>
      </c>
      <c r="E40" s="1" t="s">
        <v>31</v>
      </c>
      <c r="F40" s="1" t="s">
        <v>31</v>
      </c>
      <c r="G40" s="1">
        <v>13138.0</v>
      </c>
      <c r="I40" s="1"/>
      <c r="K40" s="17">
        <f t="shared" si="1"/>
        <v>1</v>
      </c>
      <c r="L40" s="17">
        <f>IF(COUNTIF(Sheet14!A:A, A40)&gt;0, 1, 0)</f>
        <v>1</v>
      </c>
      <c r="M40" s="17">
        <f t="shared" si="5"/>
        <v>26276</v>
      </c>
    </row>
    <row r="41">
      <c r="A41" s="1" t="s">
        <v>605</v>
      </c>
      <c r="B41" s="1" t="s">
        <v>605</v>
      </c>
      <c r="C41" s="1" t="s">
        <v>301</v>
      </c>
      <c r="D41" s="1" t="s">
        <v>603</v>
      </c>
      <c r="E41" s="1" t="s">
        <v>31</v>
      </c>
      <c r="F41" s="1" t="s">
        <v>31</v>
      </c>
      <c r="G41" s="1">
        <v>40404.0</v>
      </c>
      <c r="I41" s="1"/>
      <c r="K41" s="17">
        <f t="shared" si="1"/>
        <v>1</v>
      </c>
      <c r="L41" s="17">
        <f>IF(COUNTIF(Sheet14!A:A, A41)&gt;0, 1, 0)</f>
        <v>1</v>
      </c>
      <c r="M41" s="17">
        <f t="shared" si="5"/>
        <v>80808</v>
      </c>
    </row>
    <row r="42">
      <c r="A42" s="1" t="s">
        <v>606</v>
      </c>
      <c r="B42" s="1" t="s">
        <v>607</v>
      </c>
      <c r="C42" s="1" t="s">
        <v>301</v>
      </c>
      <c r="D42" s="1" t="s">
        <v>603</v>
      </c>
      <c r="E42" s="1" t="s">
        <v>75</v>
      </c>
      <c r="F42" s="1" t="s">
        <v>81</v>
      </c>
      <c r="G42" s="1">
        <v>11712.0</v>
      </c>
      <c r="K42" s="17">
        <f t="shared" si="1"/>
        <v>1</v>
      </c>
      <c r="L42" s="17">
        <f>IF(COUNTIF(Sheet14!A:A, A42)&gt;0, 1, 0)</f>
        <v>0</v>
      </c>
      <c r="M42" s="17">
        <f t="shared" si="5"/>
        <v>11712</v>
      </c>
    </row>
    <row r="43">
      <c r="A43" s="1" t="s">
        <v>612</v>
      </c>
      <c r="B43" s="1" t="s">
        <v>613</v>
      </c>
      <c r="C43" s="1" t="s">
        <v>301</v>
      </c>
      <c r="D43" s="1" t="s">
        <v>603</v>
      </c>
      <c r="E43" s="1" t="s">
        <v>75</v>
      </c>
      <c r="F43" s="1" t="s">
        <v>81</v>
      </c>
      <c r="G43" s="1">
        <v>357.0</v>
      </c>
      <c r="K43" s="17">
        <f t="shared" si="1"/>
        <v>1</v>
      </c>
      <c r="L43" s="17">
        <f>IF(COUNTIF(Sheet14!A:A, A43)&gt;0, 1, 0)</f>
        <v>0</v>
      </c>
      <c r="M43" s="17">
        <f t="shared" si="5"/>
        <v>357</v>
      </c>
    </row>
    <row r="44">
      <c r="A44" s="1" t="s">
        <v>615</v>
      </c>
      <c r="B44" s="1" t="s">
        <v>616</v>
      </c>
      <c r="C44" s="1" t="s">
        <v>301</v>
      </c>
      <c r="D44" s="1" t="s">
        <v>603</v>
      </c>
      <c r="E44" s="1" t="s">
        <v>31</v>
      </c>
      <c r="F44" s="1" t="s">
        <v>31</v>
      </c>
      <c r="G44" s="1">
        <v>24066.0</v>
      </c>
      <c r="K44" s="17">
        <f t="shared" si="1"/>
        <v>1</v>
      </c>
      <c r="L44" s="17">
        <f>IF(COUNTIF(Sheet14!A:A, A44)&gt;0, 1, 0)</f>
        <v>1</v>
      </c>
      <c r="M44" s="17">
        <f t="shared" si="5"/>
        <v>48132</v>
      </c>
    </row>
    <row r="45">
      <c r="A45" s="1" t="s">
        <v>617</v>
      </c>
      <c r="B45" s="1" t="s">
        <v>619</v>
      </c>
      <c r="C45" s="1" t="s">
        <v>301</v>
      </c>
      <c r="D45" s="1" t="s">
        <v>603</v>
      </c>
      <c r="E45" s="1" t="s">
        <v>75</v>
      </c>
      <c r="F45" s="1" t="s">
        <v>81</v>
      </c>
      <c r="G45" s="1">
        <v>317.0</v>
      </c>
      <c r="K45" s="17">
        <f t="shared" si="1"/>
        <v>1</v>
      </c>
      <c r="L45" s="17">
        <f>IF(COUNTIF(Sheet14!A:A, A45)&gt;0, 1, 0)</f>
        <v>0</v>
      </c>
      <c r="M45" s="17">
        <f t="shared" si="5"/>
        <v>317</v>
      </c>
    </row>
    <row r="46">
      <c r="A46" s="1" t="s">
        <v>621</v>
      </c>
      <c r="B46" s="1" t="s">
        <v>622</v>
      </c>
      <c r="C46" s="1" t="s">
        <v>301</v>
      </c>
      <c r="D46" s="1" t="s">
        <v>603</v>
      </c>
      <c r="E46" s="1" t="s">
        <v>75</v>
      </c>
      <c r="F46" s="1" t="s">
        <v>81</v>
      </c>
      <c r="G46" s="1">
        <v>21165.0</v>
      </c>
      <c r="K46" s="17">
        <f t="shared" si="1"/>
        <v>1</v>
      </c>
      <c r="L46" s="17">
        <f>IF(COUNTIF(Sheet14!A:A, A46)&gt;0, 1, 0)</f>
        <v>0</v>
      </c>
      <c r="M46" s="17">
        <f t="shared" si="5"/>
        <v>21165</v>
      </c>
    </row>
    <row r="47">
      <c r="A47" s="1" t="s">
        <v>623</v>
      </c>
      <c r="B47" s="1" t="s">
        <v>624</v>
      </c>
      <c r="C47" s="1" t="s">
        <v>301</v>
      </c>
      <c r="D47" s="1" t="s">
        <v>603</v>
      </c>
      <c r="E47" s="1" t="s">
        <v>75</v>
      </c>
      <c r="F47" s="1" t="s">
        <v>81</v>
      </c>
      <c r="G47" s="1">
        <v>84818.0</v>
      </c>
      <c r="K47" s="17">
        <f t="shared" si="1"/>
        <v>1</v>
      </c>
      <c r="L47" s="17">
        <f>IF(COUNTIF(Sheet14!A:A, A47)&gt;0, 1, 0)</f>
        <v>0</v>
      </c>
      <c r="M47" s="17">
        <f t="shared" si="5"/>
        <v>84818</v>
      </c>
    </row>
    <row r="48">
      <c r="A48" s="1" t="s">
        <v>631</v>
      </c>
      <c r="B48" s="1" t="s">
        <v>632</v>
      </c>
      <c r="C48" s="1" t="s">
        <v>301</v>
      </c>
      <c r="D48" s="1" t="s">
        <v>603</v>
      </c>
      <c r="E48" s="1" t="s">
        <v>633</v>
      </c>
      <c r="F48" s="1" t="s">
        <v>81</v>
      </c>
      <c r="G48" s="1">
        <v>7470.0</v>
      </c>
      <c r="K48" s="17">
        <f t="shared" si="1"/>
        <v>1</v>
      </c>
      <c r="L48" s="17">
        <f>IF(COUNTIF(Sheet14!A:A, A48)&gt;0, 1, 0)</f>
        <v>0</v>
      </c>
      <c r="M48" s="17">
        <f t="shared" si="5"/>
        <v>7470</v>
      </c>
    </row>
    <row r="49" hidden="1">
      <c r="A49" s="35" t="s">
        <v>635</v>
      </c>
      <c r="B49" s="35" t="s">
        <v>635</v>
      </c>
      <c r="C49" s="35" t="s">
        <v>301</v>
      </c>
      <c r="D49" s="35" t="s">
        <v>603</v>
      </c>
      <c r="E49" s="35" t="s">
        <v>31</v>
      </c>
      <c r="F49" s="35" t="s">
        <v>31</v>
      </c>
      <c r="G49" s="35">
        <v>0.0</v>
      </c>
      <c r="H49" s="37"/>
      <c r="I49" s="35" t="s">
        <v>636</v>
      </c>
      <c r="J49" s="37"/>
      <c r="K49" s="17">
        <f t="shared" si="1"/>
        <v>0</v>
      </c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</row>
    <row r="50">
      <c r="A50" s="1" t="s">
        <v>638</v>
      </c>
      <c r="B50" s="1" t="s">
        <v>639</v>
      </c>
      <c r="C50" s="1" t="s">
        <v>246</v>
      </c>
      <c r="D50" s="1" t="s">
        <v>640</v>
      </c>
      <c r="E50" s="1" t="s">
        <v>31</v>
      </c>
      <c r="F50" s="1" t="s">
        <v>31</v>
      </c>
      <c r="G50" s="1">
        <v>200.0</v>
      </c>
      <c r="K50" s="17">
        <f t="shared" si="1"/>
        <v>1</v>
      </c>
      <c r="L50" s="17">
        <f>IF(COUNTIF(Sheet14!A:A, A50)&gt;0, 1, 0)</f>
        <v>0</v>
      </c>
      <c r="M50" s="17">
        <f>if(L50=1,G50*2,G50)</f>
        <v>200</v>
      </c>
    </row>
    <row r="51" hidden="1">
      <c r="A51" s="35" t="s">
        <v>643</v>
      </c>
      <c r="B51" s="35" t="s">
        <v>643</v>
      </c>
      <c r="C51" s="35" t="s">
        <v>246</v>
      </c>
      <c r="D51" s="35" t="s">
        <v>644</v>
      </c>
      <c r="E51" s="35" t="s">
        <v>645</v>
      </c>
      <c r="F51" s="35" t="s">
        <v>646</v>
      </c>
      <c r="G51" s="35"/>
      <c r="H51" s="37"/>
      <c r="I51" s="35" t="s">
        <v>648</v>
      </c>
      <c r="J51" s="37"/>
      <c r="K51" s="37">
        <f t="shared" si="1"/>
        <v>0</v>
      </c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</row>
    <row r="52">
      <c r="A52" s="1" t="s">
        <v>649</v>
      </c>
      <c r="B52" s="1" t="s">
        <v>650</v>
      </c>
      <c r="C52" s="1" t="s">
        <v>246</v>
      </c>
      <c r="E52" s="1" t="s">
        <v>651</v>
      </c>
      <c r="F52" s="1" t="s">
        <v>100</v>
      </c>
      <c r="G52" s="1">
        <v>1.0</v>
      </c>
      <c r="K52" s="17">
        <f t="shared" si="1"/>
        <v>1</v>
      </c>
      <c r="L52" s="17">
        <f>IF(COUNTIF(Sheet14!A:A, A52)&gt;0, 1, 0)</f>
        <v>0</v>
      </c>
      <c r="M52" s="17">
        <f>if(L52=1,G52*2,G52)</f>
        <v>1</v>
      </c>
    </row>
    <row r="53" hidden="1">
      <c r="A53" s="35" t="s">
        <v>655</v>
      </c>
      <c r="B53" s="35" t="s">
        <v>656</v>
      </c>
      <c r="C53" s="35" t="s">
        <v>246</v>
      </c>
      <c r="D53" s="35" t="s">
        <v>657</v>
      </c>
      <c r="E53" s="35" t="s">
        <v>658</v>
      </c>
      <c r="F53" s="37"/>
      <c r="G53" s="35">
        <v>0.0</v>
      </c>
      <c r="H53" s="37"/>
      <c r="I53" s="35" t="s">
        <v>636</v>
      </c>
      <c r="J53" s="37"/>
      <c r="K53" s="17">
        <f t="shared" si="1"/>
        <v>0</v>
      </c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</row>
    <row r="54">
      <c r="A54" s="1" t="s">
        <v>660</v>
      </c>
      <c r="B54" s="1" t="s">
        <v>661</v>
      </c>
      <c r="C54" s="1" t="s">
        <v>246</v>
      </c>
      <c r="E54" s="1" t="s">
        <v>662</v>
      </c>
      <c r="F54" s="1" t="s">
        <v>100</v>
      </c>
      <c r="G54" s="1">
        <v>9746.0</v>
      </c>
      <c r="K54" s="17">
        <f t="shared" si="1"/>
        <v>1</v>
      </c>
      <c r="L54" s="17">
        <f>IF(COUNTIF(Sheet14!A:A, A54)&gt;0, 1, 0)</f>
        <v>0</v>
      </c>
      <c r="M54" s="17">
        <f>if(L54=1,G54*2,G54)</f>
        <v>9746</v>
      </c>
    </row>
    <row r="55" hidden="1">
      <c r="A55" s="35" t="s">
        <v>668</v>
      </c>
      <c r="B55" s="35" t="s">
        <v>669</v>
      </c>
      <c r="C55" s="35" t="s">
        <v>246</v>
      </c>
      <c r="D55" s="35" t="s">
        <v>670</v>
      </c>
      <c r="E55" s="35" t="s">
        <v>671</v>
      </c>
      <c r="F55" s="35" t="s">
        <v>671</v>
      </c>
      <c r="G55" s="35">
        <v>0.0</v>
      </c>
      <c r="H55" s="37"/>
      <c r="I55" s="35" t="s">
        <v>672</v>
      </c>
      <c r="J55" s="37"/>
      <c r="K55" s="37">
        <f t="shared" si="1"/>
        <v>0</v>
      </c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</row>
    <row r="56" hidden="1">
      <c r="A56" s="35" t="s">
        <v>674</v>
      </c>
      <c r="B56" s="35" t="s">
        <v>675</v>
      </c>
      <c r="C56" s="35" t="s">
        <v>246</v>
      </c>
      <c r="D56" s="35" t="s">
        <v>246</v>
      </c>
      <c r="E56" s="35" t="s">
        <v>676</v>
      </c>
      <c r="F56" s="37"/>
      <c r="G56" s="35">
        <v>0.0</v>
      </c>
      <c r="H56" s="37"/>
      <c r="I56" s="35" t="s">
        <v>679</v>
      </c>
      <c r="J56" s="37"/>
      <c r="K56" s="17">
        <f t="shared" si="1"/>
        <v>0</v>
      </c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</row>
    <row r="57">
      <c r="A57" s="1" t="s">
        <v>683</v>
      </c>
      <c r="B57" s="1" t="s">
        <v>683</v>
      </c>
      <c r="C57" s="1" t="s">
        <v>246</v>
      </c>
      <c r="D57" s="1" t="s">
        <v>684</v>
      </c>
      <c r="E57" s="1" t="s">
        <v>686</v>
      </c>
      <c r="F57" s="1" t="s">
        <v>31</v>
      </c>
      <c r="G57" s="1">
        <v>5848586.0</v>
      </c>
      <c r="I57" s="1"/>
      <c r="K57" s="17">
        <f t="shared" si="1"/>
        <v>1</v>
      </c>
      <c r="L57" s="17">
        <f>IF(COUNTIF(Sheet14!A:A, A57)&gt;0, 1, 0)</f>
        <v>1</v>
      </c>
      <c r="M57" s="17">
        <f t="shared" ref="M57:M62" si="6">if(L57=1,G57*2,G57)</f>
        <v>11697172</v>
      </c>
    </row>
    <row r="58">
      <c r="A58" s="1" t="s">
        <v>690</v>
      </c>
      <c r="B58" s="1" t="s">
        <v>691</v>
      </c>
      <c r="C58" s="1" t="s">
        <v>246</v>
      </c>
      <c r="D58" s="1" t="s">
        <v>684</v>
      </c>
      <c r="E58" s="1" t="s">
        <v>692</v>
      </c>
      <c r="F58" s="1" t="s">
        <v>81</v>
      </c>
      <c r="G58" s="1">
        <v>598.0</v>
      </c>
      <c r="K58" s="17">
        <f t="shared" si="1"/>
        <v>1</v>
      </c>
      <c r="L58" s="17">
        <f>IF(COUNTIF(Sheet14!A:A, A58)&gt;0, 1, 0)</f>
        <v>0</v>
      </c>
      <c r="M58" s="17">
        <f t="shared" si="6"/>
        <v>598</v>
      </c>
    </row>
    <row r="59">
      <c r="A59" s="1" t="s">
        <v>694</v>
      </c>
      <c r="B59" s="1" t="s">
        <v>695</v>
      </c>
      <c r="C59" s="1" t="s">
        <v>246</v>
      </c>
      <c r="D59" s="1" t="s">
        <v>697</v>
      </c>
      <c r="E59" s="1" t="s">
        <v>662</v>
      </c>
      <c r="F59" s="1" t="s">
        <v>100</v>
      </c>
      <c r="G59" s="1">
        <v>5590.0</v>
      </c>
      <c r="K59" s="17">
        <f t="shared" si="1"/>
        <v>1</v>
      </c>
      <c r="L59" s="17">
        <f>IF(COUNTIF(Sheet14!A:A, A59)&gt;0, 1, 0)</f>
        <v>0</v>
      </c>
      <c r="M59" s="17">
        <f t="shared" si="6"/>
        <v>5590</v>
      </c>
    </row>
    <row r="60">
      <c r="A60" s="1" t="s">
        <v>698</v>
      </c>
      <c r="B60" s="1" t="s">
        <v>699</v>
      </c>
      <c r="C60" s="1" t="s">
        <v>246</v>
      </c>
      <c r="D60" s="1" t="s">
        <v>697</v>
      </c>
      <c r="E60" s="1" t="s">
        <v>703</v>
      </c>
      <c r="F60" s="1" t="s">
        <v>171</v>
      </c>
      <c r="G60" s="1">
        <v>2274.0</v>
      </c>
      <c r="K60" s="17">
        <f t="shared" si="1"/>
        <v>1</v>
      </c>
      <c r="L60" s="17">
        <f>IF(COUNTIF(Sheet14!A:A, A60)&gt;0, 1, 0)</f>
        <v>0</v>
      </c>
      <c r="M60" s="17">
        <f t="shared" si="6"/>
        <v>2274</v>
      </c>
    </row>
    <row r="61">
      <c r="A61" s="1" t="s">
        <v>705</v>
      </c>
      <c r="B61" s="1" t="s">
        <v>706</v>
      </c>
      <c r="C61" s="1" t="s">
        <v>246</v>
      </c>
      <c r="D61" s="1" t="s">
        <v>697</v>
      </c>
      <c r="E61" s="1" t="s">
        <v>662</v>
      </c>
      <c r="F61" s="1" t="s">
        <v>100</v>
      </c>
      <c r="G61" s="1">
        <v>10.0</v>
      </c>
      <c r="I61" s="1"/>
      <c r="K61" s="17">
        <f t="shared" si="1"/>
        <v>1</v>
      </c>
      <c r="L61" s="17">
        <f>IF(COUNTIF(Sheet14!A:A, A61)&gt;0, 1, 0)</f>
        <v>0</v>
      </c>
      <c r="M61" s="17">
        <f t="shared" si="6"/>
        <v>10</v>
      </c>
    </row>
    <row r="62">
      <c r="A62" s="1" t="s">
        <v>709</v>
      </c>
      <c r="B62" s="1" t="s">
        <v>709</v>
      </c>
      <c r="C62" s="1" t="s">
        <v>246</v>
      </c>
      <c r="D62" s="1" t="s">
        <v>697</v>
      </c>
      <c r="E62" s="1" t="s">
        <v>662</v>
      </c>
      <c r="F62" s="1" t="s">
        <v>100</v>
      </c>
      <c r="G62" s="1">
        <v>268.0</v>
      </c>
      <c r="K62" s="17">
        <f t="shared" si="1"/>
        <v>1</v>
      </c>
      <c r="L62" s="17">
        <f>IF(COUNTIF(Sheet14!A:A, A62)&gt;0, 1, 0)</f>
        <v>0</v>
      </c>
      <c r="M62" s="17">
        <f t="shared" si="6"/>
        <v>268</v>
      </c>
    </row>
    <row r="63" hidden="1">
      <c r="A63" s="35" t="s">
        <v>712</v>
      </c>
      <c r="B63" s="35" t="s">
        <v>712</v>
      </c>
      <c r="C63" s="35" t="s">
        <v>246</v>
      </c>
      <c r="D63" s="35" t="s">
        <v>697</v>
      </c>
      <c r="E63" s="37"/>
      <c r="F63" s="37"/>
      <c r="G63" s="35">
        <v>0.0</v>
      </c>
      <c r="H63" s="37"/>
      <c r="I63" s="35" t="s">
        <v>713</v>
      </c>
      <c r="J63" s="37"/>
      <c r="K63" s="17">
        <f t="shared" si="1"/>
        <v>0</v>
      </c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</row>
    <row r="64" hidden="1">
      <c r="A64" s="35" t="s">
        <v>716</v>
      </c>
      <c r="B64" s="35" t="s">
        <v>716</v>
      </c>
      <c r="C64" s="35" t="s">
        <v>246</v>
      </c>
      <c r="D64" s="35" t="s">
        <v>697</v>
      </c>
      <c r="E64" s="35" t="s">
        <v>717</v>
      </c>
      <c r="F64" s="37"/>
      <c r="G64" s="35">
        <v>0.0</v>
      </c>
      <c r="H64" s="37"/>
      <c r="I64" s="35" t="s">
        <v>515</v>
      </c>
      <c r="J64" s="35" t="s">
        <v>718</v>
      </c>
      <c r="K64" s="17">
        <f t="shared" si="1"/>
        <v>0</v>
      </c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</row>
    <row r="65" hidden="1">
      <c r="A65" s="35" t="s">
        <v>723</v>
      </c>
      <c r="B65" s="35" t="s">
        <v>723</v>
      </c>
      <c r="C65" s="35" t="s">
        <v>246</v>
      </c>
      <c r="D65" s="35" t="s">
        <v>697</v>
      </c>
      <c r="E65" s="35" t="s">
        <v>724</v>
      </c>
      <c r="F65" s="35" t="s">
        <v>725</v>
      </c>
      <c r="G65" s="35">
        <v>0.0</v>
      </c>
      <c r="H65" s="37"/>
      <c r="I65" s="35" t="s">
        <v>727</v>
      </c>
      <c r="J65" s="37"/>
      <c r="K65" s="37">
        <f t="shared" si="1"/>
        <v>0</v>
      </c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</row>
    <row r="66" hidden="1">
      <c r="A66" s="35" t="s">
        <v>728</v>
      </c>
      <c r="B66" s="35" t="s">
        <v>729</v>
      </c>
      <c r="C66" s="35" t="s">
        <v>246</v>
      </c>
      <c r="D66" s="35" t="s">
        <v>697</v>
      </c>
      <c r="E66" s="35" t="s">
        <v>651</v>
      </c>
      <c r="F66" s="35" t="s">
        <v>100</v>
      </c>
      <c r="G66" s="35">
        <v>0.0</v>
      </c>
      <c r="H66" s="37"/>
      <c r="I66" s="35" t="s">
        <v>731</v>
      </c>
      <c r="J66" s="37"/>
      <c r="K66" s="37">
        <f t="shared" si="1"/>
        <v>0</v>
      </c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</row>
    <row r="67">
      <c r="A67" s="1" t="s">
        <v>733</v>
      </c>
      <c r="B67" s="1" t="s">
        <v>733</v>
      </c>
      <c r="C67" s="1" t="s">
        <v>280</v>
      </c>
      <c r="D67" s="1" t="s">
        <v>280</v>
      </c>
      <c r="E67" s="1" t="s">
        <v>31</v>
      </c>
      <c r="F67" s="1" t="s">
        <v>31</v>
      </c>
      <c r="G67" s="1">
        <v>18583.0</v>
      </c>
      <c r="I67" s="1"/>
      <c r="K67" s="17">
        <f t="shared" si="1"/>
        <v>1</v>
      </c>
      <c r="L67" s="17">
        <f>IF(COUNTIF(Sheet14!A:A, A67)&gt;0, 1, 0)</f>
        <v>1</v>
      </c>
      <c r="M67" s="17">
        <f>if(L67=1,G67*2,G67)</f>
        <v>37166</v>
      </c>
    </row>
    <row r="68" hidden="1">
      <c r="A68" s="35" t="s">
        <v>103</v>
      </c>
      <c r="B68" s="35" t="s">
        <v>103</v>
      </c>
      <c r="C68" s="35" t="s">
        <v>280</v>
      </c>
      <c r="D68" s="35" t="s">
        <v>739</v>
      </c>
      <c r="E68" s="35" t="s">
        <v>91</v>
      </c>
      <c r="F68" s="35" t="s">
        <v>61</v>
      </c>
      <c r="G68" s="35">
        <v>0.0</v>
      </c>
      <c r="H68" s="37"/>
      <c r="I68" s="35" t="s">
        <v>740</v>
      </c>
      <c r="J68" s="37"/>
      <c r="K68" s="17">
        <f t="shared" si="1"/>
        <v>0</v>
      </c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</row>
    <row r="69">
      <c r="A69" s="1" t="s">
        <v>742</v>
      </c>
      <c r="B69" s="1" t="s">
        <v>743</v>
      </c>
      <c r="C69" s="1" t="s">
        <v>280</v>
      </c>
      <c r="D69" s="1" t="s">
        <v>280</v>
      </c>
      <c r="E69" s="1" t="s">
        <v>31</v>
      </c>
      <c r="F69" s="1" t="s">
        <v>31</v>
      </c>
      <c r="G69" s="1">
        <v>20.0</v>
      </c>
      <c r="K69" s="17">
        <f t="shared" si="1"/>
        <v>1</v>
      </c>
      <c r="L69" s="17">
        <f>IF(COUNTIF(Sheet14!A:A, A69)&gt;0, 1, 0)</f>
        <v>0</v>
      </c>
      <c r="M69" s="17">
        <f t="shared" ref="M69:M70" si="7">if(L69=1,G69*2,G69)</f>
        <v>20</v>
      </c>
    </row>
    <row r="70">
      <c r="A70" s="1" t="s">
        <v>750</v>
      </c>
      <c r="B70" s="1" t="s">
        <v>750</v>
      </c>
      <c r="C70" s="1" t="s">
        <v>280</v>
      </c>
      <c r="D70" s="1" t="s">
        <v>280</v>
      </c>
      <c r="E70" s="1" t="s">
        <v>17</v>
      </c>
      <c r="F70" s="1" t="s">
        <v>17</v>
      </c>
      <c r="G70" s="1">
        <v>41615.0</v>
      </c>
      <c r="I70" s="1"/>
      <c r="K70" s="17">
        <f t="shared" si="1"/>
        <v>1</v>
      </c>
      <c r="L70" s="17">
        <f>IF(COUNTIF(Sheet14!A:A, A70)&gt;0, 1, 0)</f>
        <v>1</v>
      </c>
      <c r="M70" s="17">
        <f t="shared" si="7"/>
        <v>83230</v>
      </c>
    </row>
    <row r="71" hidden="1">
      <c r="A71" s="35" t="s">
        <v>755</v>
      </c>
      <c r="B71" s="35" t="s">
        <v>755</v>
      </c>
      <c r="C71" s="35" t="s">
        <v>280</v>
      </c>
      <c r="D71" s="35" t="s">
        <v>280</v>
      </c>
      <c r="E71" s="35" t="s">
        <v>645</v>
      </c>
      <c r="F71" s="35" t="s">
        <v>646</v>
      </c>
      <c r="G71" s="35"/>
      <c r="H71" s="37"/>
      <c r="I71" s="35" t="s">
        <v>648</v>
      </c>
      <c r="J71" s="37"/>
      <c r="K71" s="37">
        <f t="shared" si="1"/>
        <v>0</v>
      </c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</row>
    <row r="72">
      <c r="A72" s="1" t="s">
        <v>758</v>
      </c>
      <c r="B72" s="1" t="s">
        <v>759</v>
      </c>
      <c r="C72" s="1" t="s">
        <v>280</v>
      </c>
      <c r="D72" s="1" t="s">
        <v>280</v>
      </c>
      <c r="E72" s="1" t="s">
        <v>31</v>
      </c>
      <c r="F72" s="1" t="s">
        <v>31</v>
      </c>
      <c r="G72" s="1">
        <v>327087.0</v>
      </c>
      <c r="I72" s="1"/>
      <c r="K72" s="17">
        <f t="shared" si="1"/>
        <v>1</v>
      </c>
      <c r="L72" s="17">
        <f>IF(COUNTIF(Sheet14!A:A, A72)&gt;0, 1, 0)</f>
        <v>1</v>
      </c>
      <c r="M72" s="17">
        <f t="shared" ref="M72:M88" si="8">if(L72=1,G72*2,G72)</f>
        <v>654174</v>
      </c>
    </row>
    <row r="73">
      <c r="A73" s="1" t="s">
        <v>761</v>
      </c>
      <c r="B73" s="1" t="s">
        <v>762</v>
      </c>
      <c r="C73" s="1" t="s">
        <v>280</v>
      </c>
      <c r="D73" s="1" t="s">
        <v>280</v>
      </c>
      <c r="E73" s="1" t="s">
        <v>765</v>
      </c>
      <c r="F73" s="1" t="s">
        <v>17</v>
      </c>
      <c r="G73" s="1">
        <v>30999.0</v>
      </c>
      <c r="K73" s="17">
        <f t="shared" si="1"/>
        <v>1</v>
      </c>
      <c r="L73" s="17">
        <f>IF(COUNTIF(Sheet14!A:A, A73)&gt;0, 1, 0)</f>
        <v>1</v>
      </c>
      <c r="M73" s="17">
        <f t="shared" si="8"/>
        <v>61998</v>
      </c>
    </row>
    <row r="74">
      <c r="A74" s="1" t="s">
        <v>769</v>
      </c>
      <c r="B74" s="1" t="s">
        <v>769</v>
      </c>
      <c r="C74" s="1" t="s">
        <v>280</v>
      </c>
      <c r="D74" s="1" t="s">
        <v>770</v>
      </c>
      <c r="E74" s="1" t="s">
        <v>771</v>
      </c>
      <c r="F74" s="1" t="s">
        <v>107</v>
      </c>
      <c r="G74" s="1">
        <v>2605.0</v>
      </c>
      <c r="I74" s="1" t="s">
        <v>772</v>
      </c>
      <c r="K74" s="17">
        <f t="shared" si="1"/>
        <v>1</v>
      </c>
      <c r="L74" s="17">
        <f>IF(COUNTIF(Sheet14!A:A, A74)&gt;0, 1, 0)</f>
        <v>0</v>
      </c>
      <c r="M74" s="17">
        <f t="shared" si="8"/>
        <v>2605</v>
      </c>
    </row>
    <row r="75">
      <c r="A75" s="46" t="s">
        <v>776</v>
      </c>
      <c r="B75" s="46" t="s">
        <v>778</v>
      </c>
      <c r="C75" s="46" t="s">
        <v>280</v>
      </c>
      <c r="D75" s="47"/>
      <c r="E75" s="46" t="s">
        <v>54</v>
      </c>
      <c r="F75" s="46" t="s">
        <v>54</v>
      </c>
      <c r="G75" s="46">
        <v>301204.0</v>
      </c>
      <c r="H75" s="47"/>
      <c r="I75" s="46"/>
      <c r="J75" s="47"/>
      <c r="K75" s="17">
        <f t="shared" si="1"/>
        <v>1</v>
      </c>
      <c r="L75" s="17">
        <f>IF(COUNTIF(Sheet14!A:A, A75)&gt;0, 1, 0)</f>
        <v>1</v>
      </c>
      <c r="M75" s="17">
        <f t="shared" si="8"/>
        <v>602408</v>
      </c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</row>
    <row r="76">
      <c r="A76" s="46" t="s">
        <v>781</v>
      </c>
      <c r="B76" s="46" t="s">
        <v>782</v>
      </c>
      <c r="C76" s="46" t="s">
        <v>280</v>
      </c>
      <c r="D76" s="46" t="s">
        <v>280</v>
      </c>
      <c r="E76" s="46" t="s">
        <v>31</v>
      </c>
      <c r="F76" s="46" t="s">
        <v>31</v>
      </c>
      <c r="G76" s="46">
        <v>90857.0</v>
      </c>
      <c r="H76" s="47"/>
      <c r="I76" s="46"/>
      <c r="J76" s="47"/>
      <c r="K76" s="17">
        <f t="shared" si="1"/>
        <v>1</v>
      </c>
      <c r="L76" s="17">
        <f>IF(COUNTIF(Sheet14!A:A, A76)&gt;0, 1, 0)</f>
        <v>1</v>
      </c>
      <c r="M76" s="17">
        <f t="shared" si="8"/>
        <v>181714</v>
      </c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</row>
    <row r="77">
      <c r="A77" s="1" t="s">
        <v>787</v>
      </c>
      <c r="B77" s="1" t="s">
        <v>788</v>
      </c>
      <c r="C77" s="1" t="s">
        <v>280</v>
      </c>
      <c r="E77" s="1" t="s">
        <v>789</v>
      </c>
      <c r="F77" s="1" t="s">
        <v>107</v>
      </c>
      <c r="G77" s="1">
        <v>8724.0</v>
      </c>
      <c r="I77" s="1" t="s">
        <v>772</v>
      </c>
      <c r="K77" s="17">
        <f t="shared" si="1"/>
        <v>1</v>
      </c>
      <c r="L77" s="17">
        <f>IF(COUNTIF(Sheet14!A:A, A77)&gt;0, 1, 0)</f>
        <v>0</v>
      </c>
      <c r="M77" s="17">
        <f t="shared" si="8"/>
        <v>8724</v>
      </c>
    </row>
    <row r="78">
      <c r="A78" s="1" t="s">
        <v>791</v>
      </c>
      <c r="B78" s="1" t="s">
        <v>792</v>
      </c>
      <c r="C78" s="1" t="s">
        <v>280</v>
      </c>
      <c r="D78" s="1" t="s">
        <v>793</v>
      </c>
      <c r="E78" s="1" t="s">
        <v>107</v>
      </c>
      <c r="F78" s="1" t="s">
        <v>107</v>
      </c>
      <c r="G78" s="1">
        <v>5525.0</v>
      </c>
      <c r="K78" s="17">
        <f t="shared" si="1"/>
        <v>1</v>
      </c>
      <c r="L78" s="17">
        <f>IF(COUNTIF(Sheet14!A:A, A78)&gt;0, 1, 0)</f>
        <v>0</v>
      </c>
      <c r="M78" s="17">
        <f t="shared" si="8"/>
        <v>5525</v>
      </c>
    </row>
    <row r="79">
      <c r="A79" s="1" t="s">
        <v>795</v>
      </c>
      <c r="B79" s="1" t="s">
        <v>796</v>
      </c>
      <c r="C79" s="1" t="s">
        <v>280</v>
      </c>
      <c r="E79" s="1" t="s">
        <v>107</v>
      </c>
      <c r="F79" s="1" t="s">
        <v>107</v>
      </c>
      <c r="G79" s="1">
        <v>2511.0</v>
      </c>
      <c r="K79" s="17">
        <f t="shared" si="1"/>
        <v>1</v>
      </c>
      <c r="L79" s="17">
        <f>IF(COUNTIF(Sheet14!A:A, A79)&gt;0, 1, 0)</f>
        <v>0</v>
      </c>
      <c r="M79" s="17">
        <f t="shared" si="8"/>
        <v>2511</v>
      </c>
    </row>
    <row r="80">
      <c r="A80" s="1" t="s">
        <v>800</v>
      </c>
      <c r="B80" s="1" t="s">
        <v>800</v>
      </c>
      <c r="C80" s="1" t="s">
        <v>280</v>
      </c>
      <c r="D80" s="1" t="s">
        <v>802</v>
      </c>
      <c r="E80" s="1" t="s">
        <v>107</v>
      </c>
      <c r="F80" s="1" t="s">
        <v>107</v>
      </c>
      <c r="G80" s="1">
        <v>9500.0</v>
      </c>
      <c r="K80" s="17">
        <f t="shared" si="1"/>
        <v>1</v>
      </c>
      <c r="L80" s="17">
        <f>IF(COUNTIF(Sheet14!A:A, A80)&gt;0, 1, 0)</f>
        <v>0</v>
      </c>
      <c r="M80" s="17">
        <f t="shared" si="8"/>
        <v>9500</v>
      </c>
    </row>
    <row r="81">
      <c r="A81" s="1" t="s">
        <v>803</v>
      </c>
      <c r="B81" s="1" t="s">
        <v>803</v>
      </c>
      <c r="C81" s="1" t="s">
        <v>280</v>
      </c>
      <c r="E81" s="1" t="s">
        <v>107</v>
      </c>
      <c r="F81" s="1" t="s">
        <v>107</v>
      </c>
      <c r="G81" s="1">
        <v>32320.0</v>
      </c>
      <c r="K81" s="17">
        <f t="shared" si="1"/>
        <v>1</v>
      </c>
      <c r="L81" s="17">
        <f>IF(COUNTIF(Sheet14!A:A, A81)&gt;0, 1, 0)</f>
        <v>0</v>
      </c>
      <c r="M81" s="17">
        <f t="shared" si="8"/>
        <v>32320</v>
      </c>
    </row>
    <row r="82">
      <c r="A82" s="1" t="s">
        <v>806</v>
      </c>
      <c r="B82" s="1" t="s">
        <v>806</v>
      </c>
      <c r="C82" s="1" t="s">
        <v>280</v>
      </c>
      <c r="D82" s="1" t="s">
        <v>808</v>
      </c>
      <c r="E82" s="1" t="s">
        <v>107</v>
      </c>
      <c r="F82" s="1" t="s">
        <v>107</v>
      </c>
      <c r="G82" s="1">
        <v>429.0</v>
      </c>
      <c r="K82" s="17">
        <f t="shared" si="1"/>
        <v>1</v>
      </c>
      <c r="L82" s="17">
        <f>IF(COUNTIF(Sheet14!A:A, A82)&gt;0, 1, 0)</f>
        <v>0</v>
      </c>
      <c r="M82" s="17">
        <f t="shared" si="8"/>
        <v>429</v>
      </c>
    </row>
    <row r="83">
      <c r="A83" s="1" t="s">
        <v>811</v>
      </c>
      <c r="B83" s="1" t="s">
        <v>812</v>
      </c>
      <c r="C83" s="1" t="s">
        <v>280</v>
      </c>
      <c r="D83" s="1" t="s">
        <v>813</v>
      </c>
      <c r="E83" s="1" t="s">
        <v>147</v>
      </c>
      <c r="F83" s="1" t="s">
        <v>61</v>
      </c>
      <c r="G83" s="1">
        <v>4998.0</v>
      </c>
      <c r="K83" s="17">
        <f t="shared" si="1"/>
        <v>1</v>
      </c>
      <c r="L83" s="17">
        <f>IF(COUNTIF(Sheet14!A:A, A83)&gt;0, 1, 0)</f>
        <v>0</v>
      </c>
      <c r="M83" s="17">
        <f t="shared" si="8"/>
        <v>4998</v>
      </c>
    </row>
    <row r="84">
      <c r="A84" s="1" t="s">
        <v>815</v>
      </c>
      <c r="B84" s="1" t="s">
        <v>816</v>
      </c>
      <c r="C84" s="1" t="s">
        <v>280</v>
      </c>
      <c r="D84" s="1" t="s">
        <v>813</v>
      </c>
      <c r="E84" s="1" t="s">
        <v>817</v>
      </c>
      <c r="F84" s="1" t="s">
        <v>107</v>
      </c>
      <c r="G84" s="1">
        <v>379.0</v>
      </c>
      <c r="K84" s="17">
        <f t="shared" si="1"/>
        <v>1</v>
      </c>
      <c r="L84" s="17">
        <f>IF(COUNTIF(Sheet14!A:A, A84)&gt;0, 1, 0)</f>
        <v>0</v>
      </c>
      <c r="M84" s="17">
        <f t="shared" si="8"/>
        <v>379</v>
      </c>
    </row>
    <row r="85">
      <c r="A85" s="1" t="s">
        <v>821</v>
      </c>
      <c r="B85" s="1" t="s">
        <v>822</v>
      </c>
      <c r="C85" s="1" t="s">
        <v>280</v>
      </c>
      <c r="D85" s="1" t="s">
        <v>813</v>
      </c>
      <c r="E85" s="1" t="s">
        <v>107</v>
      </c>
      <c r="F85" s="1" t="s">
        <v>107</v>
      </c>
      <c r="G85" s="1">
        <v>386.0</v>
      </c>
      <c r="K85" s="17">
        <f t="shared" si="1"/>
        <v>1</v>
      </c>
      <c r="L85" s="17">
        <f>IF(COUNTIF(Sheet14!A:A, A85)&gt;0, 1, 0)</f>
        <v>0</v>
      </c>
      <c r="M85" s="17">
        <f t="shared" si="8"/>
        <v>386</v>
      </c>
    </row>
    <row r="86">
      <c r="A86" s="1" t="s">
        <v>824</v>
      </c>
      <c r="B86" s="1" t="s">
        <v>825</v>
      </c>
      <c r="C86" s="1" t="s">
        <v>280</v>
      </c>
      <c r="D86" s="1" t="s">
        <v>813</v>
      </c>
      <c r="E86" s="1" t="s">
        <v>107</v>
      </c>
      <c r="F86" s="1" t="s">
        <v>107</v>
      </c>
      <c r="G86" s="1">
        <v>18620.0</v>
      </c>
      <c r="K86" s="17">
        <f t="shared" si="1"/>
        <v>1</v>
      </c>
      <c r="L86" s="17">
        <f>IF(COUNTIF(Sheet14!A:A, A86)&gt;0, 1, 0)</f>
        <v>0</v>
      </c>
      <c r="M86" s="17">
        <f t="shared" si="8"/>
        <v>18620</v>
      </c>
    </row>
    <row r="87">
      <c r="A87" s="1" t="s">
        <v>829</v>
      </c>
      <c r="B87" s="1" t="s">
        <v>829</v>
      </c>
      <c r="C87" s="1" t="s">
        <v>280</v>
      </c>
      <c r="D87" s="1" t="s">
        <v>813</v>
      </c>
      <c r="E87" s="1" t="s">
        <v>31</v>
      </c>
      <c r="F87" s="1" t="s">
        <v>31</v>
      </c>
      <c r="G87" s="1">
        <v>8387.0</v>
      </c>
      <c r="K87" s="17">
        <f t="shared" si="1"/>
        <v>1</v>
      </c>
      <c r="L87" s="17">
        <f>IF(COUNTIF(Sheet14!A:A, A87)&gt;0, 1, 0)</f>
        <v>0</v>
      </c>
      <c r="M87" s="17">
        <f t="shared" si="8"/>
        <v>8387</v>
      </c>
    </row>
    <row r="88">
      <c r="A88" s="1" t="s">
        <v>832</v>
      </c>
      <c r="B88" s="1" t="s">
        <v>833</v>
      </c>
      <c r="C88" s="1" t="s">
        <v>280</v>
      </c>
      <c r="D88" s="1" t="s">
        <v>835</v>
      </c>
      <c r="E88" s="1" t="s">
        <v>836</v>
      </c>
      <c r="F88" s="1" t="s">
        <v>61</v>
      </c>
      <c r="G88" s="1">
        <v>1.0</v>
      </c>
      <c r="K88" s="17">
        <f t="shared" si="1"/>
        <v>1</v>
      </c>
      <c r="L88" s="17">
        <f>IF(COUNTIF(Sheet14!A:A, A88)&gt;0, 1, 0)</f>
        <v>0</v>
      </c>
      <c r="M88" s="17">
        <f t="shared" si="8"/>
        <v>1</v>
      </c>
    </row>
    <row r="89" hidden="1">
      <c r="A89" s="35" t="s">
        <v>841</v>
      </c>
      <c r="B89" s="35" t="s">
        <v>841</v>
      </c>
      <c r="C89" s="35" t="s">
        <v>280</v>
      </c>
      <c r="D89" s="35" t="s">
        <v>835</v>
      </c>
      <c r="E89" s="35" t="s">
        <v>842</v>
      </c>
      <c r="F89" s="37"/>
      <c r="G89" s="35">
        <v>0.0</v>
      </c>
      <c r="H89" s="37"/>
      <c r="I89" s="35" t="s">
        <v>843</v>
      </c>
      <c r="J89" s="37"/>
      <c r="K89" s="17">
        <f t="shared" si="1"/>
        <v>0</v>
      </c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</row>
    <row r="90">
      <c r="A90" s="1" t="s">
        <v>846</v>
      </c>
      <c r="B90" s="1" t="s">
        <v>846</v>
      </c>
      <c r="C90" s="1" t="s">
        <v>280</v>
      </c>
      <c r="D90" s="1" t="s">
        <v>835</v>
      </c>
      <c r="E90" s="1" t="s">
        <v>61</v>
      </c>
      <c r="F90" s="1" t="s">
        <v>61</v>
      </c>
      <c r="G90" s="1">
        <v>595.0</v>
      </c>
      <c r="K90" s="17">
        <f t="shared" si="1"/>
        <v>1</v>
      </c>
      <c r="L90" s="17">
        <f>IF(COUNTIF(Sheet14!A:A, A90)&gt;0, 1, 0)</f>
        <v>0</v>
      </c>
      <c r="M90" s="17">
        <f t="shared" ref="M90:M94" si="9">if(L90=1,G90*2,G90)</f>
        <v>595</v>
      </c>
    </row>
    <row r="91">
      <c r="A91" s="1">
        <v>1.4371652E7</v>
      </c>
      <c r="B91" s="1" t="s">
        <v>851</v>
      </c>
      <c r="C91" s="1" t="s">
        <v>280</v>
      </c>
      <c r="D91" s="1" t="s">
        <v>852</v>
      </c>
      <c r="E91" s="1" t="s">
        <v>54</v>
      </c>
      <c r="F91" s="1" t="s">
        <v>54</v>
      </c>
      <c r="G91" s="1">
        <v>6224.0</v>
      </c>
      <c r="K91" s="17">
        <f t="shared" si="1"/>
        <v>1</v>
      </c>
      <c r="L91" s="17">
        <f>IF(COUNTIF(Sheet14!A:A, A91)&gt;0, 1, 0)</f>
        <v>0</v>
      </c>
      <c r="M91" s="17">
        <f t="shared" si="9"/>
        <v>6224</v>
      </c>
    </row>
    <row r="92">
      <c r="A92" s="1" t="s">
        <v>856</v>
      </c>
      <c r="B92" s="1" t="s">
        <v>857</v>
      </c>
      <c r="C92" s="1" t="s">
        <v>280</v>
      </c>
      <c r="D92" s="1" t="s">
        <v>852</v>
      </c>
      <c r="E92" s="1" t="s">
        <v>54</v>
      </c>
      <c r="F92" s="1" t="s">
        <v>54</v>
      </c>
      <c r="G92" s="1">
        <v>33332.0</v>
      </c>
      <c r="K92" s="17">
        <f t="shared" si="1"/>
        <v>1</v>
      </c>
      <c r="L92" s="17">
        <f>IF(COUNTIF(Sheet14!A:A, A92)&gt;0, 1, 0)</f>
        <v>1</v>
      </c>
      <c r="M92" s="17">
        <f t="shared" si="9"/>
        <v>66664</v>
      </c>
    </row>
    <row r="93">
      <c r="A93" s="1" t="s">
        <v>859</v>
      </c>
      <c r="B93" s="1" t="s">
        <v>860</v>
      </c>
      <c r="C93" s="1" t="s">
        <v>280</v>
      </c>
      <c r="D93" s="1" t="s">
        <v>852</v>
      </c>
      <c r="E93" s="1" t="s">
        <v>61</v>
      </c>
      <c r="F93" s="1" t="s">
        <v>61</v>
      </c>
      <c r="G93" s="1">
        <v>5015.0</v>
      </c>
      <c r="K93" s="17">
        <f t="shared" si="1"/>
        <v>1</v>
      </c>
      <c r="L93" s="17">
        <f>IF(COUNTIF(Sheet14!A:A, A93)&gt;0, 1, 0)</f>
        <v>0</v>
      </c>
      <c r="M93" s="17">
        <f t="shared" si="9"/>
        <v>5015</v>
      </c>
    </row>
    <row r="94">
      <c r="A94" s="1" t="s">
        <v>862</v>
      </c>
      <c r="B94" s="1" t="s">
        <v>864</v>
      </c>
      <c r="C94" s="1" t="s">
        <v>280</v>
      </c>
      <c r="D94" s="1" t="s">
        <v>865</v>
      </c>
      <c r="E94" s="1" t="s">
        <v>866</v>
      </c>
      <c r="F94" s="1" t="s">
        <v>17</v>
      </c>
      <c r="G94" s="1">
        <v>51394.0</v>
      </c>
      <c r="K94" s="17">
        <f t="shared" si="1"/>
        <v>1</v>
      </c>
      <c r="L94" s="17">
        <f>IF(COUNTIF(Sheet14!A:A, A94)&gt;0, 1, 0)</f>
        <v>1</v>
      </c>
      <c r="M94" s="17">
        <f t="shared" si="9"/>
        <v>102788</v>
      </c>
    </row>
    <row r="95" hidden="1">
      <c r="A95" s="35" t="s">
        <v>867</v>
      </c>
      <c r="B95" s="35" t="s">
        <v>867</v>
      </c>
      <c r="C95" s="35" t="s">
        <v>280</v>
      </c>
      <c r="D95" s="35" t="s">
        <v>865</v>
      </c>
      <c r="E95" s="35" t="s">
        <v>869</v>
      </c>
      <c r="F95" s="37"/>
      <c r="G95" s="37"/>
      <c r="H95" s="37"/>
      <c r="I95" s="35" t="s">
        <v>870</v>
      </c>
      <c r="J95" s="37"/>
      <c r="K95" s="37">
        <f t="shared" si="1"/>
        <v>0</v>
      </c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</row>
    <row r="96">
      <c r="A96" s="1" t="s">
        <v>872</v>
      </c>
      <c r="B96" s="1" t="s">
        <v>873</v>
      </c>
      <c r="C96" s="1" t="s">
        <v>366</v>
      </c>
      <c r="D96" s="1" t="s">
        <v>366</v>
      </c>
      <c r="E96" s="1" t="s">
        <v>874</v>
      </c>
      <c r="F96" s="1" t="s">
        <v>64</v>
      </c>
      <c r="G96" s="1">
        <v>170.0</v>
      </c>
      <c r="K96" s="17">
        <f t="shared" si="1"/>
        <v>1</v>
      </c>
      <c r="L96" s="17">
        <f>IF(COUNTIF(Sheet14!A:A, A96)&gt;0, 1, 0)</f>
        <v>0</v>
      </c>
      <c r="M96" s="17">
        <f t="shared" ref="M96:M106" si="10">if(L96=1,G96*2,G96)</f>
        <v>170</v>
      </c>
    </row>
    <row r="97">
      <c r="A97" s="46" t="s">
        <v>878</v>
      </c>
      <c r="B97" s="46" t="s">
        <v>879</v>
      </c>
      <c r="C97" s="46" t="s">
        <v>366</v>
      </c>
      <c r="D97" s="46" t="s">
        <v>880</v>
      </c>
      <c r="E97" s="46" t="s">
        <v>874</v>
      </c>
      <c r="F97" s="46" t="s">
        <v>64</v>
      </c>
      <c r="G97" s="46">
        <v>2000.0</v>
      </c>
      <c r="H97" s="47"/>
      <c r="I97" s="47"/>
      <c r="J97" s="47"/>
      <c r="K97" s="17">
        <f t="shared" si="1"/>
        <v>1</v>
      </c>
      <c r="L97" s="17">
        <f>IF(COUNTIF(Sheet14!A:A, A97)&gt;0, 1, 0)</f>
        <v>0</v>
      </c>
      <c r="M97" s="17">
        <f t="shared" si="10"/>
        <v>2000</v>
      </c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</row>
    <row r="98">
      <c r="A98" s="1" t="s">
        <v>883</v>
      </c>
      <c r="B98" s="1" t="s">
        <v>884</v>
      </c>
      <c r="C98" s="1" t="s">
        <v>366</v>
      </c>
      <c r="D98" s="1" t="s">
        <v>880</v>
      </c>
      <c r="E98" s="1" t="s">
        <v>874</v>
      </c>
      <c r="F98" s="1" t="s">
        <v>64</v>
      </c>
      <c r="G98" s="1">
        <v>4485904.0</v>
      </c>
      <c r="K98" s="17">
        <f t="shared" si="1"/>
        <v>1</v>
      </c>
      <c r="L98" s="17">
        <f>IF(COUNTIF(Sheet14!A:A, A98)&gt;0, 1, 0)</f>
        <v>1</v>
      </c>
      <c r="M98" s="17">
        <f t="shared" si="10"/>
        <v>8971808</v>
      </c>
    </row>
    <row r="99">
      <c r="A99" s="1" t="s">
        <v>136</v>
      </c>
      <c r="B99" s="1" t="s">
        <v>889</v>
      </c>
      <c r="C99" s="1" t="s">
        <v>366</v>
      </c>
      <c r="D99" s="1" t="s">
        <v>366</v>
      </c>
      <c r="E99" s="1" t="s">
        <v>64</v>
      </c>
      <c r="F99" s="1" t="s">
        <v>64</v>
      </c>
      <c r="G99" s="1">
        <v>16577.0</v>
      </c>
      <c r="K99" s="17">
        <f t="shared" si="1"/>
        <v>1</v>
      </c>
      <c r="L99" s="17">
        <f>IF(COUNTIF(Sheet14!A:A, A99)&gt;0, 1, 0)</f>
        <v>0</v>
      </c>
      <c r="M99" s="17">
        <f t="shared" si="10"/>
        <v>16577</v>
      </c>
    </row>
    <row r="100">
      <c r="A100" s="1" t="s">
        <v>891</v>
      </c>
      <c r="B100" s="1" t="s">
        <v>891</v>
      </c>
      <c r="C100" s="1" t="s">
        <v>366</v>
      </c>
      <c r="E100" s="1" t="s">
        <v>91</v>
      </c>
      <c r="F100" s="1" t="s">
        <v>61</v>
      </c>
      <c r="G100" s="1">
        <v>129369.0</v>
      </c>
      <c r="H100" s="1"/>
      <c r="I100" s="1"/>
      <c r="K100" s="17">
        <f t="shared" si="1"/>
        <v>1</v>
      </c>
      <c r="L100" s="17">
        <f>IF(COUNTIF(Sheet14!A:A, A100)&gt;0, 1, 0)</f>
        <v>0</v>
      </c>
      <c r="M100" s="17">
        <f t="shared" si="10"/>
        <v>129369</v>
      </c>
    </row>
    <row r="101">
      <c r="A101" s="1" t="s">
        <v>896</v>
      </c>
      <c r="B101" s="1" t="s">
        <v>897</v>
      </c>
      <c r="C101" s="1" t="s">
        <v>366</v>
      </c>
      <c r="E101" s="1" t="s">
        <v>898</v>
      </c>
      <c r="F101" s="1" t="s">
        <v>64</v>
      </c>
      <c r="G101" s="1">
        <v>2394.0</v>
      </c>
      <c r="K101" s="17">
        <f t="shared" si="1"/>
        <v>1</v>
      </c>
      <c r="L101" s="17">
        <f>IF(COUNTIF(Sheet14!A:A, A101)&gt;0, 1, 0)</f>
        <v>0</v>
      </c>
      <c r="M101" s="17">
        <f t="shared" si="10"/>
        <v>2394</v>
      </c>
    </row>
    <row r="102">
      <c r="A102" s="1" t="s">
        <v>903</v>
      </c>
      <c r="B102" s="1" t="s">
        <v>62</v>
      </c>
      <c r="C102" s="1" t="s">
        <v>366</v>
      </c>
      <c r="D102" s="1" t="s">
        <v>366</v>
      </c>
      <c r="E102" s="1" t="s">
        <v>874</v>
      </c>
      <c r="F102" s="1" t="s">
        <v>64</v>
      </c>
      <c r="G102" s="1">
        <v>81722.0</v>
      </c>
      <c r="K102" s="17">
        <f t="shared" si="1"/>
        <v>1</v>
      </c>
      <c r="L102" s="17">
        <f>IF(COUNTIF(Sheet14!A:A, A102)&gt;0, 1, 0)</f>
        <v>0</v>
      </c>
      <c r="M102" s="17">
        <f t="shared" si="10"/>
        <v>81722</v>
      </c>
    </row>
    <row r="103">
      <c r="A103" s="1" t="s">
        <v>906</v>
      </c>
      <c r="B103" s="1" t="s">
        <v>907</v>
      </c>
      <c r="C103" s="1" t="s">
        <v>366</v>
      </c>
      <c r="D103" s="1" t="s">
        <v>366</v>
      </c>
      <c r="E103" s="1" t="s">
        <v>64</v>
      </c>
      <c r="F103" s="1" t="s">
        <v>64</v>
      </c>
      <c r="G103" s="1">
        <v>11526.0</v>
      </c>
      <c r="H103" s="1"/>
      <c r="I103" s="1"/>
      <c r="K103" s="17">
        <f t="shared" si="1"/>
        <v>1</v>
      </c>
      <c r="L103" s="17">
        <f>IF(COUNTIF(Sheet14!A:A, A103)&gt;0, 1, 0)</f>
        <v>0</v>
      </c>
      <c r="M103" s="17">
        <f t="shared" si="10"/>
        <v>11526</v>
      </c>
    </row>
    <row r="104">
      <c r="A104" s="1" t="s">
        <v>912</v>
      </c>
      <c r="B104" s="1" t="s">
        <v>913</v>
      </c>
      <c r="C104" s="1" t="s">
        <v>366</v>
      </c>
      <c r="D104" s="1" t="s">
        <v>366</v>
      </c>
      <c r="E104" s="1" t="s">
        <v>31</v>
      </c>
      <c r="F104" s="1" t="s">
        <v>31</v>
      </c>
      <c r="G104" s="1">
        <v>9227.0</v>
      </c>
      <c r="K104" s="17">
        <f t="shared" si="1"/>
        <v>1</v>
      </c>
      <c r="L104" s="17">
        <f>IF(COUNTIF(Sheet14!A:A, A104)&gt;0, 1, 0)</f>
        <v>1</v>
      </c>
      <c r="M104" s="17">
        <f t="shared" si="10"/>
        <v>18454</v>
      </c>
    </row>
    <row r="105">
      <c r="A105" s="1" t="s">
        <v>915</v>
      </c>
      <c r="B105" s="1" t="s">
        <v>913</v>
      </c>
      <c r="C105" s="1" t="s">
        <v>366</v>
      </c>
      <c r="D105" s="1" t="s">
        <v>366</v>
      </c>
      <c r="E105" s="1" t="s">
        <v>31</v>
      </c>
      <c r="F105" s="1" t="s">
        <v>31</v>
      </c>
      <c r="G105" s="1">
        <v>9433.0</v>
      </c>
      <c r="K105" s="17">
        <f t="shared" si="1"/>
        <v>1</v>
      </c>
      <c r="L105" s="17">
        <f>IF(COUNTIF(Sheet14!A:A, A105)&gt;0, 1, 0)</f>
        <v>1</v>
      </c>
      <c r="M105" s="17">
        <f t="shared" si="10"/>
        <v>18866</v>
      </c>
    </row>
    <row r="106">
      <c r="A106" s="1" t="s">
        <v>916</v>
      </c>
      <c r="B106" s="1" t="s">
        <v>913</v>
      </c>
      <c r="C106" s="1" t="s">
        <v>366</v>
      </c>
      <c r="D106" s="1" t="s">
        <v>366</v>
      </c>
      <c r="E106" s="1" t="s">
        <v>31</v>
      </c>
      <c r="F106" s="1" t="s">
        <v>31</v>
      </c>
      <c r="G106" s="1">
        <v>9386.0</v>
      </c>
      <c r="K106" s="17">
        <f t="shared" si="1"/>
        <v>1</v>
      </c>
      <c r="L106" s="17">
        <f>IF(COUNTIF(Sheet14!A:A, A106)&gt;0, 1, 0)</f>
        <v>1</v>
      </c>
      <c r="M106" s="17">
        <f t="shared" si="10"/>
        <v>18772</v>
      </c>
    </row>
    <row r="107" hidden="1">
      <c r="A107" s="35" t="s">
        <v>917</v>
      </c>
      <c r="B107" s="35" t="s">
        <v>918</v>
      </c>
      <c r="C107" s="35" t="s">
        <v>366</v>
      </c>
      <c r="D107" s="35" t="s">
        <v>366</v>
      </c>
      <c r="E107" s="35" t="s">
        <v>919</v>
      </c>
      <c r="F107" s="37"/>
      <c r="G107" s="35"/>
      <c r="H107" s="37"/>
      <c r="I107" s="35" t="s">
        <v>920</v>
      </c>
      <c r="J107" s="37"/>
      <c r="K107" s="37">
        <f t="shared" si="1"/>
        <v>0</v>
      </c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</row>
    <row r="108" hidden="1">
      <c r="A108" s="35" t="s">
        <v>921</v>
      </c>
      <c r="B108" s="35" t="s">
        <v>922</v>
      </c>
      <c r="C108" s="35" t="s">
        <v>366</v>
      </c>
      <c r="D108" s="35" t="s">
        <v>366</v>
      </c>
      <c r="E108" s="35" t="s">
        <v>923</v>
      </c>
      <c r="F108" s="35" t="s">
        <v>645</v>
      </c>
      <c r="G108" s="35"/>
      <c r="H108" s="37"/>
      <c r="I108" s="35" t="s">
        <v>920</v>
      </c>
      <c r="J108" s="37"/>
      <c r="K108" s="37">
        <f t="shared" si="1"/>
        <v>0</v>
      </c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</row>
    <row r="109">
      <c r="A109" s="1" t="s">
        <v>925</v>
      </c>
      <c r="B109" s="1" t="s">
        <v>926</v>
      </c>
      <c r="C109" s="1" t="s">
        <v>366</v>
      </c>
      <c r="D109" s="1" t="s">
        <v>366</v>
      </c>
      <c r="E109" s="1" t="s">
        <v>147</v>
      </c>
      <c r="F109" s="1" t="s">
        <v>61</v>
      </c>
      <c r="G109" s="1">
        <v>209.0</v>
      </c>
      <c r="K109" s="17">
        <f t="shared" si="1"/>
        <v>1</v>
      </c>
      <c r="L109" s="17">
        <f>IF(COUNTIF(Sheet14!A:A, A109)&gt;0, 1, 0)</f>
        <v>0</v>
      </c>
      <c r="M109" s="17">
        <f>if(L109=1,G109*2,G109)</f>
        <v>209</v>
      </c>
    </row>
    <row r="110" hidden="1">
      <c r="A110" s="35" t="s">
        <v>932</v>
      </c>
      <c r="B110" s="35" t="s">
        <v>933</v>
      </c>
      <c r="C110" s="35" t="s">
        <v>366</v>
      </c>
      <c r="D110" s="35" t="s">
        <v>366</v>
      </c>
      <c r="E110" s="35" t="s">
        <v>934</v>
      </c>
      <c r="F110" s="37"/>
      <c r="G110" s="35">
        <v>0.0</v>
      </c>
      <c r="H110" s="37"/>
      <c r="I110" s="35" t="s">
        <v>935</v>
      </c>
      <c r="J110" s="37"/>
      <c r="K110" s="17">
        <f t="shared" si="1"/>
        <v>0</v>
      </c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</row>
    <row r="111">
      <c r="A111" s="1" t="s">
        <v>936</v>
      </c>
      <c r="B111" s="1" t="s">
        <v>936</v>
      </c>
      <c r="C111" s="1" t="s">
        <v>744</v>
      </c>
      <c r="D111" s="1" t="s">
        <v>744</v>
      </c>
      <c r="E111" s="1" t="s">
        <v>17</v>
      </c>
      <c r="F111" s="1" t="s">
        <v>17</v>
      </c>
      <c r="G111" s="1">
        <v>23098.0</v>
      </c>
      <c r="K111" s="17">
        <f t="shared" si="1"/>
        <v>1</v>
      </c>
      <c r="L111" s="17">
        <f>IF(COUNTIF(Sheet14!A:A, A111)&gt;0, 1, 0)</f>
        <v>1</v>
      </c>
      <c r="M111" s="17">
        <f t="shared" ref="M111:M115" si="11">if(L111=1,G111*2,G111)</f>
        <v>46196</v>
      </c>
    </row>
    <row r="112">
      <c r="A112" s="1" t="s">
        <v>937</v>
      </c>
      <c r="B112" s="1" t="s">
        <v>937</v>
      </c>
      <c r="C112" s="1" t="s">
        <v>744</v>
      </c>
      <c r="D112" s="1" t="s">
        <v>301</v>
      </c>
      <c r="E112" s="1" t="s">
        <v>17</v>
      </c>
      <c r="F112" s="1" t="s">
        <v>17</v>
      </c>
      <c r="G112" s="1">
        <v>121757.0</v>
      </c>
      <c r="K112" s="17">
        <f t="shared" si="1"/>
        <v>1</v>
      </c>
      <c r="L112" s="17">
        <f>IF(COUNTIF(Sheet14!A:A, A112)&gt;0, 1, 0)</f>
        <v>1</v>
      </c>
      <c r="M112" s="17">
        <f t="shared" si="11"/>
        <v>243514</v>
      </c>
    </row>
    <row r="113">
      <c r="A113" s="1" t="s">
        <v>939</v>
      </c>
      <c r="B113" s="1" t="s">
        <v>940</v>
      </c>
      <c r="C113" s="1" t="s">
        <v>744</v>
      </c>
      <c r="D113" s="1" t="s">
        <v>941</v>
      </c>
      <c r="E113" s="1" t="s">
        <v>942</v>
      </c>
      <c r="F113" s="1" t="s">
        <v>17</v>
      </c>
      <c r="G113" s="1">
        <v>81722.0</v>
      </c>
      <c r="K113" s="17">
        <f t="shared" si="1"/>
        <v>1</v>
      </c>
      <c r="L113" s="17">
        <f>IF(COUNTIF(Sheet14!A:A, A113)&gt;0, 1, 0)</f>
        <v>0</v>
      </c>
      <c r="M113" s="17">
        <f t="shared" si="11"/>
        <v>81722</v>
      </c>
    </row>
    <row r="114">
      <c r="A114" s="1" t="s">
        <v>944</v>
      </c>
      <c r="B114" s="1" t="s">
        <v>945</v>
      </c>
      <c r="C114" s="1" t="s">
        <v>744</v>
      </c>
      <c r="D114" s="1" t="s">
        <v>941</v>
      </c>
      <c r="E114" s="1" t="s">
        <v>946</v>
      </c>
      <c r="F114" s="1" t="s">
        <v>81</v>
      </c>
      <c r="G114" s="1">
        <v>19744.0</v>
      </c>
      <c r="K114" s="17">
        <f t="shared" si="1"/>
        <v>1</v>
      </c>
      <c r="L114" s="17">
        <f>IF(COUNTIF(Sheet14!A:A, A114)&gt;0, 1, 0)</f>
        <v>0</v>
      </c>
      <c r="M114" s="17">
        <f t="shared" si="11"/>
        <v>19744</v>
      </c>
    </row>
    <row r="115">
      <c r="A115" s="1" t="s">
        <v>948</v>
      </c>
      <c r="B115" s="1" t="s">
        <v>949</v>
      </c>
      <c r="C115" s="1" t="s">
        <v>744</v>
      </c>
      <c r="D115" s="1" t="s">
        <v>941</v>
      </c>
      <c r="E115" s="1" t="s">
        <v>950</v>
      </c>
      <c r="F115" s="1" t="s">
        <v>17</v>
      </c>
      <c r="G115" s="1">
        <v>100127.0</v>
      </c>
      <c r="K115" s="17">
        <f t="shared" si="1"/>
        <v>1</v>
      </c>
      <c r="L115" s="17">
        <f>IF(COUNTIF(Sheet14!A:A, A115)&gt;0, 1, 0)</f>
        <v>1</v>
      </c>
      <c r="M115" s="17">
        <f t="shared" si="11"/>
        <v>200254</v>
      </c>
    </row>
    <row r="116" hidden="1">
      <c r="A116" s="35" t="s">
        <v>951</v>
      </c>
      <c r="B116" s="35" t="s">
        <v>951</v>
      </c>
      <c r="C116" s="35" t="s">
        <v>744</v>
      </c>
      <c r="D116" s="35" t="s">
        <v>941</v>
      </c>
      <c r="E116" s="35" t="s">
        <v>952</v>
      </c>
      <c r="F116" s="35" t="s">
        <v>31</v>
      </c>
      <c r="G116" s="35">
        <v>0.0</v>
      </c>
      <c r="H116" s="37"/>
      <c r="I116" s="35" t="s">
        <v>955</v>
      </c>
      <c r="J116" s="37"/>
      <c r="K116" s="17">
        <f t="shared" si="1"/>
        <v>0</v>
      </c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</row>
    <row r="117">
      <c r="A117" s="1" t="s">
        <v>957</v>
      </c>
      <c r="B117" s="1" t="s">
        <v>958</v>
      </c>
      <c r="C117" s="1" t="s">
        <v>744</v>
      </c>
      <c r="D117" s="1" t="s">
        <v>941</v>
      </c>
      <c r="E117" s="1" t="s">
        <v>959</v>
      </c>
      <c r="F117" s="1" t="s">
        <v>31</v>
      </c>
      <c r="G117" s="1">
        <v>28055.0</v>
      </c>
      <c r="I117" s="1"/>
      <c r="K117" s="17">
        <f t="shared" si="1"/>
        <v>1</v>
      </c>
      <c r="L117" s="17">
        <f>IF(COUNTIF(Sheet14!A:A, A117)&gt;0, 1, 0)</f>
        <v>1</v>
      </c>
      <c r="M117" s="17">
        <f t="shared" ref="M117:M125" si="12">if(L117=1,G117*2,G117)</f>
        <v>56110</v>
      </c>
    </row>
    <row r="118">
      <c r="A118" s="1" t="s">
        <v>962</v>
      </c>
      <c r="B118" s="1" t="s">
        <v>964</v>
      </c>
      <c r="C118" s="1" t="s">
        <v>744</v>
      </c>
      <c r="D118" s="1" t="s">
        <v>941</v>
      </c>
      <c r="E118" s="1" t="s">
        <v>31</v>
      </c>
      <c r="F118" s="1" t="s">
        <v>31</v>
      </c>
      <c r="G118" s="1">
        <v>114045.0</v>
      </c>
      <c r="I118" s="1"/>
      <c r="K118" s="17">
        <f t="shared" si="1"/>
        <v>1</v>
      </c>
      <c r="L118" s="17">
        <f>IF(COUNTIF(Sheet14!A:A, A118)&gt;0, 1, 0)</f>
        <v>1</v>
      </c>
      <c r="M118" s="17">
        <f t="shared" si="12"/>
        <v>228090</v>
      </c>
    </row>
    <row r="119">
      <c r="A119" s="1" t="s">
        <v>967</v>
      </c>
      <c r="B119" s="1" t="s">
        <v>968</v>
      </c>
      <c r="C119" s="1" t="s">
        <v>744</v>
      </c>
      <c r="D119" s="1" t="s">
        <v>941</v>
      </c>
      <c r="E119" s="1" t="s">
        <v>959</v>
      </c>
      <c r="F119" s="1" t="s">
        <v>31</v>
      </c>
      <c r="G119" s="1">
        <v>90070.0</v>
      </c>
      <c r="I119" s="1"/>
      <c r="K119" s="17">
        <f t="shared" si="1"/>
        <v>1</v>
      </c>
      <c r="L119" s="17">
        <f>IF(COUNTIF(Sheet14!A:A, A119)&gt;0, 1, 0)</f>
        <v>1</v>
      </c>
      <c r="M119" s="17">
        <f t="shared" si="12"/>
        <v>180140</v>
      </c>
    </row>
    <row r="120">
      <c r="A120" s="1" t="s">
        <v>969</v>
      </c>
      <c r="B120" s="1" t="s">
        <v>969</v>
      </c>
      <c r="C120" s="1" t="s">
        <v>61</v>
      </c>
      <c r="D120" s="1" t="s">
        <v>544</v>
      </c>
      <c r="E120" s="1" t="s">
        <v>91</v>
      </c>
      <c r="F120" s="1" t="s">
        <v>61</v>
      </c>
      <c r="G120" s="1">
        <v>9746.0</v>
      </c>
      <c r="K120" s="17">
        <f t="shared" si="1"/>
        <v>1</v>
      </c>
      <c r="L120" s="17">
        <f>IF(COUNTIF(Sheet14!A:A, A120)&gt;0, 1, 0)</f>
        <v>0</v>
      </c>
      <c r="M120" s="17">
        <f t="shared" si="12"/>
        <v>9746</v>
      </c>
    </row>
    <row r="121">
      <c r="A121" s="46" t="s">
        <v>975</v>
      </c>
      <c r="B121" s="46" t="s">
        <v>976</v>
      </c>
      <c r="C121" s="46" t="s">
        <v>977</v>
      </c>
      <c r="D121" s="46" t="s">
        <v>978</v>
      </c>
      <c r="E121" s="46" t="s">
        <v>75</v>
      </c>
      <c r="F121" s="46" t="s">
        <v>81</v>
      </c>
      <c r="G121" s="46">
        <v>40005.0</v>
      </c>
      <c r="H121" s="47"/>
      <c r="I121" s="47"/>
      <c r="J121" s="47"/>
      <c r="K121" s="17">
        <f t="shared" si="1"/>
        <v>1</v>
      </c>
      <c r="L121" s="17">
        <f>IF(COUNTIF(Sheet14!A:A, A121)&gt;0, 1, 0)</f>
        <v>0</v>
      </c>
      <c r="M121" s="17">
        <f t="shared" si="12"/>
        <v>40005</v>
      </c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</row>
    <row r="122">
      <c r="A122" s="1" t="s">
        <v>984</v>
      </c>
      <c r="B122" s="1" t="s">
        <v>985</v>
      </c>
      <c r="C122" s="1" t="s">
        <v>977</v>
      </c>
      <c r="E122" s="1" t="s">
        <v>75</v>
      </c>
      <c r="F122" s="1" t="s">
        <v>81</v>
      </c>
      <c r="G122" s="1">
        <v>3300.0</v>
      </c>
      <c r="K122" s="17">
        <f t="shared" si="1"/>
        <v>1</v>
      </c>
      <c r="L122" s="17">
        <f>IF(COUNTIF(Sheet14!A:A, A122)&gt;0, 1, 0)</f>
        <v>0</v>
      </c>
      <c r="M122" s="17">
        <f t="shared" si="12"/>
        <v>3300</v>
      </c>
    </row>
    <row r="123">
      <c r="A123" s="1" t="s">
        <v>988</v>
      </c>
      <c r="B123" s="1" t="s">
        <v>989</v>
      </c>
      <c r="C123" s="1" t="s">
        <v>977</v>
      </c>
      <c r="E123" s="1" t="s">
        <v>75</v>
      </c>
      <c r="F123" s="1" t="s">
        <v>81</v>
      </c>
      <c r="G123" s="1">
        <v>8188.0</v>
      </c>
      <c r="K123" s="17">
        <f t="shared" si="1"/>
        <v>1</v>
      </c>
      <c r="L123" s="17">
        <f>IF(COUNTIF(Sheet14!A:A, A123)&gt;0, 1, 0)</f>
        <v>0</v>
      </c>
      <c r="M123" s="17">
        <f t="shared" si="12"/>
        <v>8188</v>
      </c>
    </row>
    <row r="124">
      <c r="A124" s="1" t="s">
        <v>992</v>
      </c>
      <c r="B124" s="1" t="s">
        <v>993</v>
      </c>
      <c r="C124" s="1" t="s">
        <v>977</v>
      </c>
      <c r="D124" s="1" t="s">
        <v>994</v>
      </c>
      <c r="E124" s="1" t="s">
        <v>75</v>
      </c>
      <c r="F124" s="1" t="s">
        <v>81</v>
      </c>
      <c r="G124" s="1">
        <v>1770.0</v>
      </c>
      <c r="K124" s="17">
        <f t="shared" si="1"/>
        <v>1</v>
      </c>
      <c r="L124" s="17">
        <f>IF(COUNTIF(Sheet14!A:A, A124)&gt;0, 1, 0)</f>
        <v>0</v>
      </c>
      <c r="M124" s="17">
        <f t="shared" si="12"/>
        <v>1770</v>
      </c>
    </row>
    <row r="125">
      <c r="A125" s="46" t="s">
        <v>996</v>
      </c>
      <c r="B125" s="46" t="s">
        <v>996</v>
      </c>
      <c r="C125" s="46" t="s">
        <v>977</v>
      </c>
      <c r="D125" s="46" t="s">
        <v>994</v>
      </c>
      <c r="E125" s="46" t="s">
        <v>75</v>
      </c>
      <c r="F125" s="46" t="s">
        <v>81</v>
      </c>
      <c r="G125" s="46">
        <v>1297.0</v>
      </c>
      <c r="H125" s="47"/>
      <c r="I125" s="47"/>
      <c r="J125" s="47"/>
      <c r="K125" s="17">
        <f t="shared" si="1"/>
        <v>1</v>
      </c>
      <c r="L125" s="17">
        <f>IF(COUNTIF(Sheet14!A:A, A125)&gt;0, 1, 0)</f>
        <v>0</v>
      </c>
      <c r="M125" s="17">
        <f t="shared" si="12"/>
        <v>1297</v>
      </c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</row>
    <row r="126" hidden="1">
      <c r="A126" s="35" t="s">
        <v>997</v>
      </c>
      <c r="B126" s="35" t="s">
        <v>997</v>
      </c>
      <c r="C126" s="35" t="s">
        <v>977</v>
      </c>
      <c r="D126" s="35" t="s">
        <v>994</v>
      </c>
      <c r="E126" s="35" t="s">
        <v>17</v>
      </c>
      <c r="F126" s="35" t="s">
        <v>17</v>
      </c>
      <c r="G126" s="35">
        <v>0.0</v>
      </c>
      <c r="H126" s="37"/>
      <c r="I126" s="35" t="s">
        <v>955</v>
      </c>
      <c r="J126" s="37"/>
      <c r="K126" s="17">
        <f t="shared" si="1"/>
        <v>0</v>
      </c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</row>
    <row r="127">
      <c r="A127" s="1" t="s">
        <v>1002</v>
      </c>
      <c r="B127" s="1" t="s">
        <v>1003</v>
      </c>
      <c r="C127" s="1" t="s">
        <v>977</v>
      </c>
      <c r="D127" s="1" t="s">
        <v>994</v>
      </c>
      <c r="E127" s="1" t="s">
        <v>75</v>
      </c>
      <c r="F127" s="1" t="s">
        <v>81</v>
      </c>
      <c r="G127" s="1">
        <v>280.0</v>
      </c>
      <c r="K127" s="17">
        <f t="shared" si="1"/>
        <v>1</v>
      </c>
      <c r="L127" s="17">
        <f>IF(COUNTIF(Sheet14!A:A, A127)&gt;0, 1, 0)</f>
        <v>1</v>
      </c>
      <c r="M127" s="17">
        <f t="shared" ref="M127:M129" si="13">if(L127=1,G127*2,G127)</f>
        <v>560</v>
      </c>
    </row>
    <row r="128">
      <c r="A128" s="1" t="s">
        <v>1010</v>
      </c>
      <c r="B128" s="1" t="s">
        <v>1011</v>
      </c>
      <c r="C128" s="1" t="s">
        <v>120</v>
      </c>
      <c r="D128" s="1" t="s">
        <v>120</v>
      </c>
      <c r="E128" s="1" t="s">
        <v>31</v>
      </c>
      <c r="F128" s="1" t="s">
        <v>31</v>
      </c>
      <c r="G128" s="1">
        <v>437538.0</v>
      </c>
      <c r="K128" s="17">
        <f t="shared" si="1"/>
        <v>1</v>
      </c>
      <c r="L128" s="17">
        <f>IF(COUNTIF(Sheet14!A:A, A128)&gt;0, 1, 0)</f>
        <v>1</v>
      </c>
      <c r="M128" s="17">
        <f t="shared" si="13"/>
        <v>875076</v>
      </c>
    </row>
    <row r="129">
      <c r="A129" s="1" t="s">
        <v>1012</v>
      </c>
      <c r="B129" s="1" t="s">
        <v>1012</v>
      </c>
      <c r="C129" s="1" t="s">
        <v>120</v>
      </c>
      <c r="D129" s="1" t="s">
        <v>120</v>
      </c>
      <c r="E129" s="1" t="s">
        <v>91</v>
      </c>
      <c r="F129" s="1" t="s">
        <v>61</v>
      </c>
      <c r="G129" s="1">
        <v>119828.0</v>
      </c>
      <c r="K129" s="17">
        <f t="shared" si="1"/>
        <v>1</v>
      </c>
      <c r="L129" s="17">
        <f>IF(COUNTIF(Sheet14!A:A, A129)&gt;0, 1, 0)</f>
        <v>0</v>
      </c>
      <c r="M129" s="17">
        <f t="shared" si="13"/>
        <v>119828</v>
      </c>
    </row>
    <row r="130" hidden="1">
      <c r="A130" s="35" t="s">
        <v>1016</v>
      </c>
      <c r="B130" s="35" t="s">
        <v>1017</v>
      </c>
      <c r="C130" s="35" t="s">
        <v>301</v>
      </c>
      <c r="D130" s="35" t="s">
        <v>603</v>
      </c>
      <c r="E130" s="35" t="s">
        <v>633</v>
      </c>
      <c r="F130" s="37"/>
      <c r="G130" s="35"/>
      <c r="H130" s="37"/>
      <c r="I130" s="35" t="s">
        <v>1018</v>
      </c>
      <c r="J130" s="37"/>
      <c r="K130" s="17">
        <f t="shared" si="1"/>
        <v>0</v>
      </c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</row>
    <row r="131">
      <c r="A131" s="65" t="s">
        <v>1020</v>
      </c>
      <c r="B131" s="66" t="s">
        <v>1021</v>
      </c>
      <c r="C131" s="66" t="s">
        <v>301</v>
      </c>
      <c r="D131" s="66" t="s">
        <v>603</v>
      </c>
      <c r="E131" s="66" t="s">
        <v>31</v>
      </c>
      <c r="F131" s="1" t="s">
        <v>31</v>
      </c>
      <c r="G131" s="1">
        <v>426.0</v>
      </c>
      <c r="K131" s="17">
        <f t="shared" si="1"/>
        <v>1</v>
      </c>
      <c r="L131" s="17">
        <f>IF(COUNTIF(Sheet14!A:A, A131)&gt;0, 1, 0)</f>
        <v>0</v>
      </c>
      <c r="M131" s="17">
        <f>if(L131=1,G131*2,G131)</f>
        <v>426</v>
      </c>
    </row>
    <row r="132" hidden="1">
      <c r="A132" s="67" t="s">
        <v>1027</v>
      </c>
      <c r="B132" s="68" t="s">
        <v>1027</v>
      </c>
      <c r="C132" s="68" t="s">
        <v>301</v>
      </c>
      <c r="D132" s="68" t="s">
        <v>603</v>
      </c>
      <c r="E132" s="68" t="s">
        <v>31</v>
      </c>
      <c r="F132" s="35" t="s">
        <v>31</v>
      </c>
      <c r="G132" s="35">
        <v>0.0</v>
      </c>
      <c r="H132" s="37"/>
      <c r="I132" s="35" t="s">
        <v>1029</v>
      </c>
      <c r="J132" s="37"/>
      <c r="K132" s="17">
        <f t="shared" si="1"/>
        <v>0</v>
      </c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</row>
    <row r="133">
      <c r="A133" s="65" t="s">
        <v>1030</v>
      </c>
      <c r="B133" s="66" t="s">
        <v>1030</v>
      </c>
      <c r="C133" s="66" t="s">
        <v>301</v>
      </c>
      <c r="D133" s="66" t="s">
        <v>603</v>
      </c>
      <c r="E133" s="66" t="s">
        <v>31</v>
      </c>
      <c r="F133" s="1" t="s">
        <v>31</v>
      </c>
      <c r="G133" s="1">
        <v>317155.0</v>
      </c>
      <c r="K133" s="17">
        <f t="shared" si="1"/>
        <v>1</v>
      </c>
      <c r="L133" s="17">
        <f>IF(COUNTIF(Sheet14!A:A, A133)&gt;0, 1, 0)</f>
        <v>0</v>
      </c>
      <c r="M133" s="17">
        <f t="shared" ref="M133:M134" si="14">if(L133=1,G133*2,G133)</f>
        <v>317155</v>
      </c>
    </row>
    <row r="134">
      <c r="A134" s="65" t="s">
        <v>1031</v>
      </c>
      <c r="B134" s="66" t="s">
        <v>1032</v>
      </c>
      <c r="C134" s="66" t="s">
        <v>280</v>
      </c>
      <c r="D134" s="66" t="s">
        <v>280</v>
      </c>
      <c r="E134" s="66" t="s">
        <v>31</v>
      </c>
      <c r="F134" s="1" t="s">
        <v>31</v>
      </c>
      <c r="G134" s="1">
        <v>1131041.0</v>
      </c>
      <c r="K134" s="17">
        <f t="shared" si="1"/>
        <v>1</v>
      </c>
      <c r="L134" s="17">
        <f>IF(COUNTIF(Sheet14!A:A, A134)&gt;0, 1, 0)</f>
        <v>1</v>
      </c>
      <c r="M134" s="17">
        <f t="shared" si="14"/>
        <v>2262082</v>
      </c>
    </row>
    <row r="135" hidden="1">
      <c r="A135" s="67" t="s">
        <v>1031</v>
      </c>
      <c r="B135" s="68" t="s">
        <v>1034</v>
      </c>
      <c r="C135" s="68" t="s">
        <v>280</v>
      </c>
      <c r="D135" s="68" t="s">
        <v>280</v>
      </c>
      <c r="E135" s="68" t="s">
        <v>31</v>
      </c>
      <c r="F135" s="35" t="s">
        <v>31</v>
      </c>
      <c r="G135" s="35">
        <v>0.0</v>
      </c>
      <c r="H135" s="37"/>
      <c r="I135" s="35" t="s">
        <v>1035</v>
      </c>
      <c r="J135" s="37"/>
      <c r="K135" s="37">
        <f t="shared" si="1"/>
        <v>0</v>
      </c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</row>
    <row r="136" hidden="1">
      <c r="A136" s="67" t="s">
        <v>1031</v>
      </c>
      <c r="B136" s="68" t="s">
        <v>1037</v>
      </c>
      <c r="C136" s="68" t="s">
        <v>280</v>
      </c>
      <c r="D136" s="68" t="s">
        <v>280</v>
      </c>
      <c r="E136" s="68" t="s">
        <v>31</v>
      </c>
      <c r="F136" s="35" t="s">
        <v>31</v>
      </c>
      <c r="G136" s="35">
        <v>0.0</v>
      </c>
      <c r="H136" s="37"/>
      <c r="I136" s="35" t="s">
        <v>1035</v>
      </c>
      <c r="J136" s="37"/>
      <c r="K136" s="37">
        <f t="shared" si="1"/>
        <v>0</v>
      </c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</row>
    <row r="137" hidden="1">
      <c r="A137" s="67" t="s">
        <v>1031</v>
      </c>
      <c r="B137" s="68" t="s">
        <v>1039</v>
      </c>
      <c r="C137" s="68" t="s">
        <v>280</v>
      </c>
      <c r="D137" s="68" t="s">
        <v>280</v>
      </c>
      <c r="E137" s="68" t="s">
        <v>31</v>
      </c>
      <c r="F137" s="35" t="s">
        <v>31</v>
      </c>
      <c r="G137" s="35">
        <v>0.0</v>
      </c>
      <c r="H137" s="37"/>
      <c r="I137" s="35" t="s">
        <v>1035</v>
      </c>
      <c r="J137" s="37"/>
      <c r="K137" s="37">
        <f t="shared" si="1"/>
        <v>0</v>
      </c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</row>
    <row r="138" hidden="1">
      <c r="A138" s="67" t="s">
        <v>1031</v>
      </c>
      <c r="B138" s="68" t="s">
        <v>1042</v>
      </c>
      <c r="C138" s="68" t="s">
        <v>280</v>
      </c>
      <c r="D138" s="68" t="s">
        <v>280</v>
      </c>
      <c r="E138" s="68" t="s">
        <v>31</v>
      </c>
      <c r="F138" s="35" t="s">
        <v>31</v>
      </c>
      <c r="G138" s="35">
        <v>0.0</v>
      </c>
      <c r="H138" s="37"/>
      <c r="I138" s="35" t="s">
        <v>1035</v>
      </c>
      <c r="J138" s="37"/>
      <c r="K138" s="37">
        <f t="shared" si="1"/>
        <v>0</v>
      </c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</row>
    <row r="139">
      <c r="A139" s="65" t="s">
        <v>1043</v>
      </c>
      <c r="B139" s="66" t="s">
        <v>1044</v>
      </c>
      <c r="C139" s="66" t="s">
        <v>301</v>
      </c>
      <c r="D139" s="66" t="s">
        <v>603</v>
      </c>
      <c r="E139" s="66" t="s">
        <v>31</v>
      </c>
      <c r="F139" s="1" t="s">
        <v>31</v>
      </c>
      <c r="G139" s="1">
        <v>35829.0</v>
      </c>
      <c r="K139" s="17">
        <f t="shared" si="1"/>
        <v>1</v>
      </c>
      <c r="L139" s="17">
        <f>IF(COUNTIF(Sheet14!A:A, A139)&gt;0, 1, 0)</f>
        <v>1</v>
      </c>
      <c r="M139" s="17">
        <f t="shared" ref="M139:M142" si="15">if(L139=1,G139*2,G139)</f>
        <v>71658</v>
      </c>
    </row>
    <row r="140">
      <c r="A140" s="65" t="s">
        <v>1052</v>
      </c>
      <c r="B140" s="66" t="s">
        <v>1053</v>
      </c>
      <c r="C140" s="66" t="s">
        <v>301</v>
      </c>
      <c r="D140" s="66" t="s">
        <v>603</v>
      </c>
      <c r="E140" s="66" t="s">
        <v>31</v>
      </c>
      <c r="F140" s="1" t="s">
        <v>31</v>
      </c>
      <c r="G140" s="1">
        <v>1097.0</v>
      </c>
      <c r="K140" s="17">
        <f t="shared" si="1"/>
        <v>1</v>
      </c>
      <c r="L140" s="17">
        <f>IF(COUNTIF(Sheet14!A:A, A140)&gt;0, 1, 0)</f>
        <v>0</v>
      </c>
      <c r="M140" s="17">
        <f t="shared" si="15"/>
        <v>1097</v>
      </c>
    </row>
    <row r="141">
      <c r="A141" s="65" t="s">
        <v>1059</v>
      </c>
      <c r="B141" s="66" t="s">
        <v>1059</v>
      </c>
      <c r="C141" s="66" t="s">
        <v>301</v>
      </c>
      <c r="D141" s="66" t="s">
        <v>603</v>
      </c>
      <c r="E141" s="66" t="s">
        <v>1060</v>
      </c>
      <c r="F141" s="1" t="s">
        <v>31</v>
      </c>
      <c r="G141" s="1">
        <v>7205.0</v>
      </c>
      <c r="K141" s="17">
        <f t="shared" si="1"/>
        <v>1</v>
      </c>
      <c r="L141" s="17">
        <f>IF(COUNTIF(Sheet14!A:A, A141)&gt;0, 1, 0)</f>
        <v>1</v>
      </c>
      <c r="M141" s="17">
        <f t="shared" si="15"/>
        <v>14410</v>
      </c>
    </row>
    <row r="142">
      <c r="A142" s="65" t="s">
        <v>1066</v>
      </c>
      <c r="B142" s="66" t="s">
        <v>1067</v>
      </c>
      <c r="C142" s="66" t="s">
        <v>301</v>
      </c>
      <c r="D142" s="66" t="s">
        <v>603</v>
      </c>
      <c r="E142" s="66" t="s">
        <v>633</v>
      </c>
      <c r="F142" s="1" t="s">
        <v>81</v>
      </c>
      <c r="G142" s="1">
        <v>55684.0</v>
      </c>
      <c r="K142" s="17">
        <f t="shared" si="1"/>
        <v>1</v>
      </c>
      <c r="L142" s="17">
        <f>IF(COUNTIF(Sheet14!A:A, A142)&gt;0, 1, 0)</f>
        <v>0</v>
      </c>
      <c r="M142" s="17">
        <f t="shared" si="15"/>
        <v>55684</v>
      </c>
    </row>
    <row r="143" hidden="1">
      <c r="A143" s="67" t="s">
        <v>1076</v>
      </c>
      <c r="B143" s="68" t="s">
        <v>1078</v>
      </c>
      <c r="C143" s="68" t="s">
        <v>301</v>
      </c>
      <c r="D143" s="68" t="s">
        <v>603</v>
      </c>
      <c r="E143" s="68" t="s">
        <v>633</v>
      </c>
      <c r="F143" s="35" t="s">
        <v>81</v>
      </c>
      <c r="G143" s="35">
        <v>0.0</v>
      </c>
      <c r="H143" s="37"/>
      <c r="I143" s="35" t="s">
        <v>1079</v>
      </c>
      <c r="J143" s="37"/>
      <c r="K143" s="37">
        <f t="shared" si="1"/>
        <v>0</v>
      </c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</row>
    <row r="144">
      <c r="A144" s="65" t="s">
        <v>1080</v>
      </c>
      <c r="B144" s="66" t="s">
        <v>1080</v>
      </c>
      <c r="C144" s="66" t="s">
        <v>301</v>
      </c>
      <c r="D144" s="66" t="s">
        <v>603</v>
      </c>
      <c r="E144" s="66" t="s">
        <v>31</v>
      </c>
      <c r="F144" s="1" t="s">
        <v>31</v>
      </c>
      <c r="G144" s="1">
        <v>12645.0</v>
      </c>
      <c r="K144" s="17">
        <f t="shared" si="1"/>
        <v>1</v>
      </c>
      <c r="L144" s="17">
        <f>IF(COUNTIF(Sheet14!A:A, A144)&gt;0, 1, 0)</f>
        <v>0</v>
      </c>
      <c r="M144" s="17">
        <f t="shared" ref="M144:M145" si="16">if(L144=1,G144*2,G144)</f>
        <v>12645</v>
      </c>
    </row>
    <row r="145">
      <c r="A145" s="65" t="s">
        <v>1081</v>
      </c>
      <c r="B145" s="66" t="s">
        <v>1082</v>
      </c>
      <c r="C145" s="66" t="s">
        <v>301</v>
      </c>
      <c r="D145" s="66" t="s">
        <v>603</v>
      </c>
      <c r="E145" s="66" t="s">
        <v>31</v>
      </c>
      <c r="F145" s="1" t="s">
        <v>31</v>
      </c>
      <c r="G145" s="1">
        <v>28227.0</v>
      </c>
      <c r="K145" s="17">
        <f t="shared" si="1"/>
        <v>1</v>
      </c>
      <c r="L145" s="17">
        <f>IF(COUNTIF(Sheet14!A:A, A145)&gt;0, 1, 0)</f>
        <v>0</v>
      </c>
      <c r="M145" s="17">
        <f t="shared" si="16"/>
        <v>28227</v>
      </c>
    </row>
    <row r="146" hidden="1">
      <c r="A146" s="67" t="s">
        <v>1083</v>
      </c>
      <c r="B146" s="68" t="s">
        <v>1084</v>
      </c>
      <c r="C146" s="68" t="s">
        <v>246</v>
      </c>
      <c r="D146" s="68" t="s">
        <v>644</v>
      </c>
      <c r="E146" s="68" t="s">
        <v>54</v>
      </c>
      <c r="F146" s="35" t="s">
        <v>54</v>
      </c>
      <c r="G146" s="35">
        <v>0.0</v>
      </c>
      <c r="H146" s="37"/>
      <c r="I146" s="35" t="s">
        <v>356</v>
      </c>
      <c r="J146" s="37"/>
      <c r="K146" s="37">
        <f t="shared" si="1"/>
        <v>0</v>
      </c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</row>
    <row r="147">
      <c r="A147" s="65" t="s">
        <v>1085</v>
      </c>
      <c r="B147" s="66" t="s">
        <v>1085</v>
      </c>
      <c r="C147" s="66" t="s">
        <v>246</v>
      </c>
      <c r="D147" s="66" t="s">
        <v>640</v>
      </c>
      <c r="E147" s="66" t="s">
        <v>17</v>
      </c>
      <c r="F147" s="1" t="s">
        <v>17</v>
      </c>
      <c r="G147" s="1">
        <v>67599.0</v>
      </c>
      <c r="K147" s="17">
        <f t="shared" si="1"/>
        <v>1</v>
      </c>
      <c r="L147" s="17">
        <f>IF(COUNTIF(Sheet14!A:A, A147)&gt;0, 1, 0)</f>
        <v>1</v>
      </c>
      <c r="M147" s="17">
        <f t="shared" ref="M147:M151" si="17">if(L147=1,G147*2,G147)</f>
        <v>135198</v>
      </c>
    </row>
    <row r="148">
      <c r="A148" s="65" t="s">
        <v>1086</v>
      </c>
      <c r="B148" s="66" t="s">
        <v>1086</v>
      </c>
      <c r="C148" s="66" t="s">
        <v>246</v>
      </c>
      <c r="D148" s="66" t="s">
        <v>246</v>
      </c>
      <c r="E148" s="66" t="s">
        <v>17</v>
      </c>
      <c r="F148" s="1" t="s">
        <v>17</v>
      </c>
      <c r="G148" s="1">
        <v>104878.0</v>
      </c>
      <c r="K148" s="17">
        <f t="shared" si="1"/>
        <v>1</v>
      </c>
      <c r="L148" s="17">
        <f>IF(COUNTIF(Sheet14!A:A, A148)&gt;0, 1, 0)</f>
        <v>1</v>
      </c>
      <c r="M148" s="17">
        <f t="shared" si="17"/>
        <v>209756</v>
      </c>
    </row>
    <row r="149">
      <c r="A149" s="65" t="s">
        <v>1087</v>
      </c>
      <c r="B149" s="66" t="s">
        <v>1088</v>
      </c>
      <c r="C149" s="66" t="s">
        <v>246</v>
      </c>
      <c r="D149" s="66" t="s">
        <v>1089</v>
      </c>
      <c r="E149" s="66" t="s">
        <v>91</v>
      </c>
      <c r="F149" s="1" t="s">
        <v>61</v>
      </c>
      <c r="G149" s="1">
        <v>1224.0</v>
      </c>
      <c r="K149" s="17">
        <f t="shared" si="1"/>
        <v>1</v>
      </c>
      <c r="L149" s="17">
        <f>IF(COUNTIF(Sheet14!A:A, A149)&gt;0, 1, 0)</f>
        <v>0</v>
      </c>
      <c r="M149" s="17">
        <f t="shared" si="17"/>
        <v>1224</v>
      </c>
    </row>
    <row r="150">
      <c r="A150" s="65" t="s">
        <v>1090</v>
      </c>
      <c r="B150" s="66" t="s">
        <v>1091</v>
      </c>
      <c r="C150" s="66" t="s">
        <v>246</v>
      </c>
      <c r="D150" s="66" t="s">
        <v>246</v>
      </c>
      <c r="E150" s="66" t="s">
        <v>17</v>
      </c>
      <c r="F150" s="1" t="s">
        <v>17</v>
      </c>
      <c r="G150" s="1">
        <v>37639.0</v>
      </c>
      <c r="K150" s="17">
        <f t="shared" si="1"/>
        <v>1</v>
      </c>
      <c r="L150" s="17">
        <f>IF(COUNTIF(Sheet14!A:A, A150)&gt;0, 1, 0)</f>
        <v>1</v>
      </c>
      <c r="M150" s="17">
        <f t="shared" si="17"/>
        <v>75278</v>
      </c>
    </row>
    <row r="151">
      <c r="A151" s="65" t="s">
        <v>1092</v>
      </c>
      <c r="B151" s="66" t="s">
        <v>1093</v>
      </c>
      <c r="C151" s="66" t="s">
        <v>246</v>
      </c>
      <c r="D151" s="66" t="s">
        <v>644</v>
      </c>
      <c r="E151" s="66" t="s">
        <v>17</v>
      </c>
      <c r="F151" s="1" t="s">
        <v>17</v>
      </c>
      <c r="G151" s="1">
        <v>36098.0</v>
      </c>
      <c r="I151" s="1"/>
      <c r="K151" s="17">
        <f t="shared" si="1"/>
        <v>1</v>
      </c>
      <c r="L151" s="17">
        <f>IF(COUNTIF(Sheet14!A:A, A151)&gt;0, 1, 0)</f>
        <v>1</v>
      </c>
      <c r="M151" s="17">
        <f t="shared" si="17"/>
        <v>72196</v>
      </c>
    </row>
    <row r="152" hidden="1">
      <c r="A152" s="67" t="s">
        <v>1092</v>
      </c>
      <c r="B152" s="68" t="s">
        <v>1094</v>
      </c>
      <c r="C152" s="68" t="s">
        <v>246</v>
      </c>
      <c r="D152" s="68" t="s">
        <v>644</v>
      </c>
      <c r="E152" s="68" t="s">
        <v>17</v>
      </c>
      <c r="F152" s="35" t="s">
        <v>17</v>
      </c>
      <c r="G152" s="35">
        <v>0.0</v>
      </c>
      <c r="H152" s="37"/>
      <c r="I152" s="35" t="s">
        <v>740</v>
      </c>
      <c r="J152" s="37"/>
      <c r="K152" s="17">
        <f t="shared" si="1"/>
        <v>0</v>
      </c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</row>
    <row r="153">
      <c r="A153" s="65" t="s">
        <v>1095</v>
      </c>
      <c r="B153" s="66" t="s">
        <v>1096</v>
      </c>
      <c r="C153" s="66" t="s">
        <v>246</v>
      </c>
      <c r="D153" s="66" t="s">
        <v>1097</v>
      </c>
      <c r="E153" s="66" t="s">
        <v>17</v>
      </c>
      <c r="F153" s="1" t="s">
        <v>17</v>
      </c>
      <c r="G153" s="1">
        <v>134309.0</v>
      </c>
      <c r="K153" s="17">
        <f t="shared" si="1"/>
        <v>1</v>
      </c>
      <c r="L153" s="17">
        <f>IF(COUNTIF(Sheet14!A:A, A153)&gt;0, 1, 0)</f>
        <v>1</v>
      </c>
      <c r="M153" s="17">
        <f t="shared" ref="M153:M154" si="18">if(L153=1,G153*2,G153)</f>
        <v>268618</v>
      </c>
    </row>
    <row r="154">
      <c r="A154" s="65" t="s">
        <v>1098</v>
      </c>
      <c r="B154" s="66" t="s">
        <v>1099</v>
      </c>
      <c r="C154" s="66" t="s">
        <v>246</v>
      </c>
      <c r="D154" s="66"/>
      <c r="E154" s="66" t="s">
        <v>651</v>
      </c>
      <c r="F154" s="1" t="s">
        <v>100</v>
      </c>
      <c r="G154" s="1">
        <v>669.0</v>
      </c>
      <c r="K154" s="17">
        <f t="shared" si="1"/>
        <v>1</v>
      </c>
      <c r="L154" s="17">
        <f>IF(COUNTIF(Sheet14!A:A, A154)&gt;0, 1, 0)</f>
        <v>0</v>
      </c>
      <c r="M154" s="17">
        <f t="shared" si="18"/>
        <v>669</v>
      </c>
    </row>
    <row r="155" hidden="1">
      <c r="A155" s="67" t="s">
        <v>1100</v>
      </c>
      <c r="B155" s="71">
        <v>43009.0</v>
      </c>
      <c r="C155" s="68" t="s">
        <v>246</v>
      </c>
      <c r="D155" s="68" t="s">
        <v>657</v>
      </c>
      <c r="E155" s="68" t="s">
        <v>725</v>
      </c>
      <c r="F155" s="35" t="s">
        <v>725</v>
      </c>
      <c r="G155" s="35"/>
      <c r="H155" s="37"/>
      <c r="I155" s="35" t="s">
        <v>920</v>
      </c>
      <c r="J155" s="37"/>
      <c r="K155" s="37">
        <f t="shared" si="1"/>
        <v>0</v>
      </c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</row>
    <row r="156">
      <c r="A156" s="65" t="s">
        <v>1101</v>
      </c>
      <c r="B156" s="66" t="s">
        <v>1101</v>
      </c>
      <c r="C156" s="66" t="s">
        <v>246</v>
      </c>
      <c r="D156" s="66" t="s">
        <v>657</v>
      </c>
      <c r="E156" s="66" t="s">
        <v>100</v>
      </c>
      <c r="F156" s="1" t="s">
        <v>100</v>
      </c>
      <c r="G156" s="1">
        <v>1369.0</v>
      </c>
      <c r="K156" s="17">
        <f t="shared" si="1"/>
        <v>1</v>
      </c>
      <c r="L156" s="17">
        <f>IF(COUNTIF(Sheet14!A:A, A156)&gt;0, 1, 0)</f>
        <v>0</v>
      </c>
      <c r="M156" s="17">
        <f t="shared" ref="M156:M165" si="19">if(L156=1,G156*2,G156)</f>
        <v>1369</v>
      </c>
    </row>
    <row r="157">
      <c r="A157" s="65" t="s">
        <v>1102</v>
      </c>
      <c r="B157" s="66" t="s">
        <v>1102</v>
      </c>
      <c r="C157" s="66" t="s">
        <v>246</v>
      </c>
      <c r="D157" s="66" t="s">
        <v>657</v>
      </c>
      <c r="E157" s="66" t="s">
        <v>1103</v>
      </c>
      <c r="F157" s="1" t="s">
        <v>100</v>
      </c>
      <c r="G157" s="1">
        <v>1475.0</v>
      </c>
      <c r="K157" s="17">
        <f t="shared" si="1"/>
        <v>1</v>
      </c>
      <c r="L157" s="17">
        <f>IF(COUNTIF(Sheet14!A:A, A157)&gt;0, 1, 0)</f>
        <v>0</v>
      </c>
      <c r="M157" s="17">
        <f t="shared" si="19"/>
        <v>1475</v>
      </c>
    </row>
    <row r="158">
      <c r="A158" s="65" t="s">
        <v>1104</v>
      </c>
      <c r="B158" s="66" t="s">
        <v>1104</v>
      </c>
      <c r="C158" s="66" t="s">
        <v>246</v>
      </c>
      <c r="D158" s="66" t="s">
        <v>657</v>
      </c>
      <c r="E158" s="66" t="s">
        <v>100</v>
      </c>
      <c r="F158" s="1" t="s">
        <v>100</v>
      </c>
      <c r="G158" s="1">
        <v>705.0</v>
      </c>
      <c r="K158" s="17">
        <f t="shared" si="1"/>
        <v>1</v>
      </c>
      <c r="L158" s="17">
        <f>IF(COUNTIF(Sheet14!A:A, A158)&gt;0, 1, 0)</f>
        <v>0</v>
      </c>
      <c r="M158" s="17">
        <f t="shared" si="19"/>
        <v>705</v>
      </c>
    </row>
    <row r="159">
      <c r="A159" s="65" t="s">
        <v>1105</v>
      </c>
      <c r="B159" s="66" t="s">
        <v>1105</v>
      </c>
      <c r="C159" s="66" t="s">
        <v>246</v>
      </c>
      <c r="D159" s="66" t="s">
        <v>657</v>
      </c>
      <c r="E159" s="66" t="s">
        <v>100</v>
      </c>
      <c r="F159" s="1" t="s">
        <v>100</v>
      </c>
      <c r="G159" s="1">
        <v>2000.0</v>
      </c>
      <c r="K159" s="17">
        <f t="shared" si="1"/>
        <v>1</v>
      </c>
      <c r="L159" s="17">
        <f>IF(COUNTIF(Sheet14!A:A, A159)&gt;0, 1, 0)</f>
        <v>0</v>
      </c>
      <c r="M159" s="17">
        <f t="shared" si="19"/>
        <v>2000</v>
      </c>
    </row>
    <row r="160">
      <c r="A160" s="65" t="s">
        <v>1106</v>
      </c>
      <c r="B160" s="66" t="s">
        <v>1107</v>
      </c>
      <c r="C160" s="66" t="s">
        <v>246</v>
      </c>
      <c r="D160" s="66"/>
      <c r="E160" s="66" t="s">
        <v>1103</v>
      </c>
      <c r="F160" s="1" t="s">
        <v>100</v>
      </c>
      <c r="G160" s="1">
        <v>14392.0</v>
      </c>
      <c r="K160" s="17">
        <f t="shared" si="1"/>
        <v>1</v>
      </c>
      <c r="L160" s="17">
        <f>IF(COUNTIF(Sheet14!A:A, A160)&gt;0, 1, 0)</f>
        <v>0</v>
      </c>
      <c r="M160" s="17">
        <f t="shared" si="19"/>
        <v>14392</v>
      </c>
    </row>
    <row r="161">
      <c r="A161" s="65" t="s">
        <v>1108</v>
      </c>
      <c r="B161" s="66" t="s">
        <v>1109</v>
      </c>
      <c r="C161" s="66" t="s">
        <v>246</v>
      </c>
      <c r="D161" s="66" t="s">
        <v>657</v>
      </c>
      <c r="E161" s="66" t="s">
        <v>100</v>
      </c>
      <c r="F161" s="1" t="s">
        <v>100</v>
      </c>
      <c r="G161" s="1">
        <v>35126.0</v>
      </c>
      <c r="K161" s="17">
        <f t="shared" si="1"/>
        <v>1</v>
      </c>
      <c r="L161" s="17">
        <f>IF(COUNTIF(Sheet14!A:A, A161)&gt;0, 1, 0)</f>
        <v>0</v>
      </c>
      <c r="M161" s="17">
        <f t="shared" si="19"/>
        <v>35126</v>
      </c>
    </row>
    <row r="162">
      <c r="A162" s="65" t="s">
        <v>1110</v>
      </c>
      <c r="B162" s="66" t="s">
        <v>1111</v>
      </c>
      <c r="C162" s="66" t="s">
        <v>246</v>
      </c>
      <c r="D162" s="66" t="s">
        <v>657</v>
      </c>
      <c r="E162" s="66" t="s">
        <v>100</v>
      </c>
      <c r="F162" s="1" t="s">
        <v>100</v>
      </c>
      <c r="G162" s="1">
        <v>3600.0</v>
      </c>
      <c r="K162" s="17">
        <f t="shared" si="1"/>
        <v>1</v>
      </c>
      <c r="L162" s="17">
        <f>IF(COUNTIF(Sheet14!A:A, A162)&gt;0, 1, 0)</f>
        <v>0</v>
      </c>
      <c r="M162" s="17">
        <f t="shared" si="19"/>
        <v>3600</v>
      </c>
    </row>
    <row r="163">
      <c r="A163" s="65" t="s">
        <v>1115</v>
      </c>
      <c r="B163" s="66" t="s">
        <v>1117</v>
      </c>
      <c r="C163" s="66" t="s">
        <v>246</v>
      </c>
      <c r="D163" s="66" t="s">
        <v>1118</v>
      </c>
      <c r="E163" s="66" t="s">
        <v>725</v>
      </c>
      <c r="F163" s="1" t="s">
        <v>725</v>
      </c>
      <c r="G163" s="1">
        <v>24000.0</v>
      </c>
      <c r="K163" s="17">
        <f t="shared" si="1"/>
        <v>1</v>
      </c>
      <c r="L163" s="17">
        <f>IF(COUNTIF(Sheet14!A:A, A163)&gt;0, 1, 0)</f>
        <v>0</v>
      </c>
      <c r="M163" s="17">
        <f t="shared" si="19"/>
        <v>24000</v>
      </c>
    </row>
    <row r="164">
      <c r="A164" s="65" t="s">
        <v>1135</v>
      </c>
      <c r="B164" s="66" t="s">
        <v>1135</v>
      </c>
      <c r="C164" s="66" t="s">
        <v>246</v>
      </c>
      <c r="D164" s="66" t="s">
        <v>657</v>
      </c>
      <c r="E164" s="65" t="s">
        <v>725</v>
      </c>
      <c r="F164" s="1" t="s">
        <v>725</v>
      </c>
      <c r="G164" s="1">
        <v>161081.0</v>
      </c>
      <c r="K164" s="17">
        <f t="shared" si="1"/>
        <v>1</v>
      </c>
      <c r="L164" s="17">
        <f>IF(COUNTIF(Sheet14!A:A, A164)&gt;0, 1, 0)</f>
        <v>0</v>
      </c>
      <c r="M164" s="17">
        <f t="shared" si="19"/>
        <v>161081</v>
      </c>
    </row>
    <row r="165">
      <c r="A165" s="65" t="s">
        <v>1159</v>
      </c>
      <c r="B165" s="66" t="s">
        <v>1161</v>
      </c>
      <c r="C165" s="66" t="s">
        <v>246</v>
      </c>
      <c r="D165" s="66" t="s">
        <v>246</v>
      </c>
      <c r="E165" s="66" t="s">
        <v>1165</v>
      </c>
      <c r="F165" s="1" t="s">
        <v>17</v>
      </c>
      <c r="G165" s="1">
        <v>16530.0</v>
      </c>
      <c r="K165" s="17">
        <f t="shared" si="1"/>
        <v>1</v>
      </c>
      <c r="L165" s="17">
        <f>IF(COUNTIF(Sheet14!A:A, A165)&gt;0, 1, 0)</f>
        <v>1</v>
      </c>
      <c r="M165" s="17">
        <f t="shared" si="19"/>
        <v>33060</v>
      </c>
    </row>
    <row r="166" hidden="1">
      <c r="A166" s="67" t="s">
        <v>1186</v>
      </c>
      <c r="B166" s="68" t="s">
        <v>1189</v>
      </c>
      <c r="C166" s="68" t="s">
        <v>246</v>
      </c>
      <c r="D166" s="68" t="s">
        <v>246</v>
      </c>
      <c r="E166" s="68" t="s">
        <v>17</v>
      </c>
      <c r="F166" s="35" t="s">
        <v>17</v>
      </c>
      <c r="G166" s="35">
        <v>0.0</v>
      </c>
      <c r="H166" s="37"/>
      <c r="I166" s="35" t="s">
        <v>731</v>
      </c>
      <c r="J166" s="37"/>
      <c r="K166" s="17">
        <f t="shared" si="1"/>
        <v>0</v>
      </c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  <c r="AU166" s="37"/>
    </row>
    <row r="167">
      <c r="A167" s="65" t="s">
        <v>1215</v>
      </c>
      <c r="B167" s="66" t="s">
        <v>1217</v>
      </c>
      <c r="C167" s="66" t="s">
        <v>246</v>
      </c>
      <c r="D167" s="66" t="s">
        <v>684</v>
      </c>
      <c r="E167" s="66" t="s">
        <v>692</v>
      </c>
      <c r="F167" s="1" t="s">
        <v>81</v>
      </c>
      <c r="G167" s="1">
        <v>3582.0</v>
      </c>
      <c r="K167" s="17">
        <f t="shared" si="1"/>
        <v>1</v>
      </c>
      <c r="L167" s="17">
        <f>IF(COUNTIF(Sheet14!A:A, A167)&gt;0, 1, 0)</f>
        <v>0</v>
      </c>
      <c r="M167" s="17">
        <f t="shared" ref="M167:M173" si="20">if(L167=1,G167*2,G167)</f>
        <v>3582</v>
      </c>
    </row>
    <row r="168">
      <c r="A168" s="65" t="s">
        <v>1246</v>
      </c>
      <c r="B168" s="66" t="s">
        <v>1248</v>
      </c>
      <c r="C168" s="66" t="s">
        <v>280</v>
      </c>
      <c r="D168" s="66" t="s">
        <v>739</v>
      </c>
      <c r="E168" s="66" t="s">
        <v>107</v>
      </c>
      <c r="F168" s="1" t="s">
        <v>107</v>
      </c>
      <c r="G168" s="1">
        <v>196.0</v>
      </c>
      <c r="I168" s="1"/>
      <c r="K168" s="17">
        <f t="shared" si="1"/>
        <v>1</v>
      </c>
      <c r="L168" s="17">
        <f>IF(COUNTIF(Sheet14!A:A, A168)&gt;0, 1, 0)</f>
        <v>0</v>
      </c>
      <c r="M168" s="17">
        <f t="shared" si="20"/>
        <v>196</v>
      </c>
    </row>
    <row r="169">
      <c r="A169" s="65" t="s">
        <v>1290</v>
      </c>
      <c r="B169" s="66" t="s">
        <v>1292</v>
      </c>
      <c r="C169" s="66" t="s">
        <v>280</v>
      </c>
      <c r="D169" s="66" t="s">
        <v>1295</v>
      </c>
      <c r="E169" s="66" t="s">
        <v>1297</v>
      </c>
      <c r="F169" s="1" t="s">
        <v>107</v>
      </c>
      <c r="G169" s="1">
        <v>16991.0</v>
      </c>
      <c r="I169" s="1" t="s">
        <v>772</v>
      </c>
      <c r="K169" s="17">
        <f t="shared" si="1"/>
        <v>1</v>
      </c>
      <c r="L169" s="17">
        <f>IF(COUNTIF(Sheet14!A:A, A169)&gt;0, 1, 0)</f>
        <v>0</v>
      </c>
      <c r="M169" s="17">
        <f t="shared" si="20"/>
        <v>16991</v>
      </c>
    </row>
    <row r="170">
      <c r="A170" s="65" t="s">
        <v>1322</v>
      </c>
      <c r="B170" s="66" t="s">
        <v>1322</v>
      </c>
      <c r="C170" s="66" t="s">
        <v>280</v>
      </c>
      <c r="D170" s="66" t="s">
        <v>808</v>
      </c>
      <c r="E170" s="66" t="s">
        <v>107</v>
      </c>
      <c r="F170" s="1" t="s">
        <v>107</v>
      </c>
      <c r="G170" s="1">
        <v>1228.0</v>
      </c>
      <c r="K170" s="17">
        <f t="shared" si="1"/>
        <v>1</v>
      </c>
      <c r="L170" s="17">
        <f>IF(COUNTIF(Sheet14!A:A, A170)&gt;0, 1, 0)</f>
        <v>0</v>
      </c>
      <c r="M170" s="17">
        <f t="shared" si="20"/>
        <v>1228</v>
      </c>
    </row>
    <row r="171">
      <c r="A171" s="65" t="s">
        <v>1347</v>
      </c>
      <c r="B171" s="66" t="s">
        <v>1349</v>
      </c>
      <c r="C171" s="66" t="s">
        <v>366</v>
      </c>
      <c r="D171" s="66" t="s">
        <v>366</v>
      </c>
      <c r="E171" s="66" t="s">
        <v>54</v>
      </c>
      <c r="F171" s="1" t="s">
        <v>54</v>
      </c>
      <c r="G171" s="1">
        <v>3086.0</v>
      </c>
      <c r="K171" s="17">
        <f t="shared" si="1"/>
        <v>1</v>
      </c>
      <c r="L171" s="17">
        <f>IF(COUNTIF(Sheet14!A:A, A171)&gt;0, 1, 0)</f>
        <v>0</v>
      </c>
      <c r="M171" s="17">
        <f t="shared" si="20"/>
        <v>3086</v>
      </c>
    </row>
    <row r="172">
      <c r="A172" s="65" t="s">
        <v>1373</v>
      </c>
      <c r="B172" s="66" t="s">
        <v>1</v>
      </c>
      <c r="C172" s="66" t="s">
        <v>61</v>
      </c>
      <c r="D172" s="66" t="s">
        <v>1376</v>
      </c>
      <c r="E172" s="66" t="s">
        <v>1378</v>
      </c>
      <c r="F172" s="1" t="s">
        <v>61</v>
      </c>
      <c r="G172" s="1">
        <v>25000.0</v>
      </c>
      <c r="K172" s="17">
        <f t="shared" si="1"/>
        <v>1</v>
      </c>
      <c r="L172" s="17">
        <f>IF(COUNTIF(Sheet14!A:A, A172)&gt;0, 1, 0)</f>
        <v>0</v>
      </c>
      <c r="M172" s="17">
        <f t="shared" si="20"/>
        <v>25000</v>
      </c>
    </row>
    <row r="173">
      <c r="A173" s="65" t="s">
        <v>1400</v>
      </c>
      <c r="B173" s="66" t="s">
        <v>1402</v>
      </c>
      <c r="C173" s="66" t="s">
        <v>977</v>
      </c>
      <c r="D173" s="66" t="s">
        <v>1405</v>
      </c>
      <c r="E173" s="66" t="s">
        <v>75</v>
      </c>
      <c r="F173" s="1" t="s">
        <v>81</v>
      </c>
      <c r="G173" s="1">
        <v>12811.0</v>
      </c>
      <c r="K173" s="17">
        <f t="shared" si="1"/>
        <v>1</v>
      </c>
      <c r="L173" s="17">
        <f>IF(COUNTIF(Sheet14!A:A, A173)&gt;0, 1, 0)</f>
        <v>0</v>
      </c>
      <c r="M173" s="17">
        <f t="shared" si="20"/>
        <v>12811</v>
      </c>
    </row>
    <row r="174" hidden="1">
      <c r="A174" s="67" t="s">
        <v>1414</v>
      </c>
      <c r="B174" s="68" t="s">
        <v>1415</v>
      </c>
      <c r="C174" s="68" t="s">
        <v>977</v>
      </c>
      <c r="D174" s="68" t="s">
        <v>994</v>
      </c>
      <c r="E174" s="68" t="s">
        <v>17</v>
      </c>
      <c r="F174" s="35" t="s">
        <v>17</v>
      </c>
      <c r="G174" s="35">
        <v>0.0</v>
      </c>
      <c r="H174" s="37"/>
      <c r="I174" s="35" t="s">
        <v>731</v>
      </c>
      <c r="J174" s="37"/>
      <c r="K174" s="17">
        <f t="shared" si="1"/>
        <v>0</v>
      </c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  <c r="AU174" s="37"/>
    </row>
    <row r="175">
      <c r="A175" s="1" t="s">
        <v>1416</v>
      </c>
      <c r="B175" s="1" t="s">
        <v>1417</v>
      </c>
      <c r="C175" s="1" t="s">
        <v>246</v>
      </c>
      <c r="D175" s="1" t="s">
        <v>657</v>
      </c>
      <c r="E175" s="1" t="s">
        <v>1103</v>
      </c>
      <c r="F175" s="1" t="s">
        <v>100</v>
      </c>
      <c r="G175" s="1">
        <v>7000.0</v>
      </c>
      <c r="K175" s="17">
        <f t="shared" si="1"/>
        <v>1</v>
      </c>
      <c r="L175" s="17">
        <f>IF(COUNTIF(Sheet14!A:A, A175)&gt;0, 1, 0)</f>
        <v>0</v>
      </c>
      <c r="M175" s="17">
        <f t="shared" ref="M175:M178" si="21">if(L175=1,G175*2,G175)</f>
        <v>7000</v>
      </c>
    </row>
    <row r="176">
      <c r="A176" s="1" t="s">
        <v>1418</v>
      </c>
      <c r="B176" s="1" t="s">
        <v>1418</v>
      </c>
      <c r="C176" s="1" t="s">
        <v>246</v>
      </c>
      <c r="D176" s="1" t="s">
        <v>657</v>
      </c>
      <c r="E176" s="1" t="s">
        <v>100</v>
      </c>
      <c r="F176" s="1" t="s">
        <v>100</v>
      </c>
      <c r="G176" s="1">
        <v>101442.0</v>
      </c>
      <c r="K176" s="17">
        <f t="shared" si="1"/>
        <v>1</v>
      </c>
      <c r="L176" s="17">
        <f>IF(COUNTIF(Sheet14!A:A, A176)&gt;0, 1, 0)</f>
        <v>0</v>
      </c>
      <c r="M176" s="17">
        <f t="shared" si="21"/>
        <v>101442</v>
      </c>
    </row>
    <row r="177">
      <c r="A177" s="1" t="s">
        <v>1419</v>
      </c>
      <c r="B177" s="1" t="s">
        <v>1420</v>
      </c>
      <c r="C177" s="1" t="s">
        <v>246</v>
      </c>
      <c r="D177" s="1" t="s">
        <v>657</v>
      </c>
      <c r="E177" s="1" t="s">
        <v>1103</v>
      </c>
      <c r="F177" s="1" t="s">
        <v>100</v>
      </c>
      <c r="G177" s="1">
        <v>3200.0</v>
      </c>
      <c r="K177" s="17">
        <f t="shared" si="1"/>
        <v>1</v>
      </c>
      <c r="L177" s="17">
        <f>IF(COUNTIF(Sheet14!A:A, A177)&gt;0, 1, 0)</f>
        <v>0</v>
      </c>
      <c r="M177" s="17">
        <f t="shared" si="21"/>
        <v>3200</v>
      </c>
    </row>
    <row r="178">
      <c r="A178" s="1" t="s">
        <v>1423</v>
      </c>
      <c r="B178" s="1" t="s">
        <v>1423</v>
      </c>
      <c r="C178" s="1" t="s">
        <v>246</v>
      </c>
      <c r="D178" s="1" t="s">
        <v>657</v>
      </c>
      <c r="E178" s="1" t="s">
        <v>1424</v>
      </c>
      <c r="F178" s="1" t="s">
        <v>100</v>
      </c>
      <c r="G178" s="1">
        <v>822.0</v>
      </c>
      <c r="K178" s="17">
        <f t="shared" si="1"/>
        <v>1</v>
      </c>
      <c r="L178" s="17">
        <f>IF(COUNTIF(Sheet14!A:A, A178)&gt;0, 1, 0)</f>
        <v>0</v>
      </c>
      <c r="M178" s="17">
        <f t="shared" si="21"/>
        <v>822</v>
      </c>
    </row>
    <row r="179" hidden="1">
      <c r="A179" s="35" t="s">
        <v>1425</v>
      </c>
      <c r="B179" s="35" t="s">
        <v>1426</v>
      </c>
      <c r="C179" s="35" t="s">
        <v>246</v>
      </c>
      <c r="D179" s="35" t="s">
        <v>657</v>
      </c>
      <c r="E179" s="35" t="s">
        <v>662</v>
      </c>
      <c r="F179" s="35" t="s">
        <v>100</v>
      </c>
      <c r="G179" s="35">
        <v>0.0</v>
      </c>
      <c r="H179" s="37"/>
      <c r="I179" s="35" t="s">
        <v>1427</v>
      </c>
      <c r="J179" s="37"/>
      <c r="K179" s="17">
        <f t="shared" si="1"/>
        <v>0</v>
      </c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  <c r="AU179" s="37"/>
    </row>
    <row r="180">
      <c r="A180" s="1" t="s">
        <v>1428</v>
      </c>
      <c r="B180" s="1" t="s">
        <v>1428</v>
      </c>
      <c r="C180" s="1" t="s">
        <v>246</v>
      </c>
      <c r="D180" s="1" t="s">
        <v>670</v>
      </c>
      <c r="E180" s="1" t="s">
        <v>651</v>
      </c>
      <c r="F180" s="1" t="s">
        <v>100</v>
      </c>
      <c r="G180" s="1">
        <v>5676.0</v>
      </c>
      <c r="K180" s="17">
        <f t="shared" si="1"/>
        <v>1</v>
      </c>
      <c r="L180" s="17">
        <f>IF(COUNTIF(Sheet14!A:A, A180)&gt;0, 1, 0)</f>
        <v>0</v>
      </c>
      <c r="M180" s="17">
        <f t="shared" ref="M180:M186" si="22">if(L180=1,G180*2,G180)</f>
        <v>5676</v>
      </c>
    </row>
    <row r="181">
      <c r="A181" s="1" t="s">
        <v>1429</v>
      </c>
      <c r="B181" s="1" t="s">
        <v>1429</v>
      </c>
      <c r="C181" s="1" t="s">
        <v>246</v>
      </c>
      <c r="D181" s="1" t="s">
        <v>670</v>
      </c>
      <c r="E181" s="1" t="s">
        <v>651</v>
      </c>
      <c r="F181" s="1" t="s">
        <v>100</v>
      </c>
      <c r="G181" s="1">
        <v>2800.0</v>
      </c>
      <c r="K181" s="17">
        <f t="shared" si="1"/>
        <v>1</v>
      </c>
      <c r="L181" s="17">
        <f>IF(COUNTIF(Sheet14!A:A, A181)&gt;0, 1, 0)</f>
        <v>0</v>
      </c>
      <c r="M181" s="17">
        <f t="shared" si="22"/>
        <v>2800</v>
      </c>
    </row>
    <row r="182">
      <c r="A182" s="1" t="s">
        <v>1430</v>
      </c>
      <c r="B182" s="1" t="s">
        <v>1431</v>
      </c>
      <c r="C182" s="1" t="s">
        <v>246</v>
      </c>
      <c r="D182" s="1" t="s">
        <v>670</v>
      </c>
      <c r="E182" s="1" t="s">
        <v>725</v>
      </c>
      <c r="F182" s="1" t="s">
        <v>725</v>
      </c>
      <c r="G182" s="1">
        <v>3049.0</v>
      </c>
      <c r="K182" s="17">
        <f t="shared" si="1"/>
        <v>1</v>
      </c>
      <c r="L182" s="17">
        <f>IF(COUNTIF(Sheet14!A:A, A182)&gt;0, 1, 0)</f>
        <v>0</v>
      </c>
      <c r="M182" s="17">
        <f t="shared" si="22"/>
        <v>3049</v>
      </c>
    </row>
    <row r="183">
      <c r="A183" s="1" t="s">
        <v>1432</v>
      </c>
      <c r="B183" s="1" t="s">
        <v>1433</v>
      </c>
      <c r="C183" s="1" t="s">
        <v>246</v>
      </c>
      <c r="D183" s="1" t="s">
        <v>246</v>
      </c>
      <c r="E183" s="1" t="s">
        <v>31</v>
      </c>
      <c r="F183" s="1" t="s">
        <v>31</v>
      </c>
      <c r="G183" s="1">
        <v>644990.0</v>
      </c>
      <c r="K183" s="17">
        <f t="shared" si="1"/>
        <v>1</v>
      </c>
      <c r="L183" s="17">
        <f>IF(COUNTIF(Sheet14!A:A, A183)&gt;0, 1, 0)</f>
        <v>0</v>
      </c>
      <c r="M183" s="17">
        <f t="shared" si="22"/>
        <v>644990</v>
      </c>
    </row>
    <row r="184">
      <c r="A184" s="1" t="s">
        <v>1125</v>
      </c>
      <c r="B184" s="1" t="s">
        <v>1434</v>
      </c>
      <c r="C184" s="1" t="s">
        <v>246</v>
      </c>
      <c r="D184" s="1" t="s">
        <v>246</v>
      </c>
      <c r="E184" s="1" t="s">
        <v>1435</v>
      </c>
      <c r="F184" s="1" t="s">
        <v>17</v>
      </c>
      <c r="G184" s="1">
        <v>14941.0</v>
      </c>
      <c r="K184" s="17">
        <f t="shared" si="1"/>
        <v>1</v>
      </c>
      <c r="L184" s="17">
        <f>IF(COUNTIF(Sheet14!A:A, A184)&gt;0, 1, 0)</f>
        <v>1</v>
      </c>
      <c r="M184" s="17">
        <f t="shared" si="22"/>
        <v>29882</v>
      </c>
    </row>
    <row r="185">
      <c r="A185" s="1" t="s">
        <v>1127</v>
      </c>
      <c r="B185" s="1" t="s">
        <v>1436</v>
      </c>
      <c r="C185" s="1" t="s">
        <v>246</v>
      </c>
      <c r="D185" s="1" t="s">
        <v>246</v>
      </c>
      <c r="E185" s="1" t="s">
        <v>1437</v>
      </c>
      <c r="F185" s="1" t="s">
        <v>17</v>
      </c>
      <c r="G185" s="1">
        <v>46943.0</v>
      </c>
      <c r="K185" s="17">
        <f t="shared" si="1"/>
        <v>1</v>
      </c>
      <c r="L185" s="17">
        <f>IF(COUNTIF(Sheet14!A:A, A185)&gt;0, 1, 0)</f>
        <v>1</v>
      </c>
      <c r="M185" s="17">
        <f t="shared" si="22"/>
        <v>93886</v>
      </c>
    </row>
    <row r="186">
      <c r="A186" s="1" t="s">
        <v>1129</v>
      </c>
      <c r="B186" s="1" t="s">
        <v>1438</v>
      </c>
      <c r="C186" s="1" t="s">
        <v>246</v>
      </c>
      <c r="D186" s="1" t="s">
        <v>246</v>
      </c>
      <c r="E186" s="1" t="s">
        <v>1435</v>
      </c>
      <c r="F186" s="1" t="s">
        <v>17</v>
      </c>
      <c r="G186" s="1">
        <v>4984.0</v>
      </c>
      <c r="K186" s="17">
        <f t="shared" si="1"/>
        <v>1</v>
      </c>
      <c r="L186" s="17">
        <f>IF(COUNTIF(Sheet14!A:A, A186)&gt;0, 1, 0)</f>
        <v>1</v>
      </c>
      <c r="M186" s="17">
        <f t="shared" si="22"/>
        <v>9968</v>
      </c>
    </row>
    <row r="187" hidden="1">
      <c r="A187" s="35" t="s">
        <v>1439</v>
      </c>
      <c r="B187" s="35" t="s">
        <v>1440</v>
      </c>
      <c r="C187" s="35" t="s">
        <v>246</v>
      </c>
      <c r="D187" s="35" t="s">
        <v>246</v>
      </c>
      <c r="E187" s="35" t="s">
        <v>1441</v>
      </c>
      <c r="F187" s="35" t="s">
        <v>17</v>
      </c>
      <c r="G187" s="35">
        <v>0.0</v>
      </c>
      <c r="H187" s="37"/>
      <c r="I187" s="35" t="s">
        <v>1442</v>
      </c>
      <c r="J187" s="37"/>
      <c r="K187" s="37">
        <f t="shared" si="1"/>
        <v>0</v>
      </c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  <c r="AU187" s="37"/>
    </row>
    <row r="188" hidden="1">
      <c r="A188" s="35" t="s">
        <v>1443</v>
      </c>
      <c r="B188" s="35" t="s">
        <v>1444</v>
      </c>
      <c r="C188" s="35" t="s">
        <v>246</v>
      </c>
      <c r="D188" s="35" t="s">
        <v>246</v>
      </c>
      <c r="E188" s="35" t="s">
        <v>1445</v>
      </c>
      <c r="F188" s="37"/>
      <c r="G188" s="35">
        <v>0.0</v>
      </c>
      <c r="H188" s="37"/>
      <c r="I188" s="35" t="s">
        <v>727</v>
      </c>
      <c r="J188" s="37"/>
      <c r="K188" s="37">
        <f t="shared" si="1"/>
        <v>0</v>
      </c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  <c r="AU188" s="37"/>
    </row>
    <row r="189">
      <c r="A189" s="1" t="s">
        <v>1398</v>
      </c>
      <c r="B189" s="1" t="s">
        <v>1446</v>
      </c>
      <c r="C189" s="1" t="s">
        <v>246</v>
      </c>
      <c r="D189" s="1" t="s">
        <v>246</v>
      </c>
      <c r="E189" s="1" t="s">
        <v>1447</v>
      </c>
      <c r="F189" s="1" t="s">
        <v>17</v>
      </c>
      <c r="G189" s="1">
        <v>20100.0</v>
      </c>
      <c r="K189" s="17">
        <f t="shared" si="1"/>
        <v>1</v>
      </c>
      <c r="L189" s="17">
        <f>IF(COUNTIF(Sheet14!A:A, A189)&gt;0, 1, 0)</f>
        <v>1</v>
      </c>
      <c r="M189" s="17">
        <f t="shared" ref="M189:M196" si="23">if(L189=1,G189*2,G189)</f>
        <v>40200</v>
      </c>
    </row>
    <row r="190">
      <c r="A190" s="1" t="s">
        <v>1203</v>
      </c>
      <c r="B190" s="1" t="s">
        <v>1448</v>
      </c>
      <c r="C190" s="1" t="s">
        <v>246</v>
      </c>
      <c r="D190" s="1" t="s">
        <v>246</v>
      </c>
      <c r="E190" s="1" t="s">
        <v>1449</v>
      </c>
      <c r="F190" s="1" t="s">
        <v>17</v>
      </c>
      <c r="G190" s="1">
        <v>34101.0</v>
      </c>
      <c r="K190" s="17">
        <f t="shared" si="1"/>
        <v>1</v>
      </c>
      <c r="L190" s="17">
        <f>IF(COUNTIF(Sheet14!A:A, A190)&gt;0, 1, 0)</f>
        <v>1</v>
      </c>
      <c r="M190" s="17">
        <f t="shared" si="23"/>
        <v>68202</v>
      </c>
    </row>
    <row r="191">
      <c r="A191" s="1" t="s">
        <v>1141</v>
      </c>
      <c r="B191" s="1" t="s">
        <v>1141</v>
      </c>
      <c r="C191" s="1" t="s">
        <v>246</v>
      </c>
      <c r="D191" s="1" t="s">
        <v>246</v>
      </c>
      <c r="E191" s="1" t="s">
        <v>31</v>
      </c>
      <c r="F191" s="1" t="s">
        <v>31</v>
      </c>
      <c r="G191" s="1">
        <v>1153586.0</v>
      </c>
      <c r="K191" s="17">
        <f t="shared" si="1"/>
        <v>1</v>
      </c>
      <c r="L191" s="17">
        <f>IF(COUNTIF(Sheet14!A:A, A191)&gt;0, 1, 0)</f>
        <v>1</v>
      </c>
      <c r="M191" s="17">
        <f t="shared" si="23"/>
        <v>2307172</v>
      </c>
    </row>
    <row r="192">
      <c r="A192" s="1" t="s">
        <v>1143</v>
      </c>
      <c r="B192" s="1" t="s">
        <v>1143</v>
      </c>
      <c r="C192" s="1" t="s">
        <v>246</v>
      </c>
      <c r="D192" s="1" t="s">
        <v>246</v>
      </c>
      <c r="E192" s="1" t="s">
        <v>1450</v>
      </c>
      <c r="F192" s="1" t="s">
        <v>17</v>
      </c>
      <c r="G192" s="1">
        <v>17547.0</v>
      </c>
      <c r="K192" s="17">
        <f t="shared" si="1"/>
        <v>1</v>
      </c>
      <c r="L192" s="17">
        <f>IF(COUNTIF(Sheet14!A:A, A192)&gt;0, 1, 0)</f>
        <v>1</v>
      </c>
      <c r="M192" s="17">
        <f t="shared" si="23"/>
        <v>35094</v>
      </c>
    </row>
    <row r="193">
      <c r="A193" s="1" t="s">
        <v>1145</v>
      </c>
      <c r="B193" s="1" t="s">
        <v>1145</v>
      </c>
      <c r="C193" s="1" t="s">
        <v>246</v>
      </c>
      <c r="D193" s="1" t="s">
        <v>246</v>
      </c>
      <c r="E193" s="1" t="s">
        <v>1451</v>
      </c>
      <c r="F193" s="1" t="s">
        <v>17</v>
      </c>
      <c r="G193" s="1">
        <v>8323.0</v>
      </c>
      <c r="K193" s="17">
        <f t="shared" si="1"/>
        <v>1</v>
      </c>
      <c r="L193" s="17">
        <f>IF(COUNTIF(Sheet14!A:A, A193)&gt;0, 1, 0)</f>
        <v>1</v>
      </c>
      <c r="M193" s="17">
        <f t="shared" si="23"/>
        <v>16646</v>
      </c>
    </row>
    <row r="194">
      <c r="A194" s="1" t="s">
        <v>1452</v>
      </c>
      <c r="B194" s="1" t="s">
        <v>1452</v>
      </c>
      <c r="C194" s="1" t="s">
        <v>246</v>
      </c>
      <c r="D194" s="1" t="s">
        <v>246</v>
      </c>
      <c r="E194" s="1" t="s">
        <v>17</v>
      </c>
      <c r="F194" s="1" t="s">
        <v>17</v>
      </c>
      <c r="G194" s="1">
        <v>3861.0</v>
      </c>
      <c r="K194" s="17">
        <f t="shared" si="1"/>
        <v>1</v>
      </c>
      <c r="L194" s="17">
        <f>IF(COUNTIF(Sheet14!A:A, A194)&gt;0, 1, 0)</f>
        <v>0</v>
      </c>
      <c r="M194" s="17">
        <f t="shared" si="23"/>
        <v>3861</v>
      </c>
    </row>
    <row r="195">
      <c r="A195" s="1" t="s">
        <v>1453</v>
      </c>
      <c r="B195" s="1" t="s">
        <v>1454</v>
      </c>
      <c r="C195" s="1" t="s">
        <v>246</v>
      </c>
      <c r="D195" s="1" t="s">
        <v>246</v>
      </c>
      <c r="E195" s="1" t="s">
        <v>1455</v>
      </c>
      <c r="F195" s="1" t="s">
        <v>17</v>
      </c>
      <c r="G195" s="1">
        <v>3264.0</v>
      </c>
      <c r="K195" s="17">
        <f t="shared" si="1"/>
        <v>1</v>
      </c>
      <c r="L195" s="17">
        <f>IF(COUNTIF(Sheet14!A:A, A195)&gt;0, 1, 0)</f>
        <v>0</v>
      </c>
      <c r="M195" s="17">
        <f t="shared" si="23"/>
        <v>3264</v>
      </c>
    </row>
    <row r="196">
      <c r="A196" s="1" t="s">
        <v>1456</v>
      </c>
      <c r="B196" s="1" t="s">
        <v>1457</v>
      </c>
      <c r="C196" s="1" t="s">
        <v>246</v>
      </c>
      <c r="D196" s="1" t="s">
        <v>246</v>
      </c>
      <c r="E196" s="1" t="s">
        <v>75</v>
      </c>
      <c r="F196" s="1" t="s">
        <v>81</v>
      </c>
      <c r="G196" s="1">
        <v>4519.0</v>
      </c>
      <c r="K196" s="17">
        <f t="shared" si="1"/>
        <v>1</v>
      </c>
      <c r="L196" s="17">
        <f>IF(COUNTIF(Sheet14!A:A, A196)&gt;0, 1, 0)</f>
        <v>0</v>
      </c>
      <c r="M196" s="17">
        <f t="shared" si="23"/>
        <v>4519</v>
      </c>
    </row>
    <row r="197" hidden="1">
      <c r="A197" s="35" t="s">
        <v>1458</v>
      </c>
      <c r="B197" s="35" t="s">
        <v>1459</v>
      </c>
      <c r="C197" s="35" t="s">
        <v>246</v>
      </c>
      <c r="D197" s="35" t="s">
        <v>246</v>
      </c>
      <c r="E197" s="35" t="s">
        <v>1460</v>
      </c>
      <c r="F197" s="35" t="s">
        <v>17</v>
      </c>
      <c r="G197" s="35">
        <v>0.0</v>
      </c>
      <c r="H197" s="37"/>
      <c r="I197" s="35" t="s">
        <v>727</v>
      </c>
      <c r="J197" s="37"/>
      <c r="K197" s="37">
        <f t="shared" si="1"/>
        <v>0</v>
      </c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  <c r="AU197" s="37"/>
    </row>
    <row r="198">
      <c r="A198" s="1" t="s">
        <v>1147</v>
      </c>
      <c r="B198" s="1" t="s">
        <v>1147</v>
      </c>
      <c r="C198" s="1" t="s">
        <v>246</v>
      </c>
      <c r="D198" s="1" t="s">
        <v>246</v>
      </c>
      <c r="E198" s="1" t="s">
        <v>1461</v>
      </c>
      <c r="F198" s="1" t="s">
        <v>17</v>
      </c>
      <c r="G198" s="1">
        <v>10465.0</v>
      </c>
      <c r="K198" s="17">
        <f t="shared" si="1"/>
        <v>1</v>
      </c>
      <c r="L198" s="17">
        <f>IF(COUNTIF(Sheet14!A:A, A198)&gt;0, 1, 0)</f>
        <v>1</v>
      </c>
      <c r="M198" s="17">
        <f t="shared" ref="M198:M207" si="24">if(L198=1,G198*2,G198)</f>
        <v>20930</v>
      </c>
    </row>
    <row r="199">
      <c r="A199" s="1" t="s">
        <v>1149</v>
      </c>
      <c r="B199" s="1" t="s">
        <v>1149</v>
      </c>
      <c r="C199" s="1" t="s">
        <v>246</v>
      </c>
      <c r="D199" s="1" t="s">
        <v>246</v>
      </c>
      <c r="E199" s="1" t="s">
        <v>1462</v>
      </c>
      <c r="F199" s="1" t="s">
        <v>17</v>
      </c>
      <c r="G199" s="1">
        <v>122863.0</v>
      </c>
      <c r="I199" s="1"/>
      <c r="K199" s="17">
        <f t="shared" si="1"/>
        <v>1</v>
      </c>
      <c r="L199" s="17">
        <f>IF(COUNTIF(Sheet14!A:A, A199)&gt;0, 1, 0)</f>
        <v>1</v>
      </c>
      <c r="M199" s="17">
        <f t="shared" si="24"/>
        <v>245726</v>
      </c>
    </row>
    <row r="200">
      <c r="A200" s="1" t="s">
        <v>1151</v>
      </c>
      <c r="B200" s="1" t="s">
        <v>1151</v>
      </c>
      <c r="C200" s="1" t="s">
        <v>246</v>
      </c>
      <c r="D200" s="1" t="s">
        <v>246</v>
      </c>
      <c r="E200" s="1" t="s">
        <v>1462</v>
      </c>
      <c r="F200" s="1" t="s">
        <v>17</v>
      </c>
      <c r="G200" s="1">
        <v>1748071.0</v>
      </c>
      <c r="K200" s="17">
        <f t="shared" si="1"/>
        <v>1</v>
      </c>
      <c r="L200" s="17">
        <f>IF(COUNTIF(Sheet14!A:A, A200)&gt;0, 1, 0)</f>
        <v>1</v>
      </c>
      <c r="M200" s="17">
        <f t="shared" si="24"/>
        <v>3496142</v>
      </c>
    </row>
    <row r="201">
      <c r="A201" s="1" t="s">
        <v>1367</v>
      </c>
      <c r="B201" s="1" t="s">
        <v>1463</v>
      </c>
      <c r="C201" s="1" t="s">
        <v>246</v>
      </c>
      <c r="D201" s="1" t="s">
        <v>246</v>
      </c>
      <c r="E201" s="1" t="s">
        <v>1435</v>
      </c>
      <c r="F201" s="1" t="s">
        <v>17</v>
      </c>
      <c r="G201" s="1">
        <v>28000.0</v>
      </c>
      <c r="K201" s="17">
        <f t="shared" si="1"/>
        <v>1</v>
      </c>
      <c r="L201" s="17">
        <f>IF(COUNTIF(Sheet14!A:A, A201)&gt;0, 1, 0)</f>
        <v>1</v>
      </c>
      <c r="M201" s="17">
        <f t="shared" si="24"/>
        <v>56000</v>
      </c>
    </row>
    <row r="202">
      <c r="A202" s="1" t="s">
        <v>1173</v>
      </c>
      <c r="B202" s="1" t="s">
        <v>1173</v>
      </c>
      <c r="C202" s="1" t="s">
        <v>246</v>
      </c>
      <c r="D202" s="1" t="s">
        <v>246</v>
      </c>
      <c r="E202" s="1" t="s">
        <v>1464</v>
      </c>
      <c r="F202" s="1" t="s">
        <v>17</v>
      </c>
      <c r="G202" s="1">
        <v>20936.0</v>
      </c>
      <c r="K202" s="17">
        <f t="shared" si="1"/>
        <v>1</v>
      </c>
      <c r="L202" s="17">
        <f>IF(COUNTIF(Sheet14!A:A, A202)&gt;0, 1, 0)</f>
        <v>1</v>
      </c>
      <c r="M202" s="17">
        <f t="shared" si="24"/>
        <v>41872</v>
      </c>
    </row>
    <row r="203">
      <c r="A203" s="1" t="s">
        <v>1465</v>
      </c>
      <c r="B203" s="1" t="s">
        <v>1465</v>
      </c>
      <c r="C203" s="1" t="s">
        <v>246</v>
      </c>
      <c r="D203" s="1" t="s">
        <v>246</v>
      </c>
      <c r="E203" s="1" t="s">
        <v>31</v>
      </c>
      <c r="F203" s="1" t="s">
        <v>31</v>
      </c>
      <c r="G203" s="1">
        <v>51174.0</v>
      </c>
      <c r="K203" s="17">
        <f t="shared" si="1"/>
        <v>1</v>
      </c>
      <c r="L203" s="17">
        <f>IF(COUNTIF(Sheet14!A:A, A203)&gt;0, 1, 0)</f>
        <v>0</v>
      </c>
      <c r="M203" s="17">
        <f t="shared" si="24"/>
        <v>51174</v>
      </c>
    </row>
    <row r="204">
      <c r="A204" s="1" t="s">
        <v>1362</v>
      </c>
      <c r="B204" s="1" t="s">
        <v>1466</v>
      </c>
      <c r="C204" s="1" t="s">
        <v>246</v>
      </c>
      <c r="D204" s="1" t="s">
        <v>246</v>
      </c>
      <c r="E204" s="1" t="s">
        <v>1467</v>
      </c>
      <c r="F204" s="1" t="s">
        <v>17</v>
      </c>
      <c r="G204" s="1">
        <v>300542.0</v>
      </c>
      <c r="K204" s="17">
        <f t="shared" si="1"/>
        <v>1</v>
      </c>
      <c r="L204" s="17">
        <f>IF(COUNTIF(Sheet14!A:A, A204)&gt;0, 1, 0)</f>
        <v>1</v>
      </c>
      <c r="M204" s="17">
        <f t="shared" si="24"/>
        <v>601084</v>
      </c>
    </row>
    <row r="205">
      <c r="A205" s="1" t="s">
        <v>1198</v>
      </c>
      <c r="B205" s="1" t="s">
        <v>1198</v>
      </c>
      <c r="C205" s="1" t="s">
        <v>246</v>
      </c>
      <c r="D205" s="1" t="s">
        <v>246</v>
      </c>
      <c r="E205" s="1" t="s">
        <v>17</v>
      </c>
      <c r="F205" s="1" t="s">
        <v>17</v>
      </c>
      <c r="G205" s="1">
        <v>107325.0</v>
      </c>
      <c r="K205" s="17">
        <f t="shared" si="1"/>
        <v>1</v>
      </c>
      <c r="L205" s="17">
        <f>IF(COUNTIF(Sheet14!A:A, A205)&gt;0, 1, 0)</f>
        <v>1</v>
      </c>
      <c r="M205" s="17">
        <f t="shared" si="24"/>
        <v>214650</v>
      </c>
    </row>
    <row r="206">
      <c r="A206" s="1" t="s">
        <v>1205</v>
      </c>
      <c r="B206" s="1" t="s">
        <v>1205</v>
      </c>
      <c r="C206" s="1" t="s">
        <v>246</v>
      </c>
      <c r="D206" s="1" t="s">
        <v>246</v>
      </c>
      <c r="E206" s="1" t="s">
        <v>1441</v>
      </c>
      <c r="F206" s="1" t="s">
        <v>17</v>
      </c>
      <c r="G206" s="1">
        <v>229623.0</v>
      </c>
      <c r="K206" s="17">
        <f t="shared" si="1"/>
        <v>1</v>
      </c>
      <c r="L206" s="17">
        <f>IF(COUNTIF(Sheet14!A:A, A206)&gt;0, 1, 0)</f>
        <v>1</v>
      </c>
      <c r="M206" s="17">
        <f t="shared" si="24"/>
        <v>459246</v>
      </c>
    </row>
    <row r="207">
      <c r="A207" s="1" t="s">
        <v>1404</v>
      </c>
      <c r="B207" s="1" t="s">
        <v>1468</v>
      </c>
      <c r="C207" s="1" t="s">
        <v>246</v>
      </c>
      <c r="D207" s="1" t="s">
        <v>246</v>
      </c>
      <c r="E207" s="1" t="s">
        <v>1469</v>
      </c>
      <c r="F207" s="1" t="s">
        <v>17</v>
      </c>
      <c r="G207" s="1">
        <v>1396103.0</v>
      </c>
      <c r="K207" s="17">
        <f t="shared" si="1"/>
        <v>1</v>
      </c>
      <c r="L207" s="17">
        <f>IF(COUNTIF(Sheet14!A:A, A207)&gt;0, 1, 0)</f>
        <v>1</v>
      </c>
      <c r="M207" s="17">
        <f t="shared" si="24"/>
        <v>2792206</v>
      </c>
    </row>
    <row r="208" hidden="1">
      <c r="A208" s="35" t="s">
        <v>1404</v>
      </c>
      <c r="B208" s="35" t="s">
        <v>1470</v>
      </c>
      <c r="C208" s="35" t="s">
        <v>246</v>
      </c>
      <c r="D208" s="35" t="s">
        <v>246</v>
      </c>
      <c r="E208" s="35" t="s">
        <v>1469</v>
      </c>
      <c r="F208" s="35" t="s">
        <v>17</v>
      </c>
      <c r="G208" s="37"/>
      <c r="H208" s="35" t="s">
        <v>1471</v>
      </c>
      <c r="I208" s="37"/>
      <c r="J208" s="37"/>
      <c r="K208" s="37">
        <f t="shared" si="1"/>
        <v>0</v>
      </c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  <c r="AU208" s="37"/>
    </row>
    <row r="209">
      <c r="A209" s="1" t="s">
        <v>1207</v>
      </c>
      <c r="B209" s="1" t="s">
        <v>1472</v>
      </c>
      <c r="C209" s="1" t="s">
        <v>246</v>
      </c>
      <c r="D209" s="1" t="s">
        <v>246</v>
      </c>
      <c r="E209" s="1" t="s">
        <v>1473</v>
      </c>
      <c r="F209" s="1" t="s">
        <v>17</v>
      </c>
      <c r="G209" s="1">
        <v>11312.0</v>
      </c>
      <c r="K209" s="17">
        <f t="shared" si="1"/>
        <v>1</v>
      </c>
      <c r="L209" s="17">
        <f>IF(COUNTIF(Sheet14!A:A, A209)&gt;0, 1, 0)</f>
        <v>1</v>
      </c>
      <c r="M209" s="17">
        <f t="shared" ref="M209:M220" si="25">if(L209=1,G209*2,G209)</f>
        <v>22624</v>
      </c>
    </row>
    <row r="210">
      <c r="A210" s="1" t="s">
        <v>1216</v>
      </c>
      <c r="B210" s="1" t="s">
        <v>1216</v>
      </c>
      <c r="C210" s="1" t="s">
        <v>246</v>
      </c>
      <c r="D210" s="1" t="s">
        <v>246</v>
      </c>
      <c r="E210" s="1" t="s">
        <v>1474</v>
      </c>
      <c r="F210" s="1" t="s">
        <v>17</v>
      </c>
      <c r="G210" s="1">
        <v>289928.0</v>
      </c>
      <c r="K210" s="17">
        <f t="shared" si="1"/>
        <v>1</v>
      </c>
      <c r="L210" s="17">
        <f>IF(COUNTIF(Sheet14!A:A, A210)&gt;0, 1, 0)</f>
        <v>1</v>
      </c>
      <c r="M210" s="17">
        <f t="shared" si="25"/>
        <v>579856</v>
      </c>
    </row>
    <row r="211">
      <c r="A211" s="1" t="s">
        <v>1221</v>
      </c>
      <c r="B211" s="1" t="s">
        <v>1475</v>
      </c>
      <c r="C211" s="1" t="s">
        <v>246</v>
      </c>
      <c r="D211" s="1" t="s">
        <v>246</v>
      </c>
      <c r="E211" s="1" t="s">
        <v>1476</v>
      </c>
      <c r="F211" s="1" t="s">
        <v>17</v>
      </c>
      <c r="G211" s="1">
        <v>40792.0</v>
      </c>
      <c r="K211" s="17">
        <f t="shared" si="1"/>
        <v>1</v>
      </c>
      <c r="L211" s="17">
        <f>IF(COUNTIF(Sheet14!A:A, A211)&gt;0, 1, 0)</f>
        <v>1</v>
      </c>
      <c r="M211" s="17">
        <f t="shared" si="25"/>
        <v>81584</v>
      </c>
    </row>
    <row r="212">
      <c r="A212" s="1" t="s">
        <v>1228</v>
      </c>
      <c r="B212" s="1" t="s">
        <v>1228</v>
      </c>
      <c r="C212" s="1" t="s">
        <v>246</v>
      </c>
      <c r="D212" s="1" t="s">
        <v>246</v>
      </c>
      <c r="E212" s="1" t="s">
        <v>1441</v>
      </c>
      <c r="F212" s="1" t="s">
        <v>17</v>
      </c>
      <c r="G212" s="1">
        <v>19608.0</v>
      </c>
      <c r="K212" s="17">
        <f t="shared" si="1"/>
        <v>1</v>
      </c>
      <c r="L212" s="17">
        <f>IF(COUNTIF(Sheet14!A:A, A212)&gt;0, 1, 0)</f>
        <v>1</v>
      </c>
      <c r="M212" s="17">
        <f t="shared" si="25"/>
        <v>39216</v>
      </c>
    </row>
    <row r="213">
      <c r="A213" s="1" t="s">
        <v>1383</v>
      </c>
      <c r="B213" s="1" t="s">
        <v>1383</v>
      </c>
      <c r="C213" s="1" t="s">
        <v>246</v>
      </c>
      <c r="D213" s="1" t="s">
        <v>246</v>
      </c>
      <c r="E213" s="1" t="s">
        <v>1477</v>
      </c>
      <c r="F213" s="1" t="s">
        <v>17</v>
      </c>
      <c r="G213" s="1">
        <v>71927.0</v>
      </c>
      <c r="K213" s="17">
        <f t="shared" si="1"/>
        <v>1</v>
      </c>
      <c r="L213" s="17">
        <f>IF(COUNTIF(Sheet14!A:A, A213)&gt;0, 1, 0)</f>
        <v>1</v>
      </c>
      <c r="M213" s="17">
        <f t="shared" si="25"/>
        <v>143854</v>
      </c>
    </row>
    <row r="214">
      <c r="A214" s="1" t="s">
        <v>1250</v>
      </c>
      <c r="B214" s="1" t="s">
        <v>1250</v>
      </c>
      <c r="C214" s="1" t="s">
        <v>246</v>
      </c>
      <c r="D214" s="1" t="s">
        <v>246</v>
      </c>
      <c r="E214" s="1" t="s">
        <v>1478</v>
      </c>
      <c r="F214" s="1" t="s">
        <v>17</v>
      </c>
      <c r="G214" s="1">
        <v>137697.0</v>
      </c>
      <c r="K214" s="17">
        <f t="shared" si="1"/>
        <v>1</v>
      </c>
      <c r="L214" s="17">
        <f>IF(COUNTIF(Sheet14!A:A, A214)&gt;0, 1, 0)</f>
        <v>1</v>
      </c>
      <c r="M214" s="17">
        <f t="shared" si="25"/>
        <v>275394</v>
      </c>
    </row>
    <row r="215">
      <c r="A215" s="1" t="s">
        <v>1252</v>
      </c>
      <c r="B215" s="1" t="s">
        <v>1252</v>
      </c>
      <c r="C215" s="1" t="s">
        <v>246</v>
      </c>
      <c r="D215" s="1" t="s">
        <v>246</v>
      </c>
      <c r="E215" s="1" t="s">
        <v>1479</v>
      </c>
      <c r="F215" s="1" t="s">
        <v>17</v>
      </c>
      <c r="G215" s="1">
        <v>183517.0</v>
      </c>
      <c r="K215" s="17">
        <f t="shared" si="1"/>
        <v>1</v>
      </c>
      <c r="L215" s="17">
        <f>IF(COUNTIF(Sheet14!A:A, A215)&gt;0, 1, 0)</f>
        <v>1</v>
      </c>
      <c r="M215" s="17">
        <f t="shared" si="25"/>
        <v>367034</v>
      </c>
    </row>
    <row r="216">
      <c r="A216" s="1" t="s">
        <v>1274</v>
      </c>
      <c r="B216" s="1" t="s">
        <v>1274</v>
      </c>
      <c r="C216" s="1" t="s">
        <v>246</v>
      </c>
      <c r="D216" s="1" t="s">
        <v>246</v>
      </c>
      <c r="E216" s="1" t="s">
        <v>1441</v>
      </c>
      <c r="F216" s="1" t="s">
        <v>17</v>
      </c>
      <c r="G216" s="1">
        <v>188472.0</v>
      </c>
      <c r="K216" s="17">
        <f t="shared" si="1"/>
        <v>1</v>
      </c>
      <c r="L216" s="17">
        <f>IF(COUNTIF(Sheet14!A:A, A216)&gt;0, 1, 0)</f>
        <v>1</v>
      </c>
      <c r="M216" s="17">
        <f t="shared" si="25"/>
        <v>376944</v>
      </c>
    </row>
    <row r="217">
      <c r="A217" s="1" t="s">
        <v>1256</v>
      </c>
      <c r="B217" s="1" t="s">
        <v>1256</v>
      </c>
      <c r="C217" s="1" t="s">
        <v>246</v>
      </c>
      <c r="D217" s="1" t="s">
        <v>246</v>
      </c>
      <c r="E217" s="1" t="s">
        <v>1441</v>
      </c>
      <c r="F217" s="1" t="s">
        <v>17</v>
      </c>
      <c r="G217" s="1">
        <v>207400.0</v>
      </c>
      <c r="K217" s="17">
        <f t="shared" si="1"/>
        <v>1</v>
      </c>
      <c r="L217" s="17">
        <f>IF(COUNTIF(Sheet14!A:A, A217)&gt;0, 1, 0)</f>
        <v>1</v>
      </c>
      <c r="M217" s="17">
        <f t="shared" si="25"/>
        <v>414800</v>
      </c>
    </row>
    <row r="218">
      <c r="A218" s="1" t="s">
        <v>1388</v>
      </c>
      <c r="B218" s="1" t="s">
        <v>1388</v>
      </c>
      <c r="C218" s="1" t="s">
        <v>246</v>
      </c>
      <c r="D218" s="1" t="s">
        <v>246</v>
      </c>
      <c r="E218" s="1" t="s">
        <v>1481</v>
      </c>
      <c r="F218" s="1" t="s">
        <v>17</v>
      </c>
      <c r="G218" s="1">
        <v>255324.0</v>
      </c>
      <c r="K218" s="17">
        <f t="shared" si="1"/>
        <v>1</v>
      </c>
      <c r="L218" s="17">
        <f>IF(COUNTIF(Sheet14!A:A, A218)&gt;0, 1, 0)</f>
        <v>1</v>
      </c>
      <c r="M218" s="17">
        <f t="shared" si="25"/>
        <v>510648</v>
      </c>
    </row>
    <row r="219">
      <c r="A219" s="1" t="s">
        <v>1261</v>
      </c>
      <c r="B219" s="1" t="s">
        <v>1261</v>
      </c>
      <c r="C219" s="1" t="s">
        <v>246</v>
      </c>
      <c r="D219" s="1" t="s">
        <v>246</v>
      </c>
      <c r="E219" s="1" t="s">
        <v>1482</v>
      </c>
      <c r="F219" s="1" t="s">
        <v>17</v>
      </c>
      <c r="G219" s="1">
        <v>191330.0</v>
      </c>
      <c r="K219" s="17">
        <f t="shared" si="1"/>
        <v>1</v>
      </c>
      <c r="L219" s="17">
        <f>IF(COUNTIF(Sheet14!A:A, A219)&gt;0, 1, 0)</f>
        <v>1</v>
      </c>
      <c r="M219" s="17">
        <f t="shared" si="25"/>
        <v>382660</v>
      </c>
    </row>
    <row r="220">
      <c r="A220" s="1" t="s">
        <v>1263</v>
      </c>
      <c r="B220" s="1" t="s">
        <v>1263</v>
      </c>
      <c r="C220" s="1" t="s">
        <v>246</v>
      </c>
      <c r="D220" s="1" t="s">
        <v>246</v>
      </c>
      <c r="E220" s="1" t="s">
        <v>1483</v>
      </c>
      <c r="F220" s="1" t="s">
        <v>17</v>
      </c>
      <c r="G220" s="1">
        <v>85742.0</v>
      </c>
      <c r="K220" s="17">
        <f t="shared" si="1"/>
        <v>1</v>
      </c>
      <c r="L220" s="17">
        <f>IF(COUNTIF(Sheet14!A:A, A220)&gt;0, 1, 0)</f>
        <v>1</v>
      </c>
      <c r="M220" s="17">
        <f t="shared" si="25"/>
        <v>171484</v>
      </c>
    </row>
    <row r="221" hidden="1">
      <c r="A221" s="35" t="s">
        <v>1484</v>
      </c>
      <c r="B221" s="35" t="s">
        <v>1485</v>
      </c>
      <c r="C221" s="35" t="s">
        <v>246</v>
      </c>
      <c r="D221" s="35" t="s">
        <v>246</v>
      </c>
      <c r="E221" s="35" t="s">
        <v>1467</v>
      </c>
      <c r="F221" s="35" t="s">
        <v>17</v>
      </c>
      <c r="G221" s="37"/>
      <c r="H221" s="35" t="s">
        <v>1486</v>
      </c>
      <c r="I221" s="37"/>
      <c r="J221" s="37"/>
      <c r="K221" s="37">
        <f t="shared" si="1"/>
        <v>0</v>
      </c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  <c r="AU221" s="37"/>
    </row>
    <row r="222">
      <c r="A222" s="1" t="s">
        <v>1392</v>
      </c>
      <c r="B222" s="1" t="s">
        <v>1487</v>
      </c>
      <c r="C222" s="1" t="s">
        <v>246</v>
      </c>
      <c r="D222" s="1" t="s">
        <v>246</v>
      </c>
      <c r="E222" s="1" t="s">
        <v>1488</v>
      </c>
      <c r="F222" s="1" t="s">
        <v>17</v>
      </c>
      <c r="G222" s="1">
        <v>308240.0</v>
      </c>
      <c r="K222" s="17">
        <f t="shared" si="1"/>
        <v>1</v>
      </c>
      <c r="L222" s="17">
        <f>IF(COUNTIF(Sheet14!A:A, A222)&gt;0, 1, 0)</f>
        <v>1</v>
      </c>
      <c r="M222" s="17">
        <f t="shared" ref="M222:M225" si="26">if(L222=1,G222*2,G222)</f>
        <v>616480</v>
      </c>
    </row>
    <row r="223">
      <c r="A223" s="1" t="s">
        <v>1394</v>
      </c>
      <c r="B223" s="1" t="s">
        <v>1489</v>
      </c>
      <c r="C223" s="1" t="s">
        <v>246</v>
      </c>
      <c r="D223" s="1" t="s">
        <v>246</v>
      </c>
      <c r="E223" s="1" t="s">
        <v>1490</v>
      </c>
      <c r="F223" s="1" t="s">
        <v>17</v>
      </c>
      <c r="G223" s="1">
        <v>18767.0</v>
      </c>
      <c r="K223" s="17">
        <f t="shared" si="1"/>
        <v>1</v>
      </c>
      <c r="L223" s="17">
        <f>IF(COUNTIF(Sheet14!A:A, A223)&gt;0, 1, 0)</f>
        <v>1</v>
      </c>
      <c r="M223" s="17">
        <f t="shared" si="26"/>
        <v>37534</v>
      </c>
    </row>
    <row r="224">
      <c r="A224" s="1" t="s">
        <v>1258</v>
      </c>
      <c r="B224" s="1" t="s">
        <v>1491</v>
      </c>
      <c r="C224" s="1" t="s">
        <v>246</v>
      </c>
      <c r="D224" s="1" t="s">
        <v>246</v>
      </c>
      <c r="E224" s="1" t="s">
        <v>1492</v>
      </c>
      <c r="F224" s="1" t="s">
        <v>17</v>
      </c>
      <c r="G224" s="1">
        <v>591796.0</v>
      </c>
      <c r="K224" s="17">
        <f t="shared" si="1"/>
        <v>1</v>
      </c>
      <c r="L224" s="17">
        <f>IF(COUNTIF(Sheet14!A:A, A224)&gt;0, 1, 0)</f>
        <v>1</v>
      </c>
      <c r="M224" s="17">
        <f t="shared" si="26"/>
        <v>1183592</v>
      </c>
    </row>
    <row r="225">
      <c r="A225" s="1" t="s">
        <v>1281</v>
      </c>
      <c r="B225" s="1" t="s">
        <v>1493</v>
      </c>
      <c r="C225" s="1" t="s">
        <v>246</v>
      </c>
      <c r="D225" s="1" t="s">
        <v>246</v>
      </c>
      <c r="E225" s="1" t="s">
        <v>1494</v>
      </c>
      <c r="F225" s="1" t="s">
        <v>17</v>
      </c>
      <c r="G225" s="1">
        <v>46224.0</v>
      </c>
      <c r="K225" s="17">
        <f t="shared" si="1"/>
        <v>1</v>
      </c>
      <c r="L225" s="17">
        <f>IF(COUNTIF(Sheet14!A:A, A225)&gt;0, 1, 0)</f>
        <v>1</v>
      </c>
      <c r="M225" s="17">
        <f t="shared" si="26"/>
        <v>92448</v>
      </c>
    </row>
    <row r="226" hidden="1">
      <c r="A226" s="35" t="s">
        <v>1495</v>
      </c>
      <c r="B226" s="35" t="s">
        <v>1496</v>
      </c>
      <c r="C226" s="35" t="s">
        <v>246</v>
      </c>
      <c r="D226" s="35" t="s">
        <v>246</v>
      </c>
      <c r="E226" s="35" t="s">
        <v>1497</v>
      </c>
      <c r="F226" s="35" t="s">
        <v>17</v>
      </c>
      <c r="G226" s="35">
        <v>0.0</v>
      </c>
      <c r="H226" s="35" t="s">
        <v>1498</v>
      </c>
      <c r="I226" s="37"/>
      <c r="J226" s="37"/>
      <c r="K226" s="17">
        <f t="shared" si="1"/>
        <v>0</v>
      </c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  <c r="AU226" s="37"/>
    </row>
    <row r="227" hidden="1">
      <c r="A227" s="35" t="s">
        <v>1499</v>
      </c>
      <c r="B227" s="35" t="s">
        <v>1500</v>
      </c>
      <c r="C227" s="35" t="s">
        <v>246</v>
      </c>
      <c r="D227" s="35" t="s">
        <v>246</v>
      </c>
      <c r="E227" s="35" t="s">
        <v>1501</v>
      </c>
      <c r="F227" s="35" t="s">
        <v>17</v>
      </c>
      <c r="G227" s="35">
        <v>0.0</v>
      </c>
      <c r="H227" s="35" t="s">
        <v>1029</v>
      </c>
      <c r="I227" s="37"/>
      <c r="J227" s="37"/>
      <c r="K227" s="17">
        <f t="shared" si="1"/>
        <v>0</v>
      </c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  <c r="AU227" s="37"/>
    </row>
    <row r="228">
      <c r="A228" s="1" t="s">
        <v>1303</v>
      </c>
      <c r="B228" s="1" t="s">
        <v>1303</v>
      </c>
      <c r="C228" s="1" t="s">
        <v>246</v>
      </c>
      <c r="D228" s="1" t="s">
        <v>246</v>
      </c>
      <c r="E228" s="1" t="s">
        <v>1502</v>
      </c>
      <c r="F228" s="1" t="s">
        <v>17</v>
      </c>
      <c r="G228" s="1">
        <v>206682.0</v>
      </c>
      <c r="H228" s="1"/>
      <c r="K228" s="17">
        <f t="shared" si="1"/>
        <v>1</v>
      </c>
      <c r="L228" s="17">
        <f>IF(COUNTIF(Sheet14!A:A, A228)&gt;0, 1, 0)</f>
        <v>1</v>
      </c>
      <c r="M228" s="17">
        <f t="shared" ref="M228:M233" si="27">if(L228=1,G228*2,G228)</f>
        <v>413364</v>
      </c>
    </row>
    <row r="229">
      <c r="A229" s="1" t="s">
        <v>1306</v>
      </c>
      <c r="B229" s="1" t="s">
        <v>1306</v>
      </c>
      <c r="C229" s="1" t="s">
        <v>246</v>
      </c>
      <c r="D229" s="1" t="s">
        <v>246</v>
      </c>
      <c r="E229" s="1" t="s">
        <v>1503</v>
      </c>
      <c r="F229" s="1" t="s">
        <v>17</v>
      </c>
      <c r="G229" s="1">
        <v>150741.0</v>
      </c>
      <c r="K229" s="17">
        <f t="shared" si="1"/>
        <v>1</v>
      </c>
      <c r="L229" s="17">
        <f>IF(COUNTIF(Sheet14!A:A, A229)&gt;0, 1, 0)</f>
        <v>1</v>
      </c>
      <c r="M229" s="17">
        <f t="shared" si="27"/>
        <v>301482</v>
      </c>
    </row>
    <row r="230">
      <c r="A230" s="1" t="s">
        <v>1312</v>
      </c>
      <c r="B230" s="1" t="s">
        <v>1312</v>
      </c>
      <c r="C230" s="1" t="s">
        <v>246</v>
      </c>
      <c r="D230" s="1" t="s">
        <v>246</v>
      </c>
      <c r="E230" s="1" t="s">
        <v>1504</v>
      </c>
      <c r="F230" s="1" t="s">
        <v>17</v>
      </c>
      <c r="G230" s="1">
        <v>524154.0</v>
      </c>
      <c r="H230" s="1"/>
      <c r="K230" s="17">
        <f t="shared" si="1"/>
        <v>1</v>
      </c>
      <c r="L230" s="17">
        <f>IF(COUNTIF(Sheet14!A:A, A230)&gt;0, 1, 0)</f>
        <v>1</v>
      </c>
      <c r="M230" s="17">
        <f t="shared" si="27"/>
        <v>1048308</v>
      </c>
    </row>
    <row r="231">
      <c r="A231" s="1" t="s">
        <v>1505</v>
      </c>
      <c r="B231" s="1" t="s">
        <v>1506</v>
      </c>
      <c r="C231" s="1" t="s">
        <v>246</v>
      </c>
      <c r="D231" s="1" t="s">
        <v>246</v>
      </c>
      <c r="E231" s="1" t="s">
        <v>31</v>
      </c>
      <c r="F231" s="1" t="s">
        <v>31</v>
      </c>
      <c r="G231" s="1">
        <v>1.0</v>
      </c>
      <c r="H231" s="1"/>
      <c r="K231" s="17">
        <f t="shared" si="1"/>
        <v>1</v>
      </c>
      <c r="L231" s="17">
        <f>IF(COUNTIF(Sheet14!A:A, A231)&gt;0, 1, 0)</f>
        <v>0</v>
      </c>
      <c r="M231" s="17">
        <f t="shared" si="27"/>
        <v>1</v>
      </c>
    </row>
    <row r="232">
      <c r="A232" s="1" t="s">
        <v>1345</v>
      </c>
      <c r="B232" s="1" t="s">
        <v>1345</v>
      </c>
      <c r="C232" s="1" t="s">
        <v>246</v>
      </c>
      <c r="D232" s="1" t="s">
        <v>246</v>
      </c>
      <c r="E232" s="1" t="s">
        <v>1507</v>
      </c>
      <c r="F232" s="1" t="s">
        <v>17</v>
      </c>
      <c r="G232" s="1">
        <v>162431.0</v>
      </c>
      <c r="K232" s="17">
        <f t="shared" si="1"/>
        <v>1</v>
      </c>
      <c r="L232" s="17">
        <f>IF(COUNTIF(Sheet14!A:A, A232)&gt;0, 1, 0)</f>
        <v>1</v>
      </c>
      <c r="M232" s="17">
        <f t="shared" si="27"/>
        <v>324862</v>
      </c>
    </row>
    <row r="233">
      <c r="A233" s="1" t="s">
        <v>1352</v>
      </c>
      <c r="B233" s="1" t="s">
        <v>1508</v>
      </c>
      <c r="C233" s="1" t="s">
        <v>246</v>
      </c>
      <c r="D233" s="1" t="s">
        <v>246</v>
      </c>
      <c r="E233" s="1" t="s">
        <v>1509</v>
      </c>
      <c r="F233" s="1" t="s">
        <v>17</v>
      </c>
      <c r="G233" s="1">
        <v>196256.0</v>
      </c>
      <c r="K233" s="17">
        <f t="shared" si="1"/>
        <v>1</v>
      </c>
      <c r="L233" s="17">
        <f>IF(COUNTIF(Sheet14!A:A, A233)&gt;0, 1, 0)</f>
        <v>1</v>
      </c>
      <c r="M233" s="17">
        <f t="shared" si="27"/>
        <v>392512</v>
      </c>
    </row>
    <row r="234" hidden="1">
      <c r="A234" s="35" t="s">
        <v>1352</v>
      </c>
      <c r="B234" s="35" t="s">
        <v>1510</v>
      </c>
      <c r="C234" s="35" t="s">
        <v>246</v>
      </c>
      <c r="D234" s="35" t="s">
        <v>246</v>
      </c>
      <c r="E234" s="35" t="s">
        <v>1511</v>
      </c>
      <c r="F234" s="35" t="s">
        <v>17</v>
      </c>
      <c r="G234" s="35">
        <v>0.0</v>
      </c>
      <c r="H234" s="35" t="s">
        <v>1035</v>
      </c>
      <c r="I234" s="37"/>
      <c r="J234" s="37"/>
      <c r="K234" s="37">
        <f t="shared" si="1"/>
        <v>0</v>
      </c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  <c r="AQ234" s="37"/>
      <c r="AR234" s="37"/>
      <c r="AS234" s="37"/>
      <c r="AT234" s="37"/>
      <c r="AU234" s="37"/>
    </row>
    <row r="235" hidden="1">
      <c r="A235" s="35" t="s">
        <v>1352</v>
      </c>
      <c r="B235" s="35" t="s">
        <v>1512</v>
      </c>
      <c r="C235" s="35" t="s">
        <v>246</v>
      </c>
      <c r="D235" s="35" t="s">
        <v>246</v>
      </c>
      <c r="E235" s="35" t="s">
        <v>1511</v>
      </c>
      <c r="F235" s="35" t="s">
        <v>17</v>
      </c>
      <c r="G235" s="35">
        <v>0.0</v>
      </c>
      <c r="H235" s="35" t="s">
        <v>1035</v>
      </c>
      <c r="I235" s="37"/>
      <c r="J235" s="37"/>
      <c r="K235" s="37">
        <f t="shared" si="1"/>
        <v>0</v>
      </c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  <c r="AO235" s="37"/>
      <c r="AP235" s="37"/>
      <c r="AQ235" s="37"/>
      <c r="AR235" s="37"/>
      <c r="AS235" s="37"/>
      <c r="AT235" s="37"/>
      <c r="AU235" s="37"/>
    </row>
    <row r="236" hidden="1">
      <c r="A236" s="35" t="s">
        <v>1513</v>
      </c>
      <c r="B236" s="35" t="s">
        <v>1514</v>
      </c>
      <c r="C236" s="35" t="s">
        <v>246</v>
      </c>
      <c r="D236" s="35" t="s">
        <v>684</v>
      </c>
      <c r="E236" s="35" t="s">
        <v>1515</v>
      </c>
      <c r="F236" s="37"/>
      <c r="G236" s="35">
        <v>0.0</v>
      </c>
      <c r="H236" s="35" t="s">
        <v>1516</v>
      </c>
      <c r="I236" s="37"/>
      <c r="J236" s="37"/>
      <c r="K236" s="37">
        <f t="shared" si="1"/>
        <v>0</v>
      </c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  <c r="AO236" s="37"/>
      <c r="AP236" s="37"/>
      <c r="AQ236" s="37"/>
      <c r="AR236" s="37"/>
      <c r="AS236" s="37"/>
      <c r="AT236" s="37"/>
      <c r="AU236" s="37"/>
    </row>
    <row r="237">
      <c r="A237" s="1" t="s">
        <v>1517</v>
      </c>
      <c r="B237" s="1" t="s">
        <v>1517</v>
      </c>
      <c r="C237" s="1" t="s">
        <v>246</v>
      </c>
      <c r="D237" s="1" t="s">
        <v>684</v>
      </c>
      <c r="E237" s="1" t="s">
        <v>692</v>
      </c>
      <c r="F237" s="1" t="s">
        <v>81</v>
      </c>
      <c r="G237" s="1">
        <v>3853.0</v>
      </c>
      <c r="K237" s="17">
        <f t="shared" si="1"/>
        <v>1</v>
      </c>
      <c r="L237" s="17">
        <f>IF(COUNTIF(Sheet14!A:A, A237)&gt;0, 1, 0)</f>
        <v>0</v>
      </c>
      <c r="M237" s="17">
        <f>if(L237=1,G237*2,G237)</f>
        <v>3853</v>
      </c>
    </row>
    <row r="238" hidden="1">
      <c r="A238" s="35" t="s">
        <v>1518</v>
      </c>
      <c r="B238" s="35" t="s">
        <v>1519</v>
      </c>
      <c r="C238" s="35" t="s">
        <v>246</v>
      </c>
      <c r="D238" s="35" t="s">
        <v>684</v>
      </c>
      <c r="E238" s="35" t="s">
        <v>31</v>
      </c>
      <c r="F238" s="35" t="s">
        <v>31</v>
      </c>
      <c r="G238" s="35">
        <v>0.0</v>
      </c>
      <c r="H238" s="35" t="s">
        <v>1520</v>
      </c>
      <c r="I238" s="37"/>
      <c r="J238" s="37"/>
      <c r="K238" s="17">
        <f t="shared" si="1"/>
        <v>0</v>
      </c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  <c r="AQ238" s="37"/>
      <c r="AR238" s="37"/>
      <c r="AS238" s="37"/>
      <c r="AT238" s="37"/>
      <c r="AU238" s="37"/>
    </row>
    <row r="239" hidden="1">
      <c r="A239" s="35" t="s">
        <v>1521</v>
      </c>
      <c r="B239" s="35" t="s">
        <v>1522</v>
      </c>
      <c r="C239" s="35" t="s">
        <v>246</v>
      </c>
      <c r="D239" s="35" t="s">
        <v>697</v>
      </c>
      <c r="E239" s="35" t="s">
        <v>1523</v>
      </c>
      <c r="F239" s="37"/>
      <c r="G239" s="35">
        <v>0.0</v>
      </c>
      <c r="H239" s="35" t="s">
        <v>1524</v>
      </c>
      <c r="I239" s="37"/>
      <c r="J239" s="37"/>
      <c r="K239" s="17">
        <f t="shared" si="1"/>
        <v>0</v>
      </c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  <c r="AO239" s="37"/>
      <c r="AP239" s="37"/>
      <c r="AQ239" s="37"/>
      <c r="AR239" s="37"/>
      <c r="AS239" s="37"/>
      <c r="AT239" s="37"/>
      <c r="AU239" s="37"/>
    </row>
    <row r="240">
      <c r="A240" s="1" t="s">
        <v>1525</v>
      </c>
      <c r="B240" s="1" t="s">
        <v>1525</v>
      </c>
      <c r="C240" s="1" t="s">
        <v>246</v>
      </c>
      <c r="D240" s="1" t="s">
        <v>697</v>
      </c>
      <c r="E240" s="1" t="s">
        <v>651</v>
      </c>
      <c r="F240" s="1" t="s">
        <v>100</v>
      </c>
      <c r="G240" s="1">
        <v>5550.0</v>
      </c>
      <c r="K240" s="17">
        <f t="shared" si="1"/>
        <v>1</v>
      </c>
      <c r="L240" s="17">
        <f>IF(COUNTIF(Sheet14!A:A, A240)&gt;0, 1, 0)</f>
        <v>0</v>
      </c>
      <c r="M240" s="17">
        <f t="shared" ref="M240:M242" si="28">if(L240=1,G240*2,G240)</f>
        <v>5550</v>
      </c>
    </row>
    <row r="241">
      <c r="A241" s="1" t="s">
        <v>1526</v>
      </c>
      <c r="B241" s="1" t="s">
        <v>1526</v>
      </c>
      <c r="C241" s="1" t="s">
        <v>246</v>
      </c>
      <c r="D241" s="1" t="s">
        <v>697</v>
      </c>
      <c r="E241" s="1" t="s">
        <v>651</v>
      </c>
      <c r="F241" s="1" t="s">
        <v>100</v>
      </c>
      <c r="G241" s="1">
        <v>100.0</v>
      </c>
      <c r="K241" s="17">
        <f t="shared" si="1"/>
        <v>1</v>
      </c>
      <c r="L241" s="17">
        <f>IF(COUNTIF(Sheet14!A:A, A241)&gt;0, 1, 0)</f>
        <v>0</v>
      </c>
      <c r="M241" s="17">
        <f t="shared" si="28"/>
        <v>100</v>
      </c>
    </row>
    <row r="242">
      <c r="A242" s="1" t="s">
        <v>1153</v>
      </c>
      <c r="B242" s="1" t="s">
        <v>1153</v>
      </c>
      <c r="C242" s="1" t="s">
        <v>280</v>
      </c>
      <c r="D242" s="1" t="s">
        <v>280</v>
      </c>
      <c r="E242" s="1" t="s">
        <v>31</v>
      </c>
      <c r="F242" s="1" t="s">
        <v>31</v>
      </c>
      <c r="G242" s="1">
        <v>39675.0</v>
      </c>
      <c r="K242" s="17">
        <f t="shared" si="1"/>
        <v>1</v>
      </c>
      <c r="L242" s="17">
        <f>IF(COUNTIF(Sheet14!A:A, A242)&gt;0, 1, 0)</f>
        <v>1</v>
      </c>
      <c r="M242" s="17">
        <f t="shared" si="28"/>
        <v>79350</v>
      </c>
    </row>
    <row r="243" hidden="1">
      <c r="A243" s="35" t="s">
        <v>1527</v>
      </c>
      <c r="B243" s="35" t="s">
        <v>1527</v>
      </c>
      <c r="C243" s="35" t="s">
        <v>280</v>
      </c>
      <c r="D243" s="35" t="s">
        <v>280</v>
      </c>
      <c r="E243" s="35" t="s">
        <v>31</v>
      </c>
      <c r="F243" s="35" t="s">
        <v>31</v>
      </c>
      <c r="G243" s="35">
        <v>0.0</v>
      </c>
      <c r="H243" s="35" t="s">
        <v>1520</v>
      </c>
      <c r="I243" s="37"/>
      <c r="J243" s="37"/>
      <c r="K243" s="17">
        <f t="shared" si="1"/>
        <v>0</v>
      </c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  <c r="AO243" s="37"/>
      <c r="AP243" s="37"/>
      <c r="AQ243" s="37"/>
      <c r="AR243" s="37"/>
      <c r="AS243" s="37"/>
      <c r="AT243" s="37"/>
      <c r="AU243" s="37"/>
    </row>
    <row r="244">
      <c r="A244" s="1" t="s">
        <v>1528</v>
      </c>
      <c r="B244" s="1" t="s">
        <v>1528</v>
      </c>
      <c r="C244" s="1" t="s">
        <v>280</v>
      </c>
      <c r="D244" s="1" t="s">
        <v>739</v>
      </c>
      <c r="E244" s="1" t="s">
        <v>91</v>
      </c>
      <c r="F244" s="1" t="s">
        <v>61</v>
      </c>
      <c r="G244" s="1">
        <v>4435.0</v>
      </c>
      <c r="K244" s="17">
        <f t="shared" si="1"/>
        <v>1</v>
      </c>
      <c r="L244" s="17">
        <f>IF(COUNTIF(Sheet14!A:A, A244)&gt;0, 1, 0)</f>
        <v>0</v>
      </c>
      <c r="M244" s="17">
        <f>if(L244=1,G244*2,G244)</f>
        <v>4435</v>
      </c>
    </row>
    <row r="245" hidden="1">
      <c r="A245" s="35" t="s">
        <v>1529</v>
      </c>
      <c r="B245" s="35" t="s">
        <v>1530</v>
      </c>
      <c r="C245" s="35" t="s">
        <v>280</v>
      </c>
      <c r="D245" s="35" t="s">
        <v>280</v>
      </c>
      <c r="E245" s="35" t="s">
        <v>31</v>
      </c>
      <c r="F245" s="35" t="s">
        <v>31</v>
      </c>
      <c r="G245" s="35">
        <v>0.0</v>
      </c>
      <c r="H245" s="37"/>
      <c r="I245" s="35" t="s">
        <v>1531</v>
      </c>
      <c r="J245" s="37"/>
      <c r="K245" s="17">
        <f t="shared" si="1"/>
        <v>0</v>
      </c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  <c r="AN245" s="37"/>
      <c r="AO245" s="37"/>
      <c r="AP245" s="37"/>
      <c r="AQ245" s="37"/>
      <c r="AR245" s="37"/>
      <c r="AS245" s="37"/>
      <c r="AT245" s="37"/>
      <c r="AU245" s="37"/>
    </row>
    <row r="246">
      <c r="A246" s="1" t="s">
        <v>1532</v>
      </c>
      <c r="B246" s="1" t="s">
        <v>1532</v>
      </c>
      <c r="C246" s="1" t="s">
        <v>280</v>
      </c>
      <c r="E246" s="1" t="s">
        <v>107</v>
      </c>
      <c r="F246" s="1" t="s">
        <v>107</v>
      </c>
      <c r="G246" s="1">
        <v>29100.0</v>
      </c>
      <c r="K246" s="17">
        <f t="shared" si="1"/>
        <v>1</v>
      </c>
      <c r="L246" s="17">
        <f>IF(COUNTIF(Sheet14!A:A, A246)&gt;0, 1, 0)</f>
        <v>0</v>
      </c>
      <c r="M246" s="17">
        <f>if(L246=1,G246*2,G246)</f>
        <v>29100</v>
      </c>
    </row>
    <row r="247" hidden="1">
      <c r="A247" s="35" t="s">
        <v>1533</v>
      </c>
      <c r="B247" s="35" t="s">
        <v>1533</v>
      </c>
      <c r="C247" s="35" t="s">
        <v>280</v>
      </c>
      <c r="D247" s="35" t="s">
        <v>852</v>
      </c>
      <c r="E247" s="35" t="s">
        <v>147</v>
      </c>
      <c r="F247" s="35" t="s">
        <v>61</v>
      </c>
      <c r="G247" s="37"/>
      <c r="H247" s="35" t="s">
        <v>1520</v>
      </c>
      <c r="I247" s="37"/>
      <c r="J247" s="37"/>
      <c r="K247" s="37">
        <f t="shared" si="1"/>
        <v>0</v>
      </c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  <c r="AP247" s="37"/>
      <c r="AQ247" s="37"/>
      <c r="AR247" s="37"/>
      <c r="AS247" s="37"/>
      <c r="AT247" s="37"/>
      <c r="AU247" s="37"/>
    </row>
    <row r="248">
      <c r="A248" s="1" t="s">
        <v>1534</v>
      </c>
      <c r="B248" s="1" t="s">
        <v>1535</v>
      </c>
      <c r="C248" s="1" t="s">
        <v>280</v>
      </c>
      <c r="D248" s="1" t="s">
        <v>852</v>
      </c>
      <c r="E248" s="1" t="s">
        <v>61</v>
      </c>
      <c r="F248" s="1" t="s">
        <v>61</v>
      </c>
      <c r="G248" s="1">
        <v>962.0</v>
      </c>
      <c r="K248" s="17">
        <f t="shared" si="1"/>
        <v>1</v>
      </c>
      <c r="L248" s="17">
        <f>IF(COUNTIF(Sheet14!A:A, A248)&gt;0, 1, 0)</f>
        <v>0</v>
      </c>
      <c r="M248" s="17">
        <f>if(L248=1,G248*2,G248)</f>
        <v>962</v>
      </c>
    </row>
    <row r="249" hidden="1">
      <c r="A249" s="35" t="s">
        <v>1536</v>
      </c>
      <c r="B249" s="35" t="s">
        <v>1536</v>
      </c>
      <c r="C249" s="35" t="s">
        <v>366</v>
      </c>
      <c r="D249" s="35" t="s">
        <v>366</v>
      </c>
      <c r="E249" s="35" t="s">
        <v>874</v>
      </c>
      <c r="F249" s="35" t="s">
        <v>64</v>
      </c>
      <c r="G249" s="37"/>
      <c r="H249" s="35" t="s">
        <v>1537</v>
      </c>
      <c r="I249" s="37"/>
      <c r="J249" s="37"/>
      <c r="K249" s="17">
        <f t="shared" si="1"/>
        <v>0</v>
      </c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  <c r="AM249" s="37"/>
      <c r="AN249" s="37"/>
      <c r="AO249" s="37"/>
      <c r="AP249" s="37"/>
      <c r="AQ249" s="37"/>
      <c r="AR249" s="37"/>
      <c r="AS249" s="37"/>
      <c r="AT249" s="37"/>
      <c r="AU249" s="37"/>
    </row>
    <row r="250">
      <c r="A250" s="1" t="s">
        <v>1315</v>
      </c>
      <c r="B250" s="1" t="s">
        <v>1538</v>
      </c>
      <c r="C250" s="1" t="s">
        <v>366</v>
      </c>
      <c r="E250" s="1" t="s">
        <v>1539</v>
      </c>
      <c r="F250" s="1" t="s">
        <v>61</v>
      </c>
      <c r="G250" s="1">
        <v>347018.0</v>
      </c>
      <c r="K250" s="17">
        <f t="shared" si="1"/>
        <v>1</v>
      </c>
      <c r="L250" s="17">
        <f>IF(COUNTIF(Sheet14!A:A, A250)&gt;0, 1, 0)</f>
        <v>1</v>
      </c>
      <c r="M250" s="17">
        <f>if(L250=1,G250*2,G250)</f>
        <v>694036</v>
      </c>
    </row>
    <row r="251" hidden="1">
      <c r="A251" s="35" t="s">
        <v>880</v>
      </c>
      <c r="B251" s="35" t="s">
        <v>1540</v>
      </c>
      <c r="C251" s="35" t="s">
        <v>366</v>
      </c>
      <c r="D251" s="35" t="s">
        <v>366</v>
      </c>
      <c r="E251" s="35" t="s">
        <v>64</v>
      </c>
      <c r="F251" s="35" t="s">
        <v>64</v>
      </c>
      <c r="G251" s="35">
        <v>0.0</v>
      </c>
      <c r="H251" s="35" t="s">
        <v>1541</v>
      </c>
      <c r="I251" s="37"/>
      <c r="J251" s="37"/>
      <c r="K251" s="17">
        <f t="shared" si="1"/>
        <v>0</v>
      </c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  <c r="AN251" s="37"/>
      <c r="AO251" s="37"/>
      <c r="AP251" s="37"/>
      <c r="AQ251" s="37"/>
      <c r="AR251" s="37"/>
      <c r="AS251" s="37"/>
      <c r="AT251" s="37"/>
      <c r="AU251" s="37"/>
    </row>
    <row r="252" hidden="1">
      <c r="A252" s="35" t="s">
        <v>1542</v>
      </c>
      <c r="B252" s="35" t="s">
        <v>1542</v>
      </c>
      <c r="C252" s="35" t="s">
        <v>366</v>
      </c>
      <c r="D252" s="35" t="s">
        <v>366</v>
      </c>
      <c r="E252" s="35" t="s">
        <v>31</v>
      </c>
      <c r="F252" s="35" t="s">
        <v>31</v>
      </c>
      <c r="G252" s="35">
        <v>0.0</v>
      </c>
      <c r="H252" s="35" t="s">
        <v>1498</v>
      </c>
      <c r="I252" s="37"/>
      <c r="J252" s="37"/>
      <c r="K252" s="17">
        <f t="shared" si="1"/>
        <v>0</v>
      </c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7"/>
      <c r="AN252" s="37"/>
      <c r="AO252" s="37"/>
      <c r="AP252" s="37"/>
      <c r="AQ252" s="37"/>
      <c r="AR252" s="37"/>
      <c r="AS252" s="37"/>
      <c r="AT252" s="37"/>
      <c r="AU252" s="37"/>
    </row>
    <row r="253">
      <c r="A253" s="1" t="s">
        <v>1544</v>
      </c>
      <c r="B253" s="1" t="s">
        <v>1545</v>
      </c>
      <c r="C253" s="1" t="s">
        <v>366</v>
      </c>
      <c r="D253" s="1" t="s">
        <v>366</v>
      </c>
      <c r="E253" s="1" t="s">
        <v>1546</v>
      </c>
      <c r="F253" s="1" t="s">
        <v>31</v>
      </c>
      <c r="G253" s="1">
        <v>66634.0</v>
      </c>
      <c r="K253" s="17">
        <f t="shared" si="1"/>
        <v>1</v>
      </c>
      <c r="L253" s="17">
        <f>IF(COUNTIF(Sheet14!A:A, A253)&gt;0, 1, 0)</f>
        <v>0</v>
      </c>
      <c r="M253" s="17">
        <f t="shared" ref="M253:M260" si="29">if(L253=1,G253*2,G253)</f>
        <v>66634</v>
      </c>
    </row>
    <row r="254">
      <c r="A254" s="1" t="s">
        <v>1209</v>
      </c>
      <c r="B254" s="1" t="s">
        <v>1547</v>
      </c>
      <c r="C254" s="1" t="s">
        <v>366</v>
      </c>
      <c r="D254" s="1" t="s">
        <v>366</v>
      </c>
      <c r="E254" s="1" t="s">
        <v>31</v>
      </c>
      <c r="F254" s="1" t="s">
        <v>31</v>
      </c>
      <c r="G254" s="1">
        <v>556.0</v>
      </c>
      <c r="K254" s="17">
        <f t="shared" si="1"/>
        <v>1</v>
      </c>
      <c r="L254" s="17">
        <f>IF(COUNTIF(Sheet14!A:A, A254)&gt;0, 1, 0)</f>
        <v>1</v>
      </c>
      <c r="M254" s="17">
        <f t="shared" si="29"/>
        <v>1112</v>
      </c>
    </row>
    <row r="255">
      <c r="A255" s="1" t="s">
        <v>1549</v>
      </c>
      <c r="B255" s="1" t="s">
        <v>1550</v>
      </c>
      <c r="C255" s="1" t="s">
        <v>366</v>
      </c>
      <c r="D255" s="1" t="s">
        <v>366</v>
      </c>
      <c r="E255" s="1" t="s">
        <v>1551</v>
      </c>
      <c r="F255" s="1" t="s">
        <v>61</v>
      </c>
      <c r="G255" s="1">
        <v>441.0</v>
      </c>
      <c r="K255" s="17">
        <f t="shared" si="1"/>
        <v>1</v>
      </c>
      <c r="L255" s="17">
        <f>IF(COUNTIF(Sheet14!A:A, A255)&gt;0, 1, 0)</f>
        <v>0</v>
      </c>
      <c r="M255" s="17">
        <f t="shared" si="29"/>
        <v>441</v>
      </c>
    </row>
    <row r="256">
      <c r="A256" s="1" t="s">
        <v>1552</v>
      </c>
      <c r="B256" s="1" t="s">
        <v>1553</v>
      </c>
      <c r="C256" s="1" t="s">
        <v>366</v>
      </c>
      <c r="D256" s="1" t="s">
        <v>366</v>
      </c>
      <c r="E256" s="1" t="s">
        <v>54</v>
      </c>
      <c r="F256" s="1" t="s">
        <v>54</v>
      </c>
      <c r="G256" s="1">
        <v>8481.0</v>
      </c>
      <c r="K256" s="17">
        <f t="shared" si="1"/>
        <v>1</v>
      </c>
      <c r="L256" s="17">
        <f>IF(COUNTIF(Sheet14!A:A, A256)&gt;0, 1, 0)</f>
        <v>0</v>
      </c>
      <c r="M256" s="17">
        <f t="shared" si="29"/>
        <v>8481</v>
      </c>
    </row>
    <row r="257">
      <c r="A257" s="1" t="s">
        <v>1201</v>
      </c>
      <c r="B257" s="1" t="s">
        <v>1201</v>
      </c>
      <c r="C257" s="1" t="s">
        <v>744</v>
      </c>
      <c r="D257" s="1" t="s">
        <v>744</v>
      </c>
      <c r="E257" s="1" t="s">
        <v>1554</v>
      </c>
      <c r="F257" s="1" t="s">
        <v>17</v>
      </c>
      <c r="G257" s="1">
        <v>36439.0</v>
      </c>
      <c r="K257" s="17">
        <f t="shared" si="1"/>
        <v>1</v>
      </c>
      <c r="L257" s="17">
        <f>IF(COUNTIF(Sheet14!A:A, A257)&gt;0, 1, 0)</f>
        <v>1</v>
      </c>
      <c r="M257" s="17">
        <f t="shared" si="29"/>
        <v>72878</v>
      </c>
    </row>
    <row r="258">
      <c r="A258" s="1" t="s">
        <v>1175</v>
      </c>
      <c r="B258" s="1" t="s">
        <v>1175</v>
      </c>
      <c r="C258" s="1" t="s">
        <v>744</v>
      </c>
      <c r="D258" s="1" t="s">
        <v>744</v>
      </c>
      <c r="E258" s="1" t="s">
        <v>17</v>
      </c>
      <c r="F258" s="1" t="s">
        <v>17</v>
      </c>
      <c r="G258" s="1">
        <v>108472.0</v>
      </c>
      <c r="K258" s="17">
        <f t="shared" si="1"/>
        <v>1</v>
      </c>
      <c r="L258" s="17">
        <f>IF(COUNTIF(Sheet14!A:A, A258)&gt;0, 1, 0)</f>
        <v>1</v>
      </c>
      <c r="M258" s="17">
        <f t="shared" si="29"/>
        <v>216944</v>
      </c>
    </row>
    <row r="259">
      <c r="A259" s="1" t="s">
        <v>1555</v>
      </c>
      <c r="B259" s="1" t="s">
        <v>1556</v>
      </c>
      <c r="C259" s="1" t="s">
        <v>744</v>
      </c>
      <c r="D259" s="1" t="s">
        <v>941</v>
      </c>
      <c r="E259" s="1" t="s">
        <v>1557</v>
      </c>
      <c r="F259" s="1" t="s">
        <v>61</v>
      </c>
      <c r="G259" s="1">
        <v>12281.0</v>
      </c>
      <c r="K259" s="17">
        <f t="shared" si="1"/>
        <v>1</v>
      </c>
      <c r="L259" s="17">
        <f>IF(COUNTIF(Sheet14!A:A, A259)&gt;0, 1, 0)</f>
        <v>0</v>
      </c>
      <c r="M259" s="17">
        <f t="shared" si="29"/>
        <v>12281</v>
      </c>
    </row>
    <row r="260">
      <c r="A260" s="1" t="s">
        <v>1168</v>
      </c>
      <c r="B260" s="1" t="s">
        <v>1168</v>
      </c>
      <c r="C260" s="1" t="s">
        <v>744</v>
      </c>
      <c r="D260" s="1" t="s">
        <v>941</v>
      </c>
      <c r="E260" s="1" t="s">
        <v>1558</v>
      </c>
      <c r="F260" s="1" t="s">
        <v>17</v>
      </c>
      <c r="G260" s="1">
        <v>37615.0</v>
      </c>
      <c r="K260" s="17">
        <f t="shared" si="1"/>
        <v>1</v>
      </c>
      <c r="L260" s="17">
        <f>IF(COUNTIF(Sheet14!A:A, A260)&gt;0, 1, 0)</f>
        <v>1</v>
      </c>
      <c r="M260" s="17">
        <f t="shared" si="29"/>
        <v>75230</v>
      </c>
    </row>
    <row r="261" hidden="1">
      <c r="A261" s="35" t="s">
        <v>1559</v>
      </c>
      <c r="B261" s="35" t="s">
        <v>1559</v>
      </c>
      <c r="C261" s="35" t="s">
        <v>744</v>
      </c>
      <c r="D261" s="35" t="s">
        <v>941</v>
      </c>
      <c r="E261" s="35" t="s">
        <v>1560</v>
      </c>
      <c r="F261" s="35" t="s">
        <v>17</v>
      </c>
      <c r="G261" s="35">
        <v>0.0</v>
      </c>
      <c r="H261" s="35" t="s">
        <v>1561</v>
      </c>
      <c r="I261" s="37"/>
      <c r="J261" s="37"/>
      <c r="K261" s="37">
        <f t="shared" si="1"/>
        <v>0</v>
      </c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37"/>
      <c r="AO261" s="37"/>
      <c r="AP261" s="37"/>
      <c r="AQ261" s="37"/>
      <c r="AR261" s="37"/>
      <c r="AS261" s="37"/>
      <c r="AT261" s="37"/>
      <c r="AU261" s="37"/>
    </row>
    <row r="262">
      <c r="A262" s="1" t="s">
        <v>1242</v>
      </c>
      <c r="B262" s="1" t="s">
        <v>1242</v>
      </c>
      <c r="C262" s="1" t="s">
        <v>744</v>
      </c>
      <c r="D262" s="1" t="s">
        <v>941</v>
      </c>
      <c r="E262" s="1" t="s">
        <v>1562</v>
      </c>
      <c r="F262" s="1" t="s">
        <v>17</v>
      </c>
      <c r="G262" s="1">
        <v>9456.0</v>
      </c>
      <c r="K262" s="17">
        <f t="shared" si="1"/>
        <v>1</v>
      </c>
      <c r="L262" s="17">
        <f>IF(COUNTIF(Sheet14!A:A, A262)&gt;0, 1, 0)</f>
        <v>1</v>
      </c>
      <c r="M262" s="17">
        <f t="shared" ref="M262:M263" si="30">if(L262=1,G262*2,G262)</f>
        <v>18912</v>
      </c>
    </row>
    <row r="263">
      <c r="A263" s="1" t="s">
        <v>1276</v>
      </c>
      <c r="B263" s="1" t="s">
        <v>1563</v>
      </c>
      <c r="C263" s="1" t="s">
        <v>744</v>
      </c>
      <c r="D263" s="1" t="s">
        <v>941</v>
      </c>
      <c r="E263" s="1" t="s">
        <v>1558</v>
      </c>
      <c r="F263" s="1" t="s">
        <v>17</v>
      </c>
      <c r="G263" s="1">
        <v>334546.0</v>
      </c>
      <c r="K263" s="17">
        <f t="shared" si="1"/>
        <v>1</v>
      </c>
      <c r="L263" s="17">
        <f>IF(COUNTIF(Sheet14!A:A, A263)&gt;0, 1, 0)</f>
        <v>1</v>
      </c>
      <c r="M263" s="17">
        <f t="shared" si="30"/>
        <v>669092</v>
      </c>
    </row>
    <row r="264" hidden="1">
      <c r="A264" s="35" t="s">
        <v>1565</v>
      </c>
      <c r="B264" s="35" t="s">
        <v>1566</v>
      </c>
      <c r="C264" s="35" t="s">
        <v>744</v>
      </c>
      <c r="D264" s="35" t="s">
        <v>941</v>
      </c>
      <c r="E264" s="35" t="s">
        <v>1567</v>
      </c>
      <c r="F264" s="35" t="s">
        <v>31</v>
      </c>
      <c r="G264" s="35">
        <v>0.0</v>
      </c>
      <c r="H264" s="35" t="s">
        <v>1568</v>
      </c>
      <c r="I264" s="37"/>
      <c r="J264" s="37"/>
      <c r="K264" s="37">
        <f t="shared" si="1"/>
        <v>0</v>
      </c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  <c r="AM264" s="37"/>
      <c r="AN264" s="37"/>
      <c r="AO264" s="37"/>
      <c r="AP264" s="37"/>
      <c r="AQ264" s="37"/>
      <c r="AR264" s="37"/>
      <c r="AS264" s="37"/>
      <c r="AT264" s="37"/>
      <c r="AU264" s="37"/>
    </row>
    <row r="265">
      <c r="A265" s="1" t="s">
        <v>1569</v>
      </c>
      <c r="B265" s="1" t="s">
        <v>1569</v>
      </c>
      <c r="C265" s="1" t="s">
        <v>744</v>
      </c>
      <c r="D265" s="1" t="s">
        <v>941</v>
      </c>
      <c r="E265" s="1" t="s">
        <v>1570</v>
      </c>
      <c r="F265" s="1" t="s">
        <v>17</v>
      </c>
      <c r="G265" s="1">
        <v>51518.0</v>
      </c>
      <c r="K265" s="17">
        <f t="shared" si="1"/>
        <v>1</v>
      </c>
      <c r="L265" s="17">
        <f>IF(COUNTIF(Sheet14!A:A, A265)&gt;0, 1, 0)</f>
        <v>0</v>
      </c>
      <c r="M265" s="17">
        <f t="shared" ref="M265:M275" si="31">if(L265=1,G265*2,G265)</f>
        <v>51518</v>
      </c>
    </row>
    <row r="266">
      <c r="A266" s="1" t="s">
        <v>1571</v>
      </c>
      <c r="B266" s="1" t="s">
        <v>1572</v>
      </c>
      <c r="C266" s="1" t="s">
        <v>744</v>
      </c>
      <c r="D266" s="1" t="s">
        <v>941</v>
      </c>
      <c r="E266" s="1" t="s">
        <v>17</v>
      </c>
      <c r="F266" s="1" t="s">
        <v>17</v>
      </c>
      <c r="G266" s="1">
        <v>441042.0</v>
      </c>
      <c r="K266" s="17">
        <f t="shared" si="1"/>
        <v>1</v>
      </c>
      <c r="L266" s="17">
        <f>IF(COUNTIF(Sheet14!A:A, A266)&gt;0, 1, 0)</f>
        <v>0</v>
      </c>
      <c r="M266" s="17">
        <f t="shared" si="31"/>
        <v>441042</v>
      </c>
    </row>
    <row r="267">
      <c r="A267" s="1" t="s">
        <v>1310</v>
      </c>
      <c r="B267" s="1" t="s">
        <v>1310</v>
      </c>
      <c r="C267" s="1" t="s">
        <v>744</v>
      </c>
      <c r="D267" s="1" t="s">
        <v>941</v>
      </c>
      <c r="E267" s="1" t="s">
        <v>31</v>
      </c>
      <c r="F267" s="1" t="s">
        <v>31</v>
      </c>
      <c r="G267" s="1">
        <v>7082.0</v>
      </c>
      <c r="K267" s="17">
        <f t="shared" si="1"/>
        <v>1</v>
      </c>
      <c r="L267" s="17">
        <f>IF(COUNTIF(Sheet14!A:A, A267)&gt;0, 1, 0)</f>
        <v>1</v>
      </c>
      <c r="M267" s="17">
        <f t="shared" si="31"/>
        <v>14164</v>
      </c>
    </row>
    <row r="268">
      <c r="A268" s="1" t="s">
        <v>1573</v>
      </c>
      <c r="B268" s="1" t="s">
        <v>1574</v>
      </c>
      <c r="C268" s="1" t="s">
        <v>61</v>
      </c>
      <c r="D268" s="1" t="s">
        <v>1575</v>
      </c>
      <c r="E268" s="1" t="s">
        <v>147</v>
      </c>
      <c r="F268" s="1" t="s">
        <v>61</v>
      </c>
      <c r="G268" s="1">
        <v>7013.0</v>
      </c>
      <c r="K268" s="17">
        <f t="shared" si="1"/>
        <v>1</v>
      </c>
      <c r="L268" s="17">
        <f>IF(COUNTIF(Sheet14!A:A, A268)&gt;0, 1, 0)</f>
        <v>0</v>
      </c>
      <c r="M268" s="17">
        <f t="shared" si="31"/>
        <v>7013</v>
      </c>
    </row>
    <row r="269">
      <c r="A269" s="1" t="s">
        <v>1576</v>
      </c>
      <c r="B269" s="1" t="s">
        <v>1577</v>
      </c>
      <c r="C269" s="1" t="s">
        <v>61</v>
      </c>
      <c r="D269" s="1" t="s">
        <v>1376</v>
      </c>
      <c r="E269" s="1" t="s">
        <v>1578</v>
      </c>
      <c r="F269" s="1" t="s">
        <v>61</v>
      </c>
      <c r="G269" s="1">
        <v>374.0</v>
      </c>
      <c r="K269" s="17">
        <f t="shared" si="1"/>
        <v>1</v>
      </c>
      <c r="L269" s="17">
        <f>IF(COUNTIF(Sheet14!A:A, A269)&gt;0, 1, 0)</f>
        <v>0</v>
      </c>
      <c r="M269" s="17">
        <f t="shared" si="31"/>
        <v>374</v>
      </c>
    </row>
    <row r="270">
      <c r="A270" s="1" t="s">
        <v>1579</v>
      </c>
      <c r="B270" s="1" t="s">
        <v>1579</v>
      </c>
      <c r="C270" s="1" t="s">
        <v>61</v>
      </c>
      <c r="D270" s="1" t="s">
        <v>1580</v>
      </c>
      <c r="E270" s="1" t="s">
        <v>1581</v>
      </c>
      <c r="F270" s="1" t="s">
        <v>61</v>
      </c>
      <c r="G270" s="1">
        <v>48.0</v>
      </c>
      <c r="K270" s="17">
        <f t="shared" si="1"/>
        <v>1</v>
      </c>
      <c r="L270" s="17">
        <f>IF(COUNTIF(Sheet14!A:A, A270)&gt;0, 1, 0)</f>
        <v>0</v>
      </c>
      <c r="M270" s="17">
        <f t="shared" si="31"/>
        <v>48</v>
      </c>
    </row>
    <row r="271">
      <c r="A271" s="1" t="s">
        <v>1582</v>
      </c>
      <c r="B271" s="1" t="s">
        <v>1582</v>
      </c>
      <c r="C271" s="1" t="s">
        <v>61</v>
      </c>
      <c r="D271" s="1" t="s">
        <v>1118</v>
      </c>
      <c r="E271" s="1" t="s">
        <v>61</v>
      </c>
      <c r="F271" s="1" t="s">
        <v>61</v>
      </c>
      <c r="G271" s="1">
        <v>2057.0</v>
      </c>
      <c r="K271" s="17">
        <f t="shared" si="1"/>
        <v>1</v>
      </c>
      <c r="L271" s="17">
        <f>IF(COUNTIF(Sheet14!A:A, A271)&gt;0, 1, 0)</f>
        <v>0</v>
      </c>
      <c r="M271" s="17">
        <f t="shared" si="31"/>
        <v>2057</v>
      </c>
    </row>
    <row r="272">
      <c r="A272" s="1" t="s">
        <v>1583</v>
      </c>
      <c r="B272" s="1" t="s">
        <v>1583</v>
      </c>
      <c r="C272" s="1" t="s">
        <v>61</v>
      </c>
      <c r="D272" s="1" t="s">
        <v>1584</v>
      </c>
      <c r="E272" s="1" t="s">
        <v>91</v>
      </c>
      <c r="F272" s="1" t="s">
        <v>61</v>
      </c>
      <c r="G272" s="1">
        <v>330.0</v>
      </c>
      <c r="K272" s="17">
        <f t="shared" si="1"/>
        <v>1</v>
      </c>
      <c r="L272" s="17">
        <f>IF(COUNTIF(Sheet14!A:A, A272)&gt;0, 1, 0)</f>
        <v>0</v>
      </c>
      <c r="M272" s="17">
        <f t="shared" si="31"/>
        <v>330</v>
      </c>
    </row>
    <row r="273">
      <c r="A273" s="1" t="s">
        <v>1585</v>
      </c>
      <c r="B273" s="1" t="s">
        <v>1586</v>
      </c>
      <c r="C273" s="1" t="s">
        <v>61</v>
      </c>
      <c r="D273" s="1" t="s">
        <v>1587</v>
      </c>
      <c r="E273" s="1" t="s">
        <v>1588</v>
      </c>
      <c r="F273" s="1" t="s">
        <v>61</v>
      </c>
      <c r="G273" s="1">
        <v>216.0</v>
      </c>
      <c r="K273" s="17">
        <f t="shared" si="1"/>
        <v>1</v>
      </c>
      <c r="L273" s="17">
        <f>IF(COUNTIF(Sheet14!A:A, A273)&gt;0, 1, 0)</f>
        <v>0</v>
      </c>
      <c r="M273" s="17">
        <f t="shared" si="31"/>
        <v>216</v>
      </c>
    </row>
    <row r="274">
      <c r="A274" s="1" t="s">
        <v>1589</v>
      </c>
      <c r="B274" s="1" t="s">
        <v>1589</v>
      </c>
      <c r="C274" s="1" t="s">
        <v>61</v>
      </c>
      <c r="E274" s="1" t="s">
        <v>530</v>
      </c>
      <c r="F274" s="1" t="s">
        <v>61</v>
      </c>
      <c r="G274" s="1">
        <v>44.0</v>
      </c>
      <c r="K274" s="17">
        <f t="shared" si="1"/>
        <v>1</v>
      </c>
      <c r="L274" s="17">
        <f>IF(COUNTIF(Sheet14!A:A, A274)&gt;0, 1, 0)</f>
        <v>0</v>
      </c>
      <c r="M274" s="17">
        <f t="shared" si="31"/>
        <v>44</v>
      </c>
    </row>
    <row r="275">
      <c r="A275" s="1" t="s">
        <v>1590</v>
      </c>
      <c r="B275" s="1" t="s">
        <v>1591</v>
      </c>
      <c r="C275" s="1" t="s">
        <v>61</v>
      </c>
      <c r="D275" s="1" t="s">
        <v>301</v>
      </c>
      <c r="E275" s="1" t="s">
        <v>1588</v>
      </c>
      <c r="F275" s="1" t="s">
        <v>61</v>
      </c>
      <c r="G275" s="1">
        <v>540.0</v>
      </c>
      <c r="K275" s="17">
        <f t="shared" si="1"/>
        <v>1</v>
      </c>
      <c r="L275" s="17">
        <f>IF(COUNTIF(Sheet14!A:A, A275)&gt;0, 1, 0)</f>
        <v>0</v>
      </c>
      <c r="M275" s="17">
        <f t="shared" si="31"/>
        <v>540</v>
      </c>
    </row>
    <row r="276" hidden="1">
      <c r="A276" s="35" t="s">
        <v>1590</v>
      </c>
      <c r="B276" s="35" t="s">
        <v>1592</v>
      </c>
      <c r="C276" s="35" t="s">
        <v>61</v>
      </c>
      <c r="D276" s="35" t="s">
        <v>301</v>
      </c>
      <c r="E276" s="35" t="s">
        <v>1588</v>
      </c>
      <c r="F276" s="35" t="s">
        <v>61</v>
      </c>
      <c r="G276" s="35">
        <v>0.0</v>
      </c>
      <c r="H276" s="37"/>
      <c r="I276" s="35" t="s">
        <v>1593</v>
      </c>
      <c r="J276" s="37"/>
      <c r="K276" s="17">
        <f t="shared" si="1"/>
        <v>0</v>
      </c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  <c r="AH276" s="37"/>
      <c r="AI276" s="37"/>
      <c r="AJ276" s="37"/>
      <c r="AK276" s="37"/>
      <c r="AL276" s="37"/>
      <c r="AM276" s="37"/>
      <c r="AN276" s="37"/>
      <c r="AO276" s="37"/>
      <c r="AP276" s="37"/>
      <c r="AQ276" s="37"/>
      <c r="AR276" s="37"/>
      <c r="AS276" s="37"/>
      <c r="AT276" s="37"/>
      <c r="AU276" s="37"/>
    </row>
    <row r="277" hidden="1">
      <c r="A277" s="35" t="s">
        <v>1594</v>
      </c>
      <c r="B277" s="35" t="s">
        <v>1594</v>
      </c>
      <c r="C277" s="35" t="s">
        <v>301</v>
      </c>
      <c r="D277" s="35" t="s">
        <v>544</v>
      </c>
      <c r="E277" s="35" t="s">
        <v>598</v>
      </c>
      <c r="F277" s="35" t="s">
        <v>61</v>
      </c>
      <c r="G277" s="35">
        <v>0.0</v>
      </c>
      <c r="H277" s="37"/>
      <c r="I277" s="35" t="s">
        <v>1595</v>
      </c>
      <c r="J277" s="37"/>
      <c r="K277" s="17">
        <f t="shared" si="1"/>
        <v>0</v>
      </c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  <c r="AM277" s="37"/>
      <c r="AN277" s="37"/>
      <c r="AO277" s="37"/>
      <c r="AP277" s="37"/>
      <c r="AQ277" s="37"/>
      <c r="AR277" s="37"/>
      <c r="AS277" s="37"/>
      <c r="AT277" s="37"/>
      <c r="AU277" s="37"/>
    </row>
    <row r="278" hidden="1">
      <c r="A278" s="35" t="s">
        <v>1596</v>
      </c>
      <c r="B278" s="35" t="s">
        <v>1597</v>
      </c>
      <c r="C278" s="35" t="s">
        <v>280</v>
      </c>
      <c r="D278" s="37"/>
      <c r="E278" s="35" t="s">
        <v>31</v>
      </c>
      <c r="F278" s="35" t="s">
        <v>31</v>
      </c>
      <c r="G278" s="35">
        <v>0.0</v>
      </c>
      <c r="H278" s="37"/>
      <c r="I278" s="35" t="s">
        <v>1598</v>
      </c>
      <c r="J278" s="37"/>
      <c r="K278" s="17">
        <f t="shared" si="1"/>
        <v>0</v>
      </c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  <c r="AI278" s="37"/>
      <c r="AJ278" s="37"/>
      <c r="AK278" s="37"/>
      <c r="AL278" s="37"/>
      <c r="AM278" s="37"/>
      <c r="AN278" s="37"/>
      <c r="AO278" s="37"/>
      <c r="AP278" s="37"/>
      <c r="AQ278" s="37"/>
      <c r="AR278" s="37"/>
      <c r="AS278" s="37"/>
      <c r="AT278" s="37"/>
      <c r="AU278" s="37"/>
    </row>
    <row r="279">
      <c r="A279" s="1" t="s">
        <v>1390</v>
      </c>
      <c r="B279" s="1" t="s">
        <v>1599</v>
      </c>
      <c r="C279" s="1" t="s">
        <v>366</v>
      </c>
      <c r="D279" s="1" t="s">
        <v>366</v>
      </c>
      <c r="E279" s="1" t="s">
        <v>17</v>
      </c>
      <c r="F279" s="1" t="s">
        <v>17</v>
      </c>
      <c r="G279" s="1">
        <v>124153.0</v>
      </c>
      <c r="K279" s="17">
        <f t="shared" si="1"/>
        <v>1</v>
      </c>
      <c r="L279" s="17">
        <f>IF(COUNTIF(Sheet14!A:A, A279)&gt;0, 1, 0)</f>
        <v>1</v>
      </c>
      <c r="M279" s="17">
        <f t="shared" ref="M279:M280" si="32">if(L279=1,G279*2,G279)</f>
        <v>248306</v>
      </c>
    </row>
    <row r="280">
      <c r="A280" s="1" t="s">
        <v>1600</v>
      </c>
      <c r="B280" s="1" t="s">
        <v>1600</v>
      </c>
      <c r="C280" s="1" t="s">
        <v>61</v>
      </c>
      <c r="D280" s="1" t="s">
        <v>1575</v>
      </c>
      <c r="E280" s="1" t="s">
        <v>1601</v>
      </c>
      <c r="F280" s="1" t="s">
        <v>61</v>
      </c>
      <c r="G280" s="1">
        <v>15114.0</v>
      </c>
      <c r="K280" s="17">
        <f t="shared" si="1"/>
        <v>1</v>
      </c>
      <c r="L280" s="17">
        <f>IF(COUNTIF(Sheet14!A:A, A280)&gt;0, 1, 0)</f>
        <v>0</v>
      </c>
      <c r="M280" s="17">
        <f t="shared" si="32"/>
        <v>15114</v>
      </c>
    </row>
    <row r="281" hidden="1">
      <c r="A281" s="35" t="s">
        <v>1602</v>
      </c>
      <c r="B281" s="35" t="s">
        <v>1602</v>
      </c>
      <c r="C281" s="35" t="s">
        <v>61</v>
      </c>
      <c r="D281" s="37"/>
      <c r="E281" s="35" t="s">
        <v>91</v>
      </c>
      <c r="F281" s="35" t="s">
        <v>61</v>
      </c>
      <c r="G281" s="35">
        <v>0.0</v>
      </c>
      <c r="H281" s="37"/>
      <c r="I281" s="35" t="s">
        <v>1598</v>
      </c>
      <c r="J281" s="37"/>
      <c r="K281" s="17">
        <f t="shared" si="1"/>
        <v>0</v>
      </c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/>
      <c r="AH281" s="37"/>
      <c r="AI281" s="37"/>
      <c r="AJ281" s="37"/>
      <c r="AK281" s="37"/>
      <c r="AL281" s="37"/>
      <c r="AM281" s="37"/>
      <c r="AN281" s="37"/>
      <c r="AO281" s="37"/>
      <c r="AP281" s="37"/>
      <c r="AQ281" s="37"/>
      <c r="AR281" s="37"/>
      <c r="AS281" s="37"/>
      <c r="AT281" s="37"/>
      <c r="AU281" s="37"/>
    </row>
    <row r="282">
      <c r="A282" s="1" t="s">
        <v>1603</v>
      </c>
      <c r="B282" s="1" t="s">
        <v>1603</v>
      </c>
      <c r="C282" s="1" t="s">
        <v>61</v>
      </c>
      <c r="D282" s="1" t="s">
        <v>301</v>
      </c>
      <c r="E282" s="1" t="s">
        <v>147</v>
      </c>
      <c r="F282" s="1" t="s">
        <v>61</v>
      </c>
      <c r="G282" s="1">
        <v>245.0</v>
      </c>
      <c r="K282" s="17">
        <f t="shared" si="1"/>
        <v>1</v>
      </c>
      <c r="L282" s="17">
        <f>IF(COUNTIF(Sheet14!A:A, A282)&gt;0, 1, 0)</f>
        <v>0</v>
      </c>
      <c r="M282" s="17">
        <f t="shared" ref="M282:M283" si="33">if(L282=1,G282*2,G282)</f>
        <v>245</v>
      </c>
    </row>
    <row r="283">
      <c r="A283" s="1" t="s">
        <v>1604</v>
      </c>
      <c r="B283" s="1" t="s">
        <v>1604</v>
      </c>
      <c r="C283" s="1" t="s">
        <v>61</v>
      </c>
      <c r="D283" s="1" t="s">
        <v>1376</v>
      </c>
      <c r="E283" s="1" t="s">
        <v>147</v>
      </c>
      <c r="F283" s="1" t="s">
        <v>61</v>
      </c>
      <c r="G283" s="1">
        <v>2040.0</v>
      </c>
      <c r="K283" s="17">
        <f t="shared" si="1"/>
        <v>1</v>
      </c>
      <c r="L283" s="17">
        <f>IF(COUNTIF(Sheet14!A:A, A283)&gt;0, 1, 0)</f>
        <v>0</v>
      </c>
      <c r="M283" s="17">
        <f t="shared" si="33"/>
        <v>2040</v>
      </c>
    </row>
    <row r="284" hidden="1">
      <c r="A284" s="35" t="s">
        <v>1605</v>
      </c>
      <c r="B284" s="35" t="s">
        <v>1606</v>
      </c>
      <c r="C284" s="35" t="s">
        <v>61</v>
      </c>
      <c r="D284" s="35" t="s">
        <v>1607</v>
      </c>
      <c r="E284" s="35" t="s">
        <v>91</v>
      </c>
      <c r="F284" s="35" t="s">
        <v>61</v>
      </c>
      <c r="G284" s="35">
        <v>0.0</v>
      </c>
      <c r="H284" s="35"/>
      <c r="I284" s="35" t="s">
        <v>1608</v>
      </c>
      <c r="J284" s="37"/>
      <c r="K284" s="17">
        <f t="shared" si="1"/>
        <v>0</v>
      </c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  <c r="AI284" s="37"/>
      <c r="AJ284" s="37"/>
      <c r="AK284" s="37"/>
      <c r="AL284" s="37"/>
      <c r="AM284" s="37"/>
      <c r="AN284" s="37"/>
      <c r="AO284" s="37"/>
      <c r="AP284" s="37"/>
      <c r="AQ284" s="37"/>
      <c r="AR284" s="37"/>
      <c r="AS284" s="37"/>
      <c r="AT284" s="37"/>
      <c r="AU284" s="37"/>
    </row>
    <row r="285">
      <c r="A285" s="1" t="s">
        <v>1609</v>
      </c>
      <c r="B285" s="1" t="s">
        <v>1609</v>
      </c>
      <c r="C285" s="1" t="s">
        <v>61</v>
      </c>
      <c r="F285" s="1" t="s">
        <v>61</v>
      </c>
      <c r="G285" s="1">
        <v>7579.0</v>
      </c>
      <c r="K285" s="17">
        <f t="shared" si="1"/>
        <v>1</v>
      </c>
      <c r="L285" s="17">
        <f>IF(COUNTIF(Sheet14!A:A, A285)&gt;0, 1, 0)</f>
        <v>0</v>
      </c>
      <c r="M285" s="17">
        <f t="shared" ref="M285:M293" si="34">if(L285=1,G285*2,G285)</f>
        <v>7579</v>
      </c>
    </row>
    <row r="286">
      <c r="A286" s="1" t="s">
        <v>1610</v>
      </c>
      <c r="B286" s="1" t="s">
        <v>1611</v>
      </c>
      <c r="C286" s="1" t="s">
        <v>61</v>
      </c>
      <c r="D286" s="1" t="s">
        <v>1376</v>
      </c>
      <c r="E286" s="1" t="s">
        <v>1612</v>
      </c>
      <c r="F286" s="1" t="s">
        <v>61</v>
      </c>
      <c r="G286" s="7">
        <v>33455.0</v>
      </c>
      <c r="K286" s="17">
        <f t="shared" si="1"/>
        <v>1</v>
      </c>
      <c r="L286" s="17">
        <f>IF(COUNTIF(Sheet14!A:A, A286)&gt;0, 1, 0)</f>
        <v>0</v>
      </c>
      <c r="M286" s="17">
        <f t="shared" si="34"/>
        <v>33455</v>
      </c>
    </row>
    <row r="287" ht="16.5" customHeight="1">
      <c r="A287" s="1" t="s">
        <v>1613</v>
      </c>
      <c r="B287" s="1" t="s">
        <v>1613</v>
      </c>
      <c r="C287" s="1" t="s">
        <v>61</v>
      </c>
      <c r="E287" s="1" t="s">
        <v>1581</v>
      </c>
      <c r="F287" s="1" t="s">
        <v>61</v>
      </c>
      <c r="G287" s="1">
        <v>3408.0</v>
      </c>
      <c r="K287" s="17">
        <f t="shared" si="1"/>
        <v>1</v>
      </c>
      <c r="L287" s="17">
        <f>IF(COUNTIF(Sheet14!A:A, A287)&gt;0, 1, 0)</f>
        <v>0</v>
      </c>
      <c r="M287" s="17">
        <f t="shared" si="34"/>
        <v>3408</v>
      </c>
    </row>
    <row r="288">
      <c r="A288" s="1" t="s">
        <v>1614</v>
      </c>
      <c r="B288" s="1" t="s">
        <v>1615</v>
      </c>
      <c r="C288" s="1" t="s">
        <v>61</v>
      </c>
      <c r="D288" s="1" t="s">
        <v>1616</v>
      </c>
      <c r="E288" s="1" t="s">
        <v>1617</v>
      </c>
      <c r="F288" s="1" t="s">
        <v>61</v>
      </c>
      <c r="G288" s="1">
        <v>3152.0</v>
      </c>
      <c r="K288" s="17">
        <f t="shared" si="1"/>
        <v>1</v>
      </c>
      <c r="L288" s="17">
        <f>IF(COUNTIF(Sheet14!A:A, A288)&gt;0, 1, 0)</f>
        <v>0</v>
      </c>
      <c r="M288" s="17">
        <f t="shared" si="34"/>
        <v>3152</v>
      </c>
    </row>
    <row r="289">
      <c r="A289" s="1" t="s">
        <v>1618</v>
      </c>
      <c r="B289" s="1" t="s">
        <v>1618</v>
      </c>
      <c r="C289" s="1" t="s">
        <v>61</v>
      </c>
      <c r="E289" s="1" t="s">
        <v>91</v>
      </c>
      <c r="F289" s="1" t="s">
        <v>61</v>
      </c>
      <c r="G289" s="1">
        <v>201308.0</v>
      </c>
      <c r="I289" s="1"/>
      <c r="K289" s="17">
        <f t="shared" si="1"/>
        <v>1</v>
      </c>
      <c r="L289" s="17">
        <f>IF(COUNTIF(Sheet14!A:A, A289)&gt;0, 1, 0)</f>
        <v>0</v>
      </c>
      <c r="M289" s="17">
        <f t="shared" si="34"/>
        <v>201308</v>
      </c>
    </row>
    <row r="290">
      <c r="A290" s="1" t="s">
        <v>1619</v>
      </c>
      <c r="B290" s="1" t="s">
        <v>1619</v>
      </c>
      <c r="C290" s="1" t="s">
        <v>61</v>
      </c>
      <c r="E290" s="1" t="s">
        <v>91</v>
      </c>
      <c r="F290" s="1" t="s">
        <v>61</v>
      </c>
      <c r="G290" s="1">
        <v>42590.0</v>
      </c>
      <c r="K290" s="17">
        <f t="shared" si="1"/>
        <v>1</v>
      </c>
      <c r="L290" s="17">
        <f>IF(COUNTIF(Sheet14!A:A, A290)&gt;0, 1, 0)</f>
        <v>0</v>
      </c>
      <c r="M290" s="17">
        <f t="shared" si="34"/>
        <v>42590</v>
      </c>
    </row>
    <row r="291">
      <c r="A291" s="1" t="s">
        <v>1620</v>
      </c>
      <c r="B291" s="1" t="s">
        <v>1620</v>
      </c>
      <c r="C291" s="1" t="s">
        <v>61</v>
      </c>
      <c r="D291" s="1" t="s">
        <v>280</v>
      </c>
      <c r="E291" s="1" t="s">
        <v>147</v>
      </c>
      <c r="F291" s="1" t="s">
        <v>61</v>
      </c>
      <c r="G291" s="1">
        <v>9328.0</v>
      </c>
      <c r="K291" s="17">
        <f t="shared" si="1"/>
        <v>1</v>
      </c>
      <c r="L291" s="17">
        <f>IF(COUNTIF(Sheet14!A:A, A291)&gt;0, 1, 0)</f>
        <v>0</v>
      </c>
      <c r="M291" s="17">
        <f t="shared" si="34"/>
        <v>9328</v>
      </c>
    </row>
    <row r="292">
      <c r="A292" s="46" t="s">
        <v>1350</v>
      </c>
      <c r="B292" s="46" t="s">
        <v>1350</v>
      </c>
      <c r="C292" s="46" t="s">
        <v>977</v>
      </c>
      <c r="D292" s="46" t="s">
        <v>1621</v>
      </c>
      <c r="E292" s="46" t="s">
        <v>31</v>
      </c>
      <c r="F292" s="46" t="s">
        <v>31</v>
      </c>
      <c r="G292" s="46">
        <v>3156.0</v>
      </c>
      <c r="H292" s="47"/>
      <c r="I292" s="46"/>
      <c r="J292" s="47"/>
      <c r="K292" s="47">
        <f t="shared" si="1"/>
        <v>1</v>
      </c>
      <c r="L292" s="17">
        <f>IF(COUNTIF(Sheet14!A:A, A292)&gt;0, 1, 0)</f>
        <v>1</v>
      </c>
      <c r="M292" s="17">
        <f t="shared" si="34"/>
        <v>6312</v>
      </c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  <c r="AG292" s="47"/>
      <c r="AH292" s="47"/>
      <c r="AI292" s="47"/>
      <c r="AJ292" s="47"/>
      <c r="AK292" s="47"/>
      <c r="AL292" s="47"/>
      <c r="AM292" s="47"/>
      <c r="AN292" s="47"/>
      <c r="AO292" s="47"/>
      <c r="AP292" s="47"/>
      <c r="AQ292" s="47"/>
      <c r="AR292" s="47"/>
      <c r="AS292" s="47"/>
      <c r="AT292" s="47"/>
      <c r="AU292" s="47"/>
    </row>
    <row r="293">
      <c r="A293" s="1" t="s">
        <v>1301</v>
      </c>
      <c r="B293" s="1" t="s">
        <v>1622</v>
      </c>
      <c r="C293" s="1" t="s">
        <v>977</v>
      </c>
      <c r="D293" s="1" t="s">
        <v>301</v>
      </c>
      <c r="E293" s="1" t="s">
        <v>31</v>
      </c>
      <c r="F293" s="1" t="s">
        <v>31</v>
      </c>
      <c r="G293" s="1">
        <v>860.0</v>
      </c>
      <c r="K293" s="17">
        <f t="shared" si="1"/>
        <v>1</v>
      </c>
      <c r="L293" s="17">
        <f>IF(COUNTIF(Sheet14!A:A, A293)&gt;0, 1, 0)</f>
        <v>1</v>
      </c>
      <c r="M293" s="17">
        <f t="shared" si="34"/>
        <v>1720</v>
      </c>
    </row>
    <row r="294" hidden="1">
      <c r="A294" s="35" t="s">
        <v>1623</v>
      </c>
      <c r="B294" s="35" t="s">
        <v>1624</v>
      </c>
      <c r="C294" s="35" t="s">
        <v>977</v>
      </c>
      <c r="D294" s="37"/>
      <c r="E294" s="35" t="s">
        <v>75</v>
      </c>
      <c r="F294" s="35" t="s">
        <v>81</v>
      </c>
      <c r="G294" s="35">
        <v>0.0</v>
      </c>
      <c r="H294" s="37"/>
      <c r="I294" s="35" t="s">
        <v>1625</v>
      </c>
      <c r="J294" s="37"/>
      <c r="K294" s="17">
        <f t="shared" si="1"/>
        <v>0</v>
      </c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  <c r="AI294" s="37"/>
      <c r="AJ294" s="37"/>
      <c r="AK294" s="37"/>
      <c r="AL294" s="37"/>
      <c r="AM294" s="37"/>
      <c r="AN294" s="37"/>
      <c r="AO294" s="37"/>
      <c r="AP294" s="37"/>
      <c r="AQ294" s="37"/>
      <c r="AR294" s="37"/>
      <c r="AS294" s="37"/>
      <c r="AT294" s="37"/>
      <c r="AU294" s="37"/>
    </row>
    <row r="295" ht="15.0" customHeight="1">
      <c r="A295" s="1" t="s">
        <v>1187</v>
      </c>
      <c r="B295" s="1" t="s">
        <v>1187</v>
      </c>
      <c r="C295" s="1" t="s">
        <v>977</v>
      </c>
      <c r="D295" s="1" t="s">
        <v>1587</v>
      </c>
      <c r="E295" s="1" t="s">
        <v>31</v>
      </c>
      <c r="F295" s="1" t="s">
        <v>31</v>
      </c>
      <c r="G295" s="1">
        <v>41377.0</v>
      </c>
      <c r="I295" s="1"/>
      <c r="K295" s="17">
        <f t="shared" si="1"/>
        <v>1</v>
      </c>
      <c r="L295" s="17">
        <f>IF(COUNTIF(Sheet14!A:A, A295)&gt;0, 1, 0)</f>
        <v>1</v>
      </c>
      <c r="M295" s="17">
        <f t="shared" ref="M295:M298" si="35">if(L295=1,G295*2,G295)</f>
        <v>82754</v>
      </c>
    </row>
    <row r="296">
      <c r="A296" s="1" t="s">
        <v>1190</v>
      </c>
      <c r="B296" s="1" t="s">
        <v>1190</v>
      </c>
      <c r="C296" s="1" t="s">
        <v>977</v>
      </c>
      <c r="D296" s="1" t="s">
        <v>1621</v>
      </c>
      <c r="E296" s="1" t="s">
        <v>31</v>
      </c>
      <c r="F296" s="1" t="s">
        <v>31</v>
      </c>
      <c r="G296" s="1">
        <v>20904.0</v>
      </c>
      <c r="K296" s="17">
        <f t="shared" si="1"/>
        <v>1</v>
      </c>
      <c r="L296" s="17">
        <f>IF(COUNTIF(Sheet14!A:A, A296)&gt;0, 1, 0)</f>
        <v>1</v>
      </c>
      <c r="M296" s="17">
        <f t="shared" si="35"/>
        <v>41808</v>
      </c>
    </row>
    <row r="297">
      <c r="A297" s="1" t="s">
        <v>1317</v>
      </c>
      <c r="B297" s="1" t="s">
        <v>1317</v>
      </c>
      <c r="C297" s="1" t="s">
        <v>977</v>
      </c>
      <c r="D297" s="1" t="s">
        <v>1621</v>
      </c>
      <c r="E297" s="1" t="s">
        <v>31</v>
      </c>
      <c r="F297" s="1" t="s">
        <v>31</v>
      </c>
      <c r="G297" s="1">
        <v>214369.0</v>
      </c>
      <c r="K297" s="17">
        <f t="shared" si="1"/>
        <v>1</v>
      </c>
      <c r="L297" s="17">
        <f>IF(COUNTIF(Sheet14!A:A, A297)&gt;0, 1, 0)</f>
        <v>1</v>
      </c>
      <c r="M297" s="17">
        <f t="shared" si="35"/>
        <v>428738</v>
      </c>
    </row>
    <row r="298">
      <c r="A298" s="1" t="s">
        <v>1244</v>
      </c>
      <c r="B298" s="1" t="s">
        <v>1633</v>
      </c>
      <c r="C298" s="1" t="s">
        <v>977</v>
      </c>
      <c r="D298" s="1" t="s">
        <v>1634</v>
      </c>
      <c r="E298" s="1" t="s">
        <v>17</v>
      </c>
      <c r="F298" s="1" t="s">
        <v>17</v>
      </c>
      <c r="G298" s="1">
        <v>29107.0</v>
      </c>
      <c r="I298" s="1"/>
      <c r="K298" s="17">
        <f t="shared" si="1"/>
        <v>1</v>
      </c>
      <c r="L298" s="17">
        <f>IF(COUNTIF(Sheet14!A:A, A298)&gt;0, 1, 0)</f>
        <v>1</v>
      </c>
      <c r="M298" s="17">
        <f t="shared" si="35"/>
        <v>58214</v>
      </c>
    </row>
    <row r="299" hidden="1">
      <c r="A299" s="35" t="s">
        <v>1635</v>
      </c>
      <c r="B299" s="35" t="s">
        <v>1635</v>
      </c>
      <c r="C299" s="35" t="s">
        <v>977</v>
      </c>
      <c r="D299" s="35" t="s">
        <v>1405</v>
      </c>
      <c r="E299" s="35" t="s">
        <v>54</v>
      </c>
      <c r="F299" s="35" t="s">
        <v>54</v>
      </c>
      <c r="G299" s="35">
        <v>0.0</v>
      </c>
      <c r="H299" s="37"/>
      <c r="I299" s="35" t="s">
        <v>1636</v>
      </c>
      <c r="J299" s="37"/>
      <c r="K299" s="17">
        <f t="shared" si="1"/>
        <v>0</v>
      </c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  <c r="AH299" s="37"/>
      <c r="AI299" s="37"/>
      <c r="AJ299" s="37"/>
      <c r="AK299" s="37"/>
      <c r="AL299" s="37"/>
      <c r="AM299" s="37"/>
      <c r="AN299" s="37"/>
      <c r="AO299" s="37"/>
      <c r="AP299" s="37"/>
      <c r="AQ299" s="37"/>
      <c r="AR299" s="37"/>
      <c r="AS299" s="37"/>
      <c r="AT299" s="37"/>
      <c r="AU299" s="37"/>
    </row>
    <row r="300">
      <c r="A300" s="1" t="s">
        <v>1648</v>
      </c>
      <c r="B300" s="1" t="s">
        <v>1649</v>
      </c>
      <c r="C300" s="1" t="s">
        <v>977</v>
      </c>
      <c r="D300" s="1" t="s">
        <v>1405</v>
      </c>
      <c r="E300" s="1" t="s">
        <v>31</v>
      </c>
      <c r="F300" s="1" t="s">
        <v>31</v>
      </c>
      <c r="G300" s="1">
        <v>712919.0</v>
      </c>
      <c r="K300" s="17">
        <f t="shared" si="1"/>
        <v>1</v>
      </c>
      <c r="L300" s="17">
        <f>IF(COUNTIF(Sheet14!A:A, A300)&gt;0, 1, 0)</f>
        <v>0</v>
      </c>
      <c r="M300" s="17">
        <f t="shared" ref="M300:M302" si="36">if(L300=1,G300*2,G300)</f>
        <v>712919</v>
      </c>
    </row>
    <row r="301">
      <c r="A301" s="46" t="s">
        <v>1412</v>
      </c>
      <c r="B301" s="46" t="s">
        <v>1412</v>
      </c>
      <c r="C301" s="46" t="s">
        <v>977</v>
      </c>
      <c r="D301" s="46" t="s">
        <v>1405</v>
      </c>
      <c r="E301" s="46" t="s">
        <v>31</v>
      </c>
      <c r="F301" s="46" t="s">
        <v>31</v>
      </c>
      <c r="G301" s="46">
        <v>23249.0</v>
      </c>
      <c r="H301" s="47"/>
      <c r="I301" s="46"/>
      <c r="J301" s="47"/>
      <c r="K301" s="17">
        <f t="shared" si="1"/>
        <v>1</v>
      </c>
      <c r="L301" s="17">
        <f>IF(COUNTIF(Sheet14!A:A, A301)&gt;0, 1, 0)</f>
        <v>1</v>
      </c>
      <c r="M301" s="17">
        <f t="shared" si="36"/>
        <v>46498</v>
      </c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  <c r="AD301" s="47"/>
      <c r="AE301" s="47"/>
      <c r="AF301" s="47"/>
      <c r="AG301" s="47"/>
      <c r="AH301" s="47"/>
      <c r="AI301" s="47"/>
      <c r="AJ301" s="47"/>
      <c r="AK301" s="47"/>
      <c r="AL301" s="47"/>
      <c r="AM301" s="47"/>
      <c r="AN301" s="47"/>
      <c r="AO301" s="47"/>
      <c r="AP301" s="47"/>
      <c r="AQ301" s="47"/>
      <c r="AR301" s="47"/>
      <c r="AS301" s="47"/>
      <c r="AT301" s="47"/>
      <c r="AU301" s="47"/>
    </row>
    <row r="302">
      <c r="A302" s="1" t="s">
        <v>1119</v>
      </c>
      <c r="B302" s="1" t="s">
        <v>1665</v>
      </c>
      <c r="C302" s="1" t="s">
        <v>120</v>
      </c>
      <c r="D302" s="1" t="s">
        <v>120</v>
      </c>
      <c r="E302" s="1" t="s">
        <v>31</v>
      </c>
      <c r="F302" s="1" t="s">
        <v>31</v>
      </c>
      <c r="G302" s="1">
        <v>26381.0</v>
      </c>
      <c r="I302" s="1"/>
      <c r="J302" s="1"/>
      <c r="K302" s="17">
        <f t="shared" si="1"/>
        <v>1</v>
      </c>
      <c r="L302" s="17">
        <f>IF(COUNTIF(Sheet14!A:A, A302)&gt;0, 1, 0)</f>
        <v>1</v>
      </c>
      <c r="M302" s="17">
        <f t="shared" si="36"/>
        <v>52762</v>
      </c>
    </row>
    <row r="303" hidden="1">
      <c r="A303" s="35" t="s">
        <v>1669</v>
      </c>
      <c r="B303" s="35" t="s">
        <v>1670</v>
      </c>
      <c r="C303" s="35" t="s">
        <v>120</v>
      </c>
      <c r="D303" s="35" t="s">
        <v>1671</v>
      </c>
      <c r="E303" s="35" t="s">
        <v>147</v>
      </c>
      <c r="F303" s="35" t="s">
        <v>61</v>
      </c>
      <c r="G303" s="35">
        <v>0.0</v>
      </c>
      <c r="H303" s="37"/>
      <c r="I303" s="35" t="s">
        <v>1672</v>
      </c>
      <c r="J303" s="37"/>
      <c r="K303" s="37">
        <f t="shared" si="1"/>
        <v>0</v>
      </c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37"/>
      <c r="AH303" s="37"/>
      <c r="AI303" s="37"/>
      <c r="AJ303" s="37"/>
      <c r="AK303" s="37"/>
      <c r="AL303" s="37"/>
      <c r="AM303" s="37"/>
      <c r="AN303" s="37"/>
      <c r="AO303" s="37"/>
      <c r="AP303" s="37"/>
      <c r="AQ303" s="37"/>
      <c r="AR303" s="37"/>
      <c r="AS303" s="37"/>
      <c r="AT303" s="37"/>
      <c r="AU303" s="37"/>
    </row>
    <row r="304" hidden="1">
      <c r="A304" s="35" t="s">
        <v>1669</v>
      </c>
      <c r="B304" s="35" t="s">
        <v>1680</v>
      </c>
      <c r="C304" s="35" t="s">
        <v>120</v>
      </c>
      <c r="D304" s="35" t="s">
        <v>1671</v>
      </c>
      <c r="E304" s="35" t="s">
        <v>147</v>
      </c>
      <c r="F304" s="35" t="s">
        <v>61</v>
      </c>
      <c r="G304" s="35">
        <v>0.0</v>
      </c>
      <c r="H304" s="37"/>
      <c r="I304" s="35" t="s">
        <v>1672</v>
      </c>
      <c r="J304" s="37"/>
      <c r="K304" s="37">
        <f t="shared" si="1"/>
        <v>0</v>
      </c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  <c r="AI304" s="37"/>
      <c r="AJ304" s="37"/>
      <c r="AK304" s="37"/>
      <c r="AL304" s="37"/>
      <c r="AM304" s="37"/>
      <c r="AN304" s="37"/>
      <c r="AO304" s="37"/>
      <c r="AP304" s="37"/>
      <c r="AQ304" s="37"/>
      <c r="AR304" s="37"/>
      <c r="AS304" s="37"/>
      <c r="AT304" s="37"/>
      <c r="AU304" s="37"/>
    </row>
    <row r="305" hidden="1">
      <c r="A305" s="35" t="s">
        <v>1685</v>
      </c>
      <c r="B305" s="35" t="s">
        <v>1686</v>
      </c>
      <c r="C305" s="37"/>
      <c r="D305" s="37"/>
      <c r="E305" s="37"/>
      <c r="F305" s="37"/>
      <c r="G305" s="35"/>
      <c r="H305" s="37"/>
      <c r="I305" s="35" t="s">
        <v>1688</v>
      </c>
      <c r="J305" s="37"/>
      <c r="K305" s="17">
        <f t="shared" si="1"/>
        <v>0</v>
      </c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  <c r="AH305" s="37"/>
      <c r="AI305" s="37"/>
      <c r="AJ305" s="37"/>
      <c r="AK305" s="37"/>
      <c r="AL305" s="37"/>
      <c r="AM305" s="37"/>
      <c r="AN305" s="37"/>
      <c r="AO305" s="37"/>
      <c r="AP305" s="37"/>
      <c r="AQ305" s="37"/>
      <c r="AR305" s="37"/>
      <c r="AS305" s="37"/>
      <c r="AT305" s="37"/>
      <c r="AU305" s="37"/>
    </row>
    <row r="306">
      <c r="A306" s="46" t="s">
        <v>1166</v>
      </c>
      <c r="B306" s="46" t="s">
        <v>1166</v>
      </c>
      <c r="C306" s="46" t="s">
        <v>246</v>
      </c>
      <c r="D306" s="46" t="s">
        <v>246</v>
      </c>
      <c r="E306" s="46" t="s">
        <v>1441</v>
      </c>
      <c r="F306" s="46" t="s">
        <v>17</v>
      </c>
      <c r="G306" s="46">
        <v>21711.0</v>
      </c>
      <c r="H306" s="47"/>
      <c r="I306" s="47"/>
      <c r="J306" s="47"/>
      <c r="K306" s="17">
        <f t="shared" si="1"/>
        <v>1</v>
      </c>
      <c r="L306" s="17">
        <f>IF(COUNTIF(Sheet14!A:A, A306)&gt;0, 1, 0)</f>
        <v>1</v>
      </c>
      <c r="M306" s="17">
        <f t="shared" ref="M306:M312" si="37">if(L306=1,G306*2,G306)</f>
        <v>43422</v>
      </c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  <c r="AD306" s="47"/>
      <c r="AE306" s="47"/>
      <c r="AF306" s="47"/>
      <c r="AG306" s="47"/>
      <c r="AH306" s="47"/>
      <c r="AI306" s="47"/>
      <c r="AJ306" s="47"/>
      <c r="AK306" s="47"/>
      <c r="AL306" s="47"/>
      <c r="AM306" s="47"/>
      <c r="AN306" s="47"/>
      <c r="AO306" s="47"/>
      <c r="AP306" s="47"/>
      <c r="AQ306" s="47"/>
      <c r="AR306" s="47"/>
      <c r="AS306" s="47"/>
      <c r="AT306" s="47"/>
      <c r="AU306" s="47"/>
    </row>
    <row r="307">
      <c r="A307" s="65" t="s">
        <v>1192</v>
      </c>
      <c r="B307" s="65" t="s">
        <v>1192</v>
      </c>
      <c r="C307" s="65" t="s">
        <v>246</v>
      </c>
      <c r="D307" s="65" t="s">
        <v>246</v>
      </c>
      <c r="E307" s="65" t="s">
        <v>1705</v>
      </c>
      <c r="F307" s="65" t="s">
        <v>17</v>
      </c>
      <c r="G307" s="65">
        <v>30030.0</v>
      </c>
      <c r="H307" s="66"/>
      <c r="I307" s="66"/>
      <c r="J307" s="66"/>
      <c r="K307" s="17">
        <f t="shared" si="1"/>
        <v>1</v>
      </c>
      <c r="L307" s="17">
        <f>IF(COUNTIF(Sheet14!A:A, A307)&gt;0, 1, 0)</f>
        <v>1</v>
      </c>
      <c r="M307" s="17">
        <f t="shared" si="37"/>
        <v>60060</v>
      </c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  <c r="AD307" s="66"/>
      <c r="AE307" s="66"/>
      <c r="AF307" s="66"/>
      <c r="AG307" s="66"/>
      <c r="AH307" s="66"/>
      <c r="AI307" s="66"/>
      <c r="AJ307" s="66"/>
      <c r="AK307" s="66"/>
      <c r="AL307" s="66"/>
      <c r="AM307" s="66"/>
      <c r="AN307" s="66"/>
      <c r="AO307" s="66"/>
      <c r="AP307" s="66"/>
      <c r="AQ307" s="66"/>
      <c r="AR307" s="66"/>
      <c r="AS307" s="66"/>
      <c r="AT307" s="66"/>
      <c r="AU307" s="66"/>
    </row>
    <row r="308">
      <c r="A308" s="1" t="s">
        <v>1213</v>
      </c>
      <c r="B308" s="1" t="s">
        <v>1710</v>
      </c>
      <c r="C308" s="1" t="s">
        <v>246</v>
      </c>
      <c r="D308" s="1" t="s">
        <v>246</v>
      </c>
      <c r="E308" s="1" t="s">
        <v>1711</v>
      </c>
      <c r="F308" s="1" t="s">
        <v>17</v>
      </c>
      <c r="G308" s="1">
        <v>145.0</v>
      </c>
      <c r="K308" s="17">
        <f t="shared" si="1"/>
        <v>1</v>
      </c>
      <c r="L308" s="17">
        <f>IF(COUNTIF(Sheet14!A:A, A308)&gt;0, 1, 0)</f>
        <v>1</v>
      </c>
      <c r="M308" s="17">
        <f t="shared" si="37"/>
        <v>290</v>
      </c>
    </row>
    <row r="309">
      <c r="A309" s="1" t="s">
        <v>1713</v>
      </c>
      <c r="B309" s="1" t="s">
        <v>1715</v>
      </c>
      <c r="C309" s="1" t="s">
        <v>301</v>
      </c>
      <c r="D309" s="1" t="s">
        <v>603</v>
      </c>
      <c r="E309" s="1" t="s">
        <v>31</v>
      </c>
      <c r="F309" s="1" t="s">
        <v>31</v>
      </c>
      <c r="G309" s="1">
        <v>3986.0</v>
      </c>
      <c r="K309" s="17">
        <f t="shared" si="1"/>
        <v>1</v>
      </c>
      <c r="L309" s="17">
        <f>IF(COUNTIF(Sheet14!A:A, A309)&gt;0, 1, 0)</f>
        <v>0</v>
      </c>
      <c r="M309" s="17">
        <f t="shared" si="37"/>
        <v>3986</v>
      </c>
    </row>
    <row r="310">
      <c r="A310" s="1" t="s">
        <v>1718</v>
      </c>
      <c r="B310" s="1" t="s">
        <v>1718</v>
      </c>
      <c r="C310" s="1" t="s">
        <v>744</v>
      </c>
      <c r="D310" s="1" t="s">
        <v>941</v>
      </c>
      <c r="E310" s="1" t="s">
        <v>1719</v>
      </c>
      <c r="F310" s="1" t="s">
        <v>54</v>
      </c>
      <c r="G310" s="1">
        <v>982044.0</v>
      </c>
      <c r="K310" s="17">
        <f t="shared" si="1"/>
        <v>1</v>
      </c>
      <c r="L310" s="17">
        <f>IF(COUNTIF(Sheet14!A:A, A310)&gt;0, 1, 0)</f>
        <v>0</v>
      </c>
      <c r="M310" s="17">
        <f t="shared" si="37"/>
        <v>982044</v>
      </c>
    </row>
    <row r="311">
      <c r="A311" s="1" t="s">
        <v>1254</v>
      </c>
      <c r="B311" s="1" t="s">
        <v>1254</v>
      </c>
      <c r="C311" s="1" t="s">
        <v>301</v>
      </c>
      <c r="D311" s="1" t="s">
        <v>301</v>
      </c>
      <c r="E311" s="1" t="s">
        <v>54</v>
      </c>
      <c r="F311" s="1" t="s">
        <v>54</v>
      </c>
      <c r="G311" s="1">
        <v>4247469.0</v>
      </c>
      <c r="K311" s="17">
        <f t="shared" si="1"/>
        <v>1</v>
      </c>
      <c r="L311" s="17">
        <f>IF(COUNTIF(Sheet14!A:A, A311)&gt;0, 1, 0)</f>
        <v>1</v>
      </c>
      <c r="M311" s="17">
        <f t="shared" si="37"/>
        <v>8494938</v>
      </c>
    </row>
    <row r="312">
      <c r="A312" s="1" t="s">
        <v>1721</v>
      </c>
      <c r="B312" s="1" t="s">
        <v>1722</v>
      </c>
      <c r="C312" s="1" t="s">
        <v>246</v>
      </c>
      <c r="D312" s="1" t="s">
        <v>644</v>
      </c>
      <c r="E312" s="1" t="s">
        <v>54</v>
      </c>
      <c r="F312" s="1" t="s">
        <v>54</v>
      </c>
      <c r="G312" s="1">
        <v>14156.0</v>
      </c>
      <c r="K312" s="17">
        <f t="shared" si="1"/>
        <v>1</v>
      </c>
      <c r="L312" s="17">
        <f>IF(COUNTIF(Sheet14!A:A, A312)&gt;0, 1, 0)</f>
        <v>0</v>
      </c>
      <c r="M312" s="17">
        <f t="shared" si="37"/>
        <v>14156</v>
      </c>
    </row>
    <row r="313" hidden="1">
      <c r="A313" s="35" t="s">
        <v>1723</v>
      </c>
      <c r="B313" s="37"/>
      <c r="C313" s="37"/>
      <c r="D313" s="37"/>
      <c r="E313" s="37"/>
      <c r="F313" s="37"/>
      <c r="G313" s="35"/>
      <c r="H313" s="37"/>
      <c r="I313" s="35" t="s">
        <v>1631</v>
      </c>
      <c r="J313" s="37"/>
      <c r="K313" s="37">
        <f t="shared" si="1"/>
        <v>0</v>
      </c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37"/>
      <c r="AH313" s="37"/>
      <c r="AI313" s="37"/>
      <c r="AJ313" s="37"/>
      <c r="AK313" s="37"/>
      <c r="AL313" s="37"/>
      <c r="AM313" s="37"/>
      <c r="AN313" s="37"/>
      <c r="AO313" s="37"/>
      <c r="AP313" s="37"/>
      <c r="AQ313" s="37"/>
      <c r="AR313" s="37"/>
      <c r="AS313" s="37"/>
      <c r="AT313" s="37"/>
      <c r="AU313" s="37"/>
    </row>
    <row r="314" hidden="1">
      <c r="A314" s="35" t="s">
        <v>1724</v>
      </c>
      <c r="B314" s="37"/>
      <c r="C314" s="37"/>
      <c r="D314" s="37"/>
      <c r="E314" s="37"/>
      <c r="F314" s="37"/>
      <c r="G314" s="35">
        <v>0.0</v>
      </c>
      <c r="H314" s="37"/>
      <c r="I314" s="35" t="s">
        <v>1029</v>
      </c>
      <c r="J314" s="37"/>
      <c r="K314" s="37">
        <f t="shared" si="1"/>
        <v>0</v>
      </c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  <c r="AH314" s="37"/>
      <c r="AI314" s="37"/>
      <c r="AJ314" s="37"/>
      <c r="AK314" s="37"/>
      <c r="AL314" s="37"/>
      <c r="AM314" s="37"/>
      <c r="AN314" s="37"/>
      <c r="AO314" s="37"/>
      <c r="AP314" s="37"/>
      <c r="AQ314" s="37"/>
      <c r="AR314" s="37"/>
      <c r="AS314" s="37"/>
      <c r="AT314" s="37"/>
      <c r="AU314" s="37"/>
    </row>
    <row r="315">
      <c r="A315" s="1" t="s">
        <v>1725</v>
      </c>
      <c r="B315" s="1" t="s">
        <v>1726</v>
      </c>
      <c r="C315" s="1" t="s">
        <v>246</v>
      </c>
      <c r="D315" s="1" t="s">
        <v>644</v>
      </c>
      <c r="E315" s="1" t="s">
        <v>54</v>
      </c>
      <c r="F315" s="1" t="s">
        <v>54</v>
      </c>
      <c r="G315" s="1">
        <v>480.0</v>
      </c>
      <c r="K315" s="17">
        <f t="shared" si="1"/>
        <v>1</v>
      </c>
      <c r="L315" s="17">
        <f>IF(COUNTIF(Sheet14!A:A, A315)&gt;0, 1, 0)</f>
        <v>0</v>
      </c>
      <c r="M315" s="17">
        <f>if(L315=1,G315*2,G315)</f>
        <v>480</v>
      </c>
    </row>
    <row r="316" hidden="1">
      <c r="A316" s="35" t="s">
        <v>1727</v>
      </c>
      <c r="B316" s="37"/>
      <c r="C316" s="37"/>
      <c r="D316" s="37"/>
      <c r="E316" s="37"/>
      <c r="F316" s="37"/>
      <c r="G316" s="35">
        <v>0.0</v>
      </c>
      <c r="H316" s="37"/>
      <c r="I316" s="35" t="s">
        <v>1631</v>
      </c>
      <c r="J316" s="37"/>
      <c r="K316" s="17">
        <f t="shared" si="1"/>
        <v>0</v>
      </c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  <c r="AH316" s="37"/>
      <c r="AI316" s="37"/>
      <c r="AJ316" s="37"/>
      <c r="AK316" s="37"/>
      <c r="AL316" s="37"/>
      <c r="AM316" s="37"/>
      <c r="AN316" s="37"/>
      <c r="AO316" s="37"/>
      <c r="AP316" s="37"/>
      <c r="AQ316" s="37"/>
      <c r="AR316" s="37"/>
      <c r="AS316" s="37"/>
      <c r="AT316" s="37"/>
      <c r="AU316" s="37"/>
    </row>
    <row r="317">
      <c r="A317" s="1" t="s">
        <v>1728</v>
      </c>
      <c r="E317" s="1" t="s">
        <v>147</v>
      </c>
      <c r="F317" s="1" t="s">
        <v>61</v>
      </c>
      <c r="G317" s="1">
        <v>5311.0</v>
      </c>
      <c r="K317" s="17">
        <f t="shared" si="1"/>
        <v>1</v>
      </c>
      <c r="L317" s="17">
        <f>IF(COUNTIF(Sheet14!A:A, A317)&gt;0, 1, 0)</f>
        <v>0</v>
      </c>
      <c r="M317" s="17">
        <f>if(L317=1,G317*2,G317)</f>
        <v>5311</v>
      </c>
    </row>
    <row r="318" hidden="1">
      <c r="A318" s="35" t="s">
        <v>1729</v>
      </c>
      <c r="B318" s="37"/>
      <c r="C318" s="37"/>
      <c r="D318" s="37"/>
      <c r="E318" s="37"/>
      <c r="F318" s="37"/>
      <c r="G318" s="35">
        <v>0.0</v>
      </c>
      <c r="H318" s="37"/>
      <c r="I318" s="35" t="s">
        <v>1730</v>
      </c>
      <c r="J318" s="37"/>
      <c r="K318" s="37">
        <f t="shared" si="1"/>
        <v>0</v>
      </c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37"/>
      <c r="AH318" s="37"/>
      <c r="AI318" s="37"/>
      <c r="AJ318" s="37"/>
      <c r="AK318" s="37"/>
      <c r="AL318" s="37"/>
      <c r="AM318" s="37"/>
      <c r="AN318" s="37"/>
      <c r="AO318" s="37"/>
      <c r="AP318" s="37"/>
      <c r="AQ318" s="37"/>
      <c r="AR318" s="37"/>
      <c r="AS318" s="37"/>
      <c r="AT318" s="37"/>
      <c r="AU318" s="37"/>
    </row>
    <row r="319">
      <c r="A319" s="1" t="s">
        <v>1732</v>
      </c>
      <c r="B319" s="1" t="s">
        <v>1733</v>
      </c>
      <c r="C319" s="1" t="s">
        <v>246</v>
      </c>
      <c r="D319" s="1" t="s">
        <v>657</v>
      </c>
      <c r="E319" s="1" t="s">
        <v>651</v>
      </c>
      <c r="F319" s="1" t="s">
        <v>100</v>
      </c>
      <c r="G319" s="1">
        <v>2308.0</v>
      </c>
      <c r="K319" s="17">
        <f t="shared" si="1"/>
        <v>1</v>
      </c>
      <c r="L319" s="17">
        <f>IF(COUNTIF(Sheet14!A:A, A319)&gt;0, 1, 0)</f>
        <v>0</v>
      </c>
      <c r="M319" s="17">
        <f t="shared" ref="M319:M325" si="38">if(L319=1,G319*2,G319)</f>
        <v>2308</v>
      </c>
    </row>
    <row r="320">
      <c r="A320" s="1" t="s">
        <v>1736</v>
      </c>
      <c r="B320" s="1" t="s">
        <v>1737</v>
      </c>
      <c r="C320" s="1" t="s">
        <v>301</v>
      </c>
      <c r="D320" s="1" t="s">
        <v>603</v>
      </c>
      <c r="E320" s="1" t="s">
        <v>633</v>
      </c>
      <c r="F320" s="1" t="s">
        <v>81</v>
      </c>
      <c r="G320" s="1">
        <v>800.0</v>
      </c>
      <c r="K320" s="17">
        <f t="shared" si="1"/>
        <v>1</v>
      </c>
      <c r="L320" s="17">
        <f>IF(COUNTIF(Sheet14!A:A, A320)&gt;0, 1, 0)</f>
        <v>0</v>
      </c>
      <c r="M320" s="17">
        <f t="shared" si="38"/>
        <v>800</v>
      </c>
    </row>
    <row r="321">
      <c r="A321" s="1" t="s">
        <v>1738</v>
      </c>
      <c r="B321" s="1" t="s">
        <v>1053</v>
      </c>
      <c r="C321" s="1" t="s">
        <v>301</v>
      </c>
      <c r="D321" s="1" t="s">
        <v>603</v>
      </c>
      <c r="E321" s="1" t="s">
        <v>31</v>
      </c>
      <c r="F321" s="1" t="s">
        <v>31</v>
      </c>
      <c r="G321" s="1">
        <v>1097.0</v>
      </c>
      <c r="K321" s="17">
        <f t="shared" si="1"/>
        <v>1</v>
      </c>
      <c r="L321" s="17">
        <f>IF(COUNTIF(Sheet14!A:A, A321)&gt;0, 1, 0)</f>
        <v>0</v>
      </c>
      <c r="M321" s="17">
        <f t="shared" si="38"/>
        <v>1097</v>
      </c>
    </row>
    <row r="322">
      <c r="A322" s="1" t="s">
        <v>1360</v>
      </c>
      <c r="F322" s="1" t="s">
        <v>17</v>
      </c>
      <c r="G322" s="1">
        <v>125705.0</v>
      </c>
      <c r="K322" s="17">
        <f t="shared" si="1"/>
        <v>1</v>
      </c>
      <c r="L322" s="17">
        <f>IF(COUNTIF(Sheet14!A:A, A322)&gt;0, 1, 0)</f>
        <v>1</v>
      </c>
      <c r="M322" s="17">
        <f t="shared" si="38"/>
        <v>251410</v>
      </c>
    </row>
    <row r="323">
      <c r="A323" s="1" t="s">
        <v>1163</v>
      </c>
      <c r="B323" s="1" t="s">
        <v>1163</v>
      </c>
      <c r="C323" s="1" t="s">
        <v>744</v>
      </c>
      <c r="D323" s="1" t="s">
        <v>941</v>
      </c>
      <c r="E323" s="1" t="s">
        <v>1739</v>
      </c>
      <c r="F323" s="1" t="s">
        <v>54</v>
      </c>
      <c r="G323" s="1">
        <v>798381.0</v>
      </c>
      <c r="K323" s="17">
        <f t="shared" si="1"/>
        <v>1</v>
      </c>
      <c r="L323" s="17">
        <f>IF(COUNTIF(Sheet14!A:A, A323)&gt;0, 1, 0)</f>
        <v>1</v>
      </c>
      <c r="M323" s="17">
        <f t="shared" si="38"/>
        <v>1596762</v>
      </c>
    </row>
    <row r="324">
      <c r="A324" s="1" t="s">
        <v>1740</v>
      </c>
      <c r="B324" s="1" t="s">
        <v>1740</v>
      </c>
      <c r="C324" s="1" t="s">
        <v>744</v>
      </c>
      <c r="D324" s="1" t="s">
        <v>941</v>
      </c>
      <c r="E324" s="1" t="s">
        <v>1719</v>
      </c>
      <c r="F324" s="1" t="s">
        <v>54</v>
      </c>
      <c r="G324" s="1">
        <v>399543.0</v>
      </c>
      <c r="K324" s="17">
        <f t="shared" si="1"/>
        <v>1</v>
      </c>
      <c r="L324" s="17">
        <f>IF(COUNTIF(Sheet14!A:A, A324)&gt;0, 1, 0)</f>
        <v>0</v>
      </c>
      <c r="M324" s="17">
        <f t="shared" si="38"/>
        <v>399543</v>
      </c>
    </row>
    <row r="325">
      <c r="A325" s="1" t="s">
        <v>1279</v>
      </c>
      <c r="B325" s="1" t="s">
        <v>1279</v>
      </c>
      <c r="C325" s="1" t="s">
        <v>246</v>
      </c>
      <c r="D325" s="1" t="s">
        <v>246</v>
      </c>
      <c r="E325" s="1" t="s">
        <v>1741</v>
      </c>
      <c r="F325" s="1" t="s">
        <v>17</v>
      </c>
      <c r="G325" s="1">
        <v>465788.0</v>
      </c>
      <c r="K325" s="17">
        <f t="shared" si="1"/>
        <v>1</v>
      </c>
      <c r="L325" s="17">
        <f>IF(COUNTIF(Sheet14!A:A, A325)&gt;0, 1, 0)</f>
        <v>1</v>
      </c>
      <c r="M325" s="17">
        <f t="shared" si="38"/>
        <v>931576</v>
      </c>
    </row>
    <row r="326" hidden="1">
      <c r="A326" s="35" t="s">
        <v>1742</v>
      </c>
      <c r="B326" s="35"/>
      <c r="C326" s="37"/>
      <c r="D326" s="37"/>
      <c r="E326" s="37"/>
      <c r="F326" s="37"/>
      <c r="G326" s="35">
        <v>0.0</v>
      </c>
      <c r="H326" s="35"/>
      <c r="I326" s="35" t="s">
        <v>1743</v>
      </c>
      <c r="J326" s="35"/>
      <c r="K326" s="17">
        <f t="shared" si="1"/>
        <v>0</v>
      </c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  <c r="AH326" s="37"/>
      <c r="AI326" s="37"/>
      <c r="AJ326" s="37"/>
      <c r="AK326" s="37"/>
      <c r="AL326" s="37"/>
      <c r="AM326" s="37"/>
      <c r="AN326" s="37"/>
      <c r="AO326" s="37"/>
      <c r="AP326" s="37"/>
      <c r="AQ326" s="37"/>
      <c r="AR326" s="37"/>
      <c r="AS326" s="37"/>
      <c r="AT326" s="37"/>
      <c r="AU326" s="37"/>
    </row>
    <row r="327">
      <c r="A327" s="1" t="s">
        <v>1236</v>
      </c>
      <c r="F327" s="1" t="s">
        <v>17</v>
      </c>
      <c r="G327" s="1">
        <v>352248.0</v>
      </c>
      <c r="K327" s="17">
        <f t="shared" si="1"/>
        <v>1</v>
      </c>
      <c r="L327" s="17">
        <f>IF(COUNTIF(Sheet14!A:A, A327)&gt;0, 1, 0)</f>
        <v>1</v>
      </c>
      <c r="M327" s="17">
        <f t="shared" ref="M327:M331" si="39">if(L327=1,G327*2,G327)</f>
        <v>704496</v>
      </c>
    </row>
    <row r="328">
      <c r="A328" s="1" t="s">
        <v>1234</v>
      </c>
      <c r="F328" s="1" t="s">
        <v>17</v>
      </c>
      <c r="G328" s="1">
        <v>251315.0</v>
      </c>
      <c r="K328" s="17">
        <f t="shared" si="1"/>
        <v>1</v>
      </c>
      <c r="L328" s="17">
        <f>IF(COUNTIF(Sheet14!A:A, A328)&gt;0, 1, 0)</f>
        <v>1</v>
      </c>
      <c r="M328" s="17">
        <f t="shared" si="39"/>
        <v>502630</v>
      </c>
    </row>
    <row r="329">
      <c r="A329" s="1" t="s">
        <v>1170</v>
      </c>
      <c r="F329" s="1" t="s">
        <v>17</v>
      </c>
      <c r="G329" s="1">
        <v>3482.0</v>
      </c>
      <c r="K329" s="17">
        <f t="shared" si="1"/>
        <v>1</v>
      </c>
      <c r="L329" s="17">
        <f>IF(COUNTIF(Sheet14!A:A, A329)&gt;0, 1, 0)</f>
        <v>1</v>
      </c>
      <c r="M329" s="17">
        <f t="shared" si="39"/>
        <v>6964</v>
      </c>
    </row>
    <row r="330">
      <c r="A330" s="1" t="s">
        <v>1270</v>
      </c>
      <c r="F330" s="1" t="s">
        <v>17</v>
      </c>
      <c r="G330" s="1">
        <v>179314.0</v>
      </c>
      <c r="K330" s="17">
        <f t="shared" si="1"/>
        <v>1</v>
      </c>
      <c r="L330" s="17">
        <f>IF(COUNTIF(Sheet14!A:A, A330)&gt;0, 1, 0)</f>
        <v>1</v>
      </c>
      <c r="M330" s="17">
        <f t="shared" si="39"/>
        <v>358628</v>
      </c>
    </row>
    <row r="331">
      <c r="A331" s="1" t="s">
        <v>1155</v>
      </c>
      <c r="F331" s="1" t="s">
        <v>17</v>
      </c>
      <c r="G331" s="1">
        <v>1900902.0</v>
      </c>
      <c r="K331" s="17">
        <f t="shared" si="1"/>
        <v>1</v>
      </c>
      <c r="L331" s="17">
        <f>IF(COUNTIF(Sheet14!A:A, A331)&gt;0, 1, 0)</f>
        <v>1</v>
      </c>
      <c r="M331" s="17">
        <f t="shared" si="39"/>
        <v>3801804</v>
      </c>
    </row>
    <row r="332" hidden="1">
      <c r="A332" s="68" t="s">
        <v>1745</v>
      </c>
      <c r="B332" s="37"/>
      <c r="C332" s="37"/>
      <c r="D332" s="37"/>
      <c r="E332" s="37"/>
      <c r="F332" s="37"/>
      <c r="G332" s="35">
        <v>0.0</v>
      </c>
      <c r="H332" s="37"/>
      <c r="I332" s="35" t="s">
        <v>1746</v>
      </c>
      <c r="J332" s="37"/>
      <c r="K332" s="17">
        <f t="shared" si="1"/>
        <v>0</v>
      </c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37"/>
      <c r="AJ332" s="37"/>
      <c r="AK332" s="37"/>
      <c r="AL332" s="37"/>
      <c r="AM332" s="37"/>
      <c r="AN332" s="37"/>
      <c r="AO332" s="37"/>
      <c r="AP332" s="37"/>
      <c r="AQ332" s="37"/>
      <c r="AR332" s="37"/>
      <c r="AS332" s="37"/>
      <c r="AT332" s="37"/>
      <c r="AU332" s="37"/>
    </row>
    <row r="333" hidden="1">
      <c r="A333" s="68" t="s">
        <v>1749</v>
      </c>
      <c r="B333" s="37"/>
      <c r="C333" s="37"/>
      <c r="D333" s="37"/>
      <c r="E333" s="37"/>
      <c r="F333" s="37"/>
      <c r="G333" s="35">
        <v>0.0</v>
      </c>
      <c r="H333" s="37"/>
      <c r="I333" s="35" t="s">
        <v>1746</v>
      </c>
      <c r="J333" s="37"/>
      <c r="K333" s="17">
        <f t="shared" si="1"/>
        <v>0</v>
      </c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  <c r="AI333" s="37"/>
      <c r="AJ333" s="37"/>
      <c r="AK333" s="37"/>
      <c r="AL333" s="37"/>
      <c r="AM333" s="37"/>
      <c r="AN333" s="37"/>
      <c r="AO333" s="37"/>
      <c r="AP333" s="37"/>
      <c r="AQ333" s="37"/>
      <c r="AR333" s="37"/>
      <c r="AS333" s="37"/>
      <c r="AT333" s="37"/>
      <c r="AU333" s="37"/>
    </row>
    <row r="334" hidden="1">
      <c r="A334" s="68" t="s">
        <v>1750</v>
      </c>
      <c r="B334" s="37"/>
      <c r="C334" s="37"/>
      <c r="D334" s="37"/>
      <c r="E334" s="37"/>
      <c r="F334" s="37"/>
      <c r="G334" s="35">
        <v>0.0</v>
      </c>
      <c r="H334" s="37"/>
      <c r="I334" s="35" t="s">
        <v>1746</v>
      </c>
      <c r="J334" s="37"/>
      <c r="K334" s="17">
        <f t="shared" si="1"/>
        <v>0</v>
      </c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7"/>
      <c r="AM334" s="37"/>
      <c r="AN334" s="37"/>
      <c r="AO334" s="37"/>
      <c r="AP334" s="37"/>
      <c r="AQ334" s="37"/>
      <c r="AR334" s="37"/>
      <c r="AS334" s="37"/>
      <c r="AT334" s="37"/>
      <c r="AU334" s="37"/>
    </row>
    <row r="335" hidden="1">
      <c r="A335" s="35" t="s">
        <v>1751</v>
      </c>
      <c r="B335" s="37"/>
      <c r="C335" s="37"/>
      <c r="D335" s="37"/>
      <c r="E335" s="37"/>
      <c r="F335" s="37"/>
      <c r="G335" s="35">
        <v>0.0</v>
      </c>
      <c r="H335" s="37"/>
      <c r="I335" s="35" t="s">
        <v>1752</v>
      </c>
      <c r="J335" s="37"/>
      <c r="K335" s="17">
        <f t="shared" si="1"/>
        <v>0</v>
      </c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  <c r="AI335" s="37"/>
      <c r="AJ335" s="37"/>
      <c r="AK335" s="37"/>
      <c r="AL335" s="37"/>
      <c r="AM335" s="37"/>
      <c r="AN335" s="37"/>
      <c r="AO335" s="37"/>
      <c r="AP335" s="37"/>
      <c r="AQ335" s="37"/>
      <c r="AR335" s="37"/>
      <c r="AS335" s="37"/>
      <c r="AT335" s="37"/>
      <c r="AU335" s="37"/>
    </row>
    <row r="336">
      <c r="A336" s="1" t="s">
        <v>1319</v>
      </c>
      <c r="F336" s="1" t="s">
        <v>31</v>
      </c>
      <c r="G336" s="1">
        <v>1456340.0</v>
      </c>
      <c r="I336" s="1"/>
      <c r="L336" s="17">
        <f>IF(COUNTIF(Sheet14!A:A, A336)&gt;0, 1, 0)</f>
        <v>1</v>
      </c>
      <c r="M336" s="17">
        <f t="shared" ref="M336:M349" si="40">if(L336=1,G336*2,G336)</f>
        <v>2912680</v>
      </c>
    </row>
    <row r="337">
      <c r="A337" s="1" t="s">
        <v>1377</v>
      </c>
      <c r="B337" s="1"/>
      <c r="F337" s="1" t="s">
        <v>17</v>
      </c>
      <c r="G337" s="1">
        <v>131665.0</v>
      </c>
      <c r="K337" s="17">
        <f t="shared" ref="K337:K373" si="41">IF(G337&gt;0,1,0)</f>
        <v>1</v>
      </c>
      <c r="L337" s="17">
        <f>IF(COUNTIF(Sheet14!A:A, A337)&gt;0, 1, 0)</f>
        <v>1</v>
      </c>
      <c r="M337" s="17">
        <f t="shared" si="40"/>
        <v>263330</v>
      </c>
    </row>
    <row r="338">
      <c r="A338" s="1" t="s">
        <v>1239</v>
      </c>
      <c r="F338" s="1" t="s">
        <v>31</v>
      </c>
      <c r="G338" s="1">
        <v>39103.0</v>
      </c>
      <c r="I338" s="1"/>
      <c r="K338" s="17">
        <f t="shared" si="41"/>
        <v>1</v>
      </c>
      <c r="L338" s="17">
        <f>IF(COUNTIF(Sheet14!A:A, A338)&gt;0, 1, 0)</f>
        <v>1</v>
      </c>
      <c r="M338" s="17">
        <f t="shared" si="40"/>
        <v>78206</v>
      </c>
    </row>
    <row r="339">
      <c r="A339" s="1" t="s">
        <v>1385</v>
      </c>
      <c r="F339" s="1" t="s">
        <v>31</v>
      </c>
      <c r="G339" s="1">
        <v>9956.0</v>
      </c>
      <c r="K339" s="17">
        <f t="shared" si="41"/>
        <v>1</v>
      </c>
      <c r="L339" s="17">
        <f>IF(COUNTIF(Sheet14!A:A, A339)&gt;0, 1, 0)</f>
        <v>1</v>
      </c>
      <c r="M339" s="17">
        <f t="shared" si="40"/>
        <v>19912</v>
      </c>
    </row>
    <row r="340">
      <c r="A340" s="1" t="s">
        <v>1759</v>
      </c>
      <c r="F340" s="1" t="s">
        <v>61</v>
      </c>
      <c r="G340" s="1">
        <v>5051.0</v>
      </c>
      <c r="K340" s="17">
        <f t="shared" si="41"/>
        <v>1</v>
      </c>
      <c r="L340" s="17">
        <f>IF(COUNTIF(Sheet14!A:A, A340)&gt;0, 1, 0)</f>
        <v>0</v>
      </c>
      <c r="M340" s="17">
        <f t="shared" si="40"/>
        <v>5051</v>
      </c>
    </row>
    <row r="341">
      <c r="A341" s="1" t="s">
        <v>1357</v>
      </c>
      <c r="F341" s="1" t="s">
        <v>31</v>
      </c>
      <c r="G341" s="1">
        <v>177775.0</v>
      </c>
      <c r="K341" s="17">
        <f t="shared" si="41"/>
        <v>1</v>
      </c>
      <c r="L341" s="17">
        <f>IF(COUNTIF(Sheet14!A:A, A341)&gt;0, 1, 0)</f>
        <v>1</v>
      </c>
      <c r="M341" s="17">
        <f t="shared" si="40"/>
        <v>355550</v>
      </c>
    </row>
    <row r="342">
      <c r="A342" s="1" t="s">
        <v>1247</v>
      </c>
      <c r="F342" s="1" t="s">
        <v>31</v>
      </c>
      <c r="G342" s="1">
        <v>14565.0</v>
      </c>
      <c r="K342" s="17">
        <f t="shared" si="41"/>
        <v>1</v>
      </c>
      <c r="L342" s="17">
        <f>IF(COUNTIF(Sheet14!A:A, A342)&gt;0, 1, 0)</f>
        <v>1</v>
      </c>
      <c r="M342" s="17">
        <f t="shared" si="40"/>
        <v>29130</v>
      </c>
    </row>
    <row r="343">
      <c r="A343" s="1" t="s">
        <v>1184</v>
      </c>
      <c r="F343" s="1" t="s">
        <v>31</v>
      </c>
      <c r="G343" s="1">
        <v>95396.0</v>
      </c>
      <c r="K343" s="17">
        <f t="shared" si="41"/>
        <v>1</v>
      </c>
      <c r="L343" s="17">
        <f>IF(COUNTIF(Sheet14!A:A, A343)&gt;0, 1, 0)</f>
        <v>1</v>
      </c>
      <c r="M343" s="17">
        <f t="shared" si="40"/>
        <v>190792</v>
      </c>
    </row>
    <row r="344">
      <c r="A344" s="1" t="s">
        <v>1308</v>
      </c>
      <c r="F344" s="1" t="s">
        <v>17</v>
      </c>
      <c r="G344" s="1">
        <v>83421.0</v>
      </c>
      <c r="I344" s="1"/>
      <c r="K344" s="17">
        <f t="shared" si="41"/>
        <v>1</v>
      </c>
      <c r="L344" s="17">
        <f>IF(COUNTIF(Sheet14!A:A, A344)&gt;0, 1, 0)</f>
        <v>1</v>
      </c>
      <c r="M344" s="17">
        <f t="shared" si="40"/>
        <v>166842</v>
      </c>
    </row>
    <row r="345">
      <c r="A345" s="81" t="s">
        <v>1764</v>
      </c>
      <c r="B345" s="47"/>
      <c r="C345" s="47"/>
      <c r="D345" s="47"/>
      <c r="E345" s="47"/>
      <c r="F345" s="46" t="s">
        <v>61</v>
      </c>
      <c r="G345" s="46">
        <v>21.0</v>
      </c>
      <c r="H345" s="47"/>
      <c r="I345" s="46"/>
      <c r="J345" s="47"/>
      <c r="K345" s="17">
        <f t="shared" si="41"/>
        <v>1</v>
      </c>
      <c r="L345" s="17">
        <f>IF(COUNTIF(Sheet14!A:A, A345)&gt;0, 1, 0)</f>
        <v>0</v>
      </c>
      <c r="M345" s="17">
        <f t="shared" si="40"/>
        <v>21</v>
      </c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  <c r="AD345" s="47"/>
      <c r="AE345" s="47"/>
      <c r="AF345" s="47"/>
      <c r="AG345" s="47"/>
      <c r="AH345" s="47"/>
      <c r="AI345" s="47"/>
      <c r="AJ345" s="47"/>
      <c r="AK345" s="47"/>
      <c r="AL345" s="47"/>
      <c r="AM345" s="47"/>
      <c r="AN345" s="47"/>
      <c r="AO345" s="47"/>
      <c r="AP345" s="47"/>
      <c r="AQ345" s="47"/>
      <c r="AR345" s="47"/>
      <c r="AS345" s="47"/>
      <c r="AT345" s="47"/>
      <c r="AU345" s="47"/>
    </row>
    <row r="346">
      <c r="A346" s="1" t="s">
        <v>1343</v>
      </c>
      <c r="F346" s="1" t="s">
        <v>17</v>
      </c>
      <c r="G346" s="1">
        <v>4839.0</v>
      </c>
      <c r="K346" s="17">
        <f t="shared" si="41"/>
        <v>1</v>
      </c>
      <c r="L346" s="17">
        <f>IF(COUNTIF(Sheet14!A:A, A346)&gt;0, 1, 0)</f>
        <v>1</v>
      </c>
      <c r="M346" s="17">
        <f t="shared" si="40"/>
        <v>9678</v>
      </c>
    </row>
    <row r="347">
      <c r="A347" s="46" t="s">
        <v>1339</v>
      </c>
      <c r="B347" s="47"/>
      <c r="C347" s="47"/>
      <c r="D347" s="47"/>
      <c r="E347" s="47"/>
      <c r="F347" s="46" t="s">
        <v>17</v>
      </c>
      <c r="G347" s="46">
        <v>2243688.0</v>
      </c>
      <c r="H347" s="47"/>
      <c r="I347" s="46"/>
      <c r="J347" s="47"/>
      <c r="K347" s="17">
        <f t="shared" si="41"/>
        <v>1</v>
      </c>
      <c r="L347" s="17">
        <f>IF(COUNTIF(Sheet14!A:A, A347)&gt;0, 1, 0)</f>
        <v>1</v>
      </c>
      <c r="M347" s="17">
        <f t="shared" si="40"/>
        <v>4487376</v>
      </c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  <c r="AD347" s="47"/>
      <c r="AE347" s="47"/>
      <c r="AF347" s="47"/>
      <c r="AG347" s="47"/>
      <c r="AH347" s="47"/>
      <c r="AI347" s="47"/>
      <c r="AJ347" s="47"/>
      <c r="AK347" s="47"/>
      <c r="AL347" s="47"/>
      <c r="AM347" s="47"/>
      <c r="AN347" s="47"/>
      <c r="AO347" s="47"/>
      <c r="AP347" s="47"/>
      <c r="AQ347" s="47"/>
      <c r="AR347" s="47"/>
      <c r="AS347" s="47"/>
      <c r="AT347" s="47"/>
      <c r="AU347" s="47"/>
    </row>
    <row r="348">
      <c r="A348" s="1" t="s">
        <v>1401</v>
      </c>
      <c r="F348" s="1" t="s">
        <v>17</v>
      </c>
      <c r="G348" s="1">
        <v>590255.0</v>
      </c>
      <c r="K348" s="17">
        <f t="shared" si="41"/>
        <v>1</v>
      </c>
      <c r="L348" s="17">
        <f>IF(COUNTIF(Sheet14!A:A, A348)&gt;0, 1, 0)</f>
        <v>1</v>
      </c>
      <c r="M348" s="17">
        <f t="shared" si="40"/>
        <v>1180510</v>
      </c>
    </row>
    <row r="349">
      <c r="A349" s="1" t="s">
        <v>1294</v>
      </c>
      <c r="F349" s="1" t="s">
        <v>17</v>
      </c>
      <c r="G349" s="1">
        <v>29102.0</v>
      </c>
      <c r="I349" s="1"/>
      <c r="K349" s="17">
        <f t="shared" si="41"/>
        <v>1</v>
      </c>
      <c r="L349" s="17">
        <f>IF(COUNTIF(Sheet14!A:A, A349)&gt;0, 1, 0)</f>
        <v>1</v>
      </c>
      <c r="M349" s="17">
        <f t="shared" si="40"/>
        <v>58204</v>
      </c>
    </row>
    <row r="350" hidden="1">
      <c r="A350" s="35" t="s">
        <v>1776</v>
      </c>
      <c r="B350" s="37"/>
      <c r="C350" s="37"/>
      <c r="D350" s="37"/>
      <c r="E350" s="37"/>
      <c r="F350" s="37"/>
      <c r="G350" s="35">
        <v>0.0</v>
      </c>
      <c r="H350" s="37"/>
      <c r="I350" s="35" t="s">
        <v>1777</v>
      </c>
      <c r="J350" s="37"/>
      <c r="K350" s="37">
        <f t="shared" si="41"/>
        <v>0</v>
      </c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37"/>
      <c r="AH350" s="37"/>
      <c r="AI350" s="37"/>
      <c r="AJ350" s="37"/>
      <c r="AK350" s="37"/>
      <c r="AL350" s="37"/>
      <c r="AM350" s="37"/>
      <c r="AN350" s="37"/>
      <c r="AO350" s="37"/>
      <c r="AP350" s="37"/>
      <c r="AQ350" s="37"/>
      <c r="AR350" s="37"/>
      <c r="AS350" s="37"/>
      <c r="AT350" s="37"/>
      <c r="AU350" s="37"/>
    </row>
    <row r="351">
      <c r="A351" s="1" t="s">
        <v>1288</v>
      </c>
      <c r="F351" s="1" t="s">
        <v>17</v>
      </c>
      <c r="G351" s="1">
        <v>2059610.0</v>
      </c>
      <c r="I351" s="1"/>
      <c r="K351" s="17">
        <f t="shared" si="41"/>
        <v>1</v>
      </c>
      <c r="L351" s="17">
        <f>IF(COUNTIF(Sheet14!A:A, A351)&gt;0, 1, 0)</f>
        <v>1</v>
      </c>
      <c r="M351" s="17">
        <f t="shared" ref="M351:M353" si="42">if(L351=1,G351*2,G351)</f>
        <v>4119220</v>
      </c>
    </row>
    <row r="352">
      <c r="A352" s="1" t="s">
        <v>1137</v>
      </c>
      <c r="F352" s="1" t="s">
        <v>17</v>
      </c>
      <c r="G352" s="1">
        <v>4282332.0</v>
      </c>
      <c r="K352" s="17">
        <f t="shared" si="41"/>
        <v>1</v>
      </c>
      <c r="L352" s="17">
        <f>IF(COUNTIF(Sheet14!A:A, A352)&gt;0, 1, 0)</f>
        <v>1</v>
      </c>
      <c r="M352" s="17">
        <f t="shared" si="42"/>
        <v>8564664</v>
      </c>
    </row>
    <row r="353">
      <c r="A353" s="1" t="s">
        <v>1226</v>
      </c>
      <c r="F353" s="1" t="s">
        <v>17</v>
      </c>
      <c r="G353" s="1">
        <v>1080645.0</v>
      </c>
      <c r="K353" s="17">
        <f t="shared" si="41"/>
        <v>1</v>
      </c>
      <c r="L353" s="17">
        <f>IF(COUNTIF(Sheet14!A:A, A353)&gt;0, 1, 0)</f>
        <v>1</v>
      </c>
      <c r="M353" s="17">
        <f t="shared" si="42"/>
        <v>2161290</v>
      </c>
    </row>
    <row r="354" hidden="1">
      <c r="A354" s="35" t="s">
        <v>1787</v>
      </c>
      <c r="B354" s="37"/>
      <c r="C354" s="37"/>
      <c r="D354" s="37"/>
      <c r="E354" s="37"/>
      <c r="F354" s="37"/>
      <c r="G354" s="35">
        <v>0.0</v>
      </c>
      <c r="H354" s="37"/>
      <c r="I354" s="35" t="s">
        <v>1788</v>
      </c>
      <c r="J354" s="37"/>
      <c r="K354" s="37">
        <f t="shared" si="41"/>
        <v>0</v>
      </c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  <c r="AH354" s="37"/>
      <c r="AI354" s="37"/>
      <c r="AJ354" s="37"/>
      <c r="AK354" s="37"/>
      <c r="AL354" s="37"/>
      <c r="AM354" s="37"/>
      <c r="AN354" s="37"/>
      <c r="AO354" s="37"/>
      <c r="AP354" s="37"/>
      <c r="AQ354" s="37"/>
      <c r="AR354" s="37"/>
      <c r="AS354" s="37"/>
      <c r="AT354" s="37"/>
      <c r="AU354" s="37"/>
    </row>
    <row r="355">
      <c r="A355" s="1" t="s">
        <v>1160</v>
      </c>
      <c r="F355" s="1" t="s">
        <v>17</v>
      </c>
      <c r="G355" s="1">
        <v>140748.0</v>
      </c>
      <c r="K355" s="17">
        <f t="shared" si="41"/>
        <v>1</v>
      </c>
      <c r="L355" s="17">
        <f>IF(COUNTIF(Sheet14!A:A, A355)&gt;0, 1, 0)</f>
        <v>1</v>
      </c>
      <c r="M355" s="17">
        <f>if(L355=1,G355*2,G355)</f>
        <v>281496</v>
      </c>
    </row>
    <row r="356" hidden="1">
      <c r="A356" s="35" t="s">
        <v>1797</v>
      </c>
      <c r="B356" s="68"/>
      <c r="C356" s="68"/>
      <c r="D356" s="83"/>
      <c r="E356" s="67"/>
      <c r="F356" s="68"/>
      <c r="G356" s="68"/>
      <c r="H356" s="68"/>
      <c r="I356" s="67" t="s">
        <v>1798</v>
      </c>
      <c r="J356" s="68"/>
      <c r="K356" s="37">
        <f t="shared" si="41"/>
        <v>0</v>
      </c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84"/>
      <c r="X356" s="84"/>
      <c r="Y356" s="68"/>
      <c r="Z356" s="68"/>
      <c r="AA356" s="85"/>
      <c r="AB356" s="85"/>
      <c r="AC356" s="68"/>
      <c r="AD356" s="85"/>
      <c r="AE356" s="68"/>
      <c r="AF356" s="68"/>
      <c r="AG356" s="68"/>
      <c r="AH356" s="68"/>
      <c r="AI356" s="68"/>
      <c r="AJ356" s="68"/>
      <c r="AK356" s="68"/>
      <c r="AL356" s="68"/>
      <c r="AM356" s="68"/>
      <c r="AN356" s="68"/>
      <c r="AO356" s="68"/>
      <c r="AP356" s="68"/>
      <c r="AQ356" s="68"/>
      <c r="AR356" s="68"/>
      <c r="AS356" s="68"/>
      <c r="AT356" s="68"/>
      <c r="AU356" s="68"/>
    </row>
    <row r="357">
      <c r="A357" s="1" t="s">
        <v>1194</v>
      </c>
      <c r="B357" s="66"/>
      <c r="C357" s="66"/>
      <c r="D357" s="86"/>
      <c r="E357" s="65"/>
      <c r="F357" s="65" t="s">
        <v>17</v>
      </c>
      <c r="G357" s="65">
        <v>255736.0</v>
      </c>
      <c r="H357" s="66"/>
      <c r="I357" s="66"/>
      <c r="J357" s="66"/>
      <c r="K357" s="17">
        <f t="shared" si="41"/>
        <v>1</v>
      </c>
      <c r="L357" s="17">
        <f>IF(COUNTIF(Sheet14!A:A, A357)&gt;0, 1, 0)</f>
        <v>1</v>
      </c>
      <c r="M357" s="17">
        <f t="shared" ref="M357:M369" si="43">if(L357=1,G357*2,G357)</f>
        <v>511472</v>
      </c>
      <c r="N357" s="66"/>
      <c r="O357" s="66"/>
      <c r="P357" s="77"/>
      <c r="Q357" s="66"/>
      <c r="R357" s="66"/>
      <c r="S357" s="66"/>
      <c r="T357" s="66"/>
      <c r="U357" s="66"/>
      <c r="V357" s="66"/>
      <c r="W357" s="77"/>
      <c r="X357" s="77"/>
      <c r="Y357" s="66"/>
      <c r="Z357" s="66"/>
      <c r="AA357" s="87"/>
      <c r="AB357" s="87"/>
      <c r="AC357" s="66"/>
      <c r="AD357" s="87"/>
      <c r="AE357" s="66"/>
      <c r="AF357" s="66"/>
      <c r="AG357" s="66"/>
      <c r="AH357" s="66"/>
      <c r="AI357" s="66"/>
      <c r="AJ357" s="66"/>
      <c r="AK357" s="66"/>
      <c r="AL357" s="66"/>
      <c r="AM357" s="66"/>
      <c r="AN357" s="66"/>
      <c r="AO357" s="66"/>
      <c r="AP357" s="66"/>
      <c r="AQ357" s="66"/>
      <c r="AR357" s="66"/>
      <c r="AS357" s="66"/>
      <c r="AT357" s="66"/>
      <c r="AU357" s="66"/>
    </row>
    <row r="358">
      <c r="A358" s="46" t="s">
        <v>1780</v>
      </c>
      <c r="B358" s="47"/>
      <c r="C358" s="47"/>
      <c r="D358" s="47"/>
      <c r="E358" s="47"/>
      <c r="F358" s="1" t="s">
        <v>61</v>
      </c>
      <c r="G358" s="46">
        <v>200.0</v>
      </c>
      <c r="H358" s="47"/>
      <c r="I358" s="46"/>
      <c r="J358" s="47"/>
      <c r="K358" s="17">
        <f t="shared" si="41"/>
        <v>1</v>
      </c>
      <c r="L358" s="17">
        <f>IF(COUNTIF(Sheet14!A:A, A358)&gt;0, 1, 0)</f>
        <v>0</v>
      </c>
      <c r="M358" s="17">
        <f t="shared" si="43"/>
        <v>200</v>
      </c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  <c r="AD358" s="47"/>
      <c r="AE358" s="47"/>
      <c r="AF358" s="47"/>
      <c r="AG358" s="47"/>
      <c r="AH358" s="47"/>
      <c r="AI358" s="47"/>
      <c r="AJ358" s="47"/>
      <c r="AK358" s="47"/>
      <c r="AL358" s="47"/>
      <c r="AM358" s="47"/>
      <c r="AN358" s="47"/>
      <c r="AO358" s="47"/>
      <c r="AP358" s="47"/>
      <c r="AQ358" s="47"/>
      <c r="AR358" s="47"/>
      <c r="AS358" s="47"/>
      <c r="AT358" s="47"/>
      <c r="AU358" s="47"/>
    </row>
    <row r="359">
      <c r="A359" s="1" t="s">
        <v>1266</v>
      </c>
      <c r="F359" s="1" t="s">
        <v>17</v>
      </c>
      <c r="G359" s="1">
        <v>85441.0</v>
      </c>
      <c r="K359" s="17">
        <f t="shared" si="41"/>
        <v>1</v>
      </c>
      <c r="L359" s="17">
        <f>IF(COUNTIF(Sheet14!A:A, A359)&gt;0, 1, 0)</f>
        <v>1</v>
      </c>
      <c r="M359" s="17">
        <f t="shared" si="43"/>
        <v>170882</v>
      </c>
    </row>
    <row r="360">
      <c r="A360" s="1" t="s">
        <v>1365</v>
      </c>
      <c r="F360" s="1" t="s">
        <v>17</v>
      </c>
      <c r="G360" s="1">
        <v>1391783.0</v>
      </c>
      <c r="K360" s="17">
        <f t="shared" si="41"/>
        <v>1</v>
      </c>
      <c r="L360" s="17">
        <f>IF(COUNTIF(Sheet14!A:A, A360)&gt;0, 1, 0)</f>
        <v>1</v>
      </c>
      <c r="M360" s="17">
        <f t="shared" si="43"/>
        <v>2783566</v>
      </c>
    </row>
    <row r="361">
      <c r="A361" s="82" t="s">
        <v>1131</v>
      </c>
      <c r="D361" s="66"/>
      <c r="E361" s="66"/>
      <c r="F361" s="65" t="s">
        <v>31</v>
      </c>
      <c r="G361" s="77">
        <v>2410775.0</v>
      </c>
      <c r="H361" s="66"/>
      <c r="I361" s="66"/>
      <c r="J361" s="66"/>
      <c r="K361" s="17">
        <f t="shared" si="41"/>
        <v>1</v>
      </c>
      <c r="L361" s="17">
        <f>IF(COUNTIF(Sheet14!A:A, A361)&gt;0, 1, 0)</f>
        <v>1</v>
      </c>
      <c r="M361" s="17">
        <f t="shared" si="43"/>
        <v>4821550</v>
      </c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>
      <c r="A362" s="82" t="s">
        <v>1789</v>
      </c>
      <c r="D362" s="66"/>
      <c r="E362" s="66"/>
      <c r="F362" s="66" t="s">
        <v>81</v>
      </c>
      <c r="G362" s="77">
        <v>192.0</v>
      </c>
      <c r="H362" s="66"/>
      <c r="I362" s="66"/>
      <c r="J362" s="66"/>
      <c r="K362" s="17">
        <f t="shared" si="41"/>
        <v>1</v>
      </c>
      <c r="L362" s="17">
        <f>IF(COUNTIF(Sheet14!A:A, A362)&gt;0, 1, 0)</f>
        <v>0</v>
      </c>
      <c r="M362" s="17">
        <f t="shared" si="43"/>
        <v>192</v>
      </c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>
      <c r="A363" s="82" t="s">
        <v>1791</v>
      </c>
      <c r="D363" s="66"/>
      <c r="E363" s="66"/>
      <c r="F363" s="66" t="s">
        <v>81</v>
      </c>
      <c r="G363" s="77">
        <v>933.0</v>
      </c>
      <c r="H363" s="66"/>
      <c r="I363" s="66"/>
      <c r="J363" s="66"/>
      <c r="K363" s="17">
        <f t="shared" si="41"/>
        <v>1</v>
      </c>
      <c r="L363" s="17">
        <f>IF(COUNTIF(Sheet14!A:A, A363)&gt;0, 1, 0)</f>
        <v>0</v>
      </c>
      <c r="M363" s="17">
        <f t="shared" si="43"/>
        <v>933</v>
      </c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>
      <c r="A364" s="82" t="s">
        <v>1794</v>
      </c>
      <c r="D364" s="66"/>
      <c r="E364" s="66"/>
      <c r="F364" s="66" t="s">
        <v>100</v>
      </c>
      <c r="G364" s="77">
        <v>40.0</v>
      </c>
      <c r="H364" s="66"/>
      <c r="I364" s="66"/>
      <c r="J364" s="66"/>
      <c r="K364" s="17">
        <f t="shared" si="41"/>
        <v>1</v>
      </c>
      <c r="L364" s="17">
        <f>IF(COUNTIF(Sheet14!A:A, A364)&gt;0, 1, 0)</f>
        <v>0</v>
      </c>
      <c r="M364" s="17">
        <f t="shared" si="43"/>
        <v>40</v>
      </c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>
      <c r="A365" s="82" t="s">
        <v>1799</v>
      </c>
      <c r="D365" s="66"/>
      <c r="E365" s="66"/>
      <c r="F365" s="66" t="s">
        <v>81</v>
      </c>
      <c r="G365" s="77">
        <v>5856.0</v>
      </c>
      <c r="H365" s="66"/>
      <c r="I365" s="66"/>
      <c r="J365" s="66"/>
      <c r="K365" s="17">
        <f t="shared" si="41"/>
        <v>1</v>
      </c>
      <c r="L365" s="17">
        <f>IF(COUNTIF(Sheet14!A:A, A365)&gt;0, 1, 0)</f>
        <v>0</v>
      </c>
      <c r="M365" s="17">
        <f t="shared" si="43"/>
        <v>5856</v>
      </c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>
      <c r="A366" s="82" t="s">
        <v>1179</v>
      </c>
      <c r="D366" s="66"/>
      <c r="E366" s="66"/>
      <c r="F366" s="65" t="s">
        <v>31</v>
      </c>
      <c r="G366" s="77">
        <v>32892.0</v>
      </c>
      <c r="H366" s="66"/>
      <c r="I366" s="66"/>
      <c r="J366" s="66"/>
      <c r="K366" s="17">
        <f t="shared" si="41"/>
        <v>1</v>
      </c>
      <c r="L366" s="17">
        <f>IF(COUNTIF(Sheet14!A:A, A366)&gt;0, 1, 0)</f>
        <v>1</v>
      </c>
      <c r="M366" s="17">
        <f t="shared" si="43"/>
        <v>65784</v>
      </c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>
      <c r="A367" s="1" t="s">
        <v>1370</v>
      </c>
      <c r="B367" s="1" t="s">
        <v>1803</v>
      </c>
      <c r="C367" s="1" t="s">
        <v>246</v>
      </c>
      <c r="D367" s="1" t="s">
        <v>246</v>
      </c>
      <c r="E367" s="1" t="s">
        <v>17</v>
      </c>
      <c r="F367" s="1" t="s">
        <v>17</v>
      </c>
      <c r="G367" s="1">
        <v>3841263.0</v>
      </c>
      <c r="K367" s="17">
        <f t="shared" si="41"/>
        <v>1</v>
      </c>
      <c r="L367" s="17">
        <f>IF(COUNTIF(Sheet14!A:A, A367)&gt;0, 1, 0)</f>
        <v>1</v>
      </c>
      <c r="M367" s="17">
        <f t="shared" si="43"/>
        <v>7682526</v>
      </c>
    </row>
    <row r="368">
      <c r="A368" s="1" t="s">
        <v>1177</v>
      </c>
      <c r="B368" s="1" t="s">
        <v>1177</v>
      </c>
      <c r="C368" s="1" t="s">
        <v>301</v>
      </c>
      <c r="D368" s="1" t="s">
        <v>603</v>
      </c>
      <c r="E368" s="1" t="s">
        <v>31</v>
      </c>
      <c r="F368" s="1" t="s">
        <v>31</v>
      </c>
      <c r="G368" s="1">
        <v>13071.0</v>
      </c>
      <c r="K368" s="17">
        <f t="shared" si="41"/>
        <v>1</v>
      </c>
      <c r="L368" s="17">
        <f>IF(COUNTIF(Sheet14!A:A, A368)&gt;0, 1, 0)</f>
        <v>1</v>
      </c>
      <c r="M368" s="17">
        <f t="shared" si="43"/>
        <v>26142</v>
      </c>
    </row>
    <row r="369">
      <c r="A369" s="1" t="s">
        <v>1268</v>
      </c>
      <c r="B369" s="1" t="s">
        <v>1268</v>
      </c>
      <c r="C369" s="1" t="s">
        <v>246</v>
      </c>
      <c r="D369" s="1" t="s">
        <v>246</v>
      </c>
      <c r="E369" s="1" t="s">
        <v>17</v>
      </c>
      <c r="F369" s="1" t="s">
        <v>17</v>
      </c>
      <c r="G369" s="1">
        <v>26028.0</v>
      </c>
      <c r="K369" s="17">
        <f t="shared" si="41"/>
        <v>1</v>
      </c>
      <c r="L369" s="17">
        <f>IF(COUNTIF(Sheet14!A:A, A369)&gt;0, 1, 0)</f>
        <v>1</v>
      </c>
      <c r="M369" s="17">
        <f t="shared" si="43"/>
        <v>52056</v>
      </c>
    </row>
    <row r="370" hidden="1">
      <c r="A370" s="35" t="s">
        <v>1813</v>
      </c>
      <c r="B370" s="35" t="s">
        <v>1814</v>
      </c>
      <c r="C370" s="35" t="s">
        <v>246</v>
      </c>
      <c r="D370" s="35" t="s">
        <v>640</v>
      </c>
      <c r="E370" s="35" t="s">
        <v>17</v>
      </c>
      <c r="F370" s="35" t="s">
        <v>17</v>
      </c>
      <c r="G370" s="35"/>
      <c r="H370" s="37"/>
      <c r="I370" s="35" t="s">
        <v>1815</v>
      </c>
      <c r="J370" s="37"/>
      <c r="K370" s="17">
        <f t="shared" si="41"/>
        <v>0</v>
      </c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37"/>
      <c r="AH370" s="37"/>
      <c r="AI370" s="37"/>
      <c r="AJ370" s="37"/>
      <c r="AK370" s="37"/>
      <c r="AL370" s="37"/>
      <c r="AM370" s="37"/>
      <c r="AN370" s="37"/>
      <c r="AO370" s="37"/>
      <c r="AP370" s="37"/>
      <c r="AQ370" s="37"/>
      <c r="AR370" s="37"/>
      <c r="AS370" s="37"/>
      <c r="AT370" s="37"/>
      <c r="AU370" s="37"/>
    </row>
    <row r="371">
      <c r="A371" s="1" t="s">
        <v>1805</v>
      </c>
      <c r="B371" s="1" t="s">
        <v>1805</v>
      </c>
      <c r="C371" s="1" t="s">
        <v>246</v>
      </c>
      <c r="D371" s="1" t="s">
        <v>640</v>
      </c>
      <c r="E371" s="1" t="s">
        <v>31</v>
      </c>
      <c r="F371" s="1" t="s">
        <v>31</v>
      </c>
      <c r="G371" s="1">
        <v>139115.0</v>
      </c>
      <c r="K371" s="17">
        <f t="shared" si="41"/>
        <v>1</v>
      </c>
      <c r="L371" s="17">
        <f>IF(COUNTIF(Sheet14!A:A, A371)&gt;0, 1, 0)</f>
        <v>0</v>
      </c>
      <c r="M371" s="17">
        <f t="shared" ref="M371:M374" si="44">if(L371=1,G371*2,G371)</f>
        <v>139115</v>
      </c>
    </row>
    <row r="372">
      <c r="A372" s="1" t="s">
        <v>1321</v>
      </c>
      <c r="B372" s="1" t="s">
        <v>1806</v>
      </c>
      <c r="C372" s="1" t="s">
        <v>246</v>
      </c>
      <c r="D372" s="1" t="s">
        <v>644</v>
      </c>
      <c r="E372" s="1" t="s">
        <v>31</v>
      </c>
      <c r="F372" s="1" t="s">
        <v>31</v>
      </c>
      <c r="G372" s="1">
        <v>45116.0</v>
      </c>
      <c r="K372" s="17">
        <f t="shared" si="41"/>
        <v>1</v>
      </c>
      <c r="L372" s="17">
        <f>IF(COUNTIF(Sheet14!A:A, A372)&gt;0, 1, 0)</f>
        <v>1</v>
      </c>
      <c r="M372" s="17">
        <f t="shared" si="44"/>
        <v>90232</v>
      </c>
    </row>
    <row r="373">
      <c r="A373" s="1" t="s">
        <v>1807</v>
      </c>
      <c r="B373" s="1" t="s">
        <v>1808</v>
      </c>
      <c r="C373" s="1" t="s">
        <v>246</v>
      </c>
      <c r="D373" s="1" t="s">
        <v>657</v>
      </c>
      <c r="E373" s="1" t="s">
        <v>100</v>
      </c>
      <c r="F373" s="1" t="s">
        <v>100</v>
      </c>
      <c r="G373" s="1">
        <v>2549.0</v>
      </c>
      <c r="K373" s="17">
        <f t="shared" si="41"/>
        <v>1</v>
      </c>
      <c r="L373" s="17">
        <f>IF(COUNTIF(Sheet14!A:A, A373)&gt;0, 1, 0)</f>
        <v>0</v>
      </c>
      <c r="M373" s="17">
        <f t="shared" si="44"/>
        <v>2549</v>
      </c>
    </row>
    <row r="374">
      <c r="A374" s="1" t="s">
        <v>1809</v>
      </c>
      <c r="F374" s="1" t="s">
        <v>107</v>
      </c>
      <c r="G374" s="1">
        <v>190733.0</v>
      </c>
      <c r="J374" s="1"/>
      <c r="L374" s="17">
        <f>IF(COUNTIF(Sheet14!A:A, A374)&gt;0, 1, 0)</f>
        <v>0</v>
      </c>
      <c r="M374" s="17">
        <f t="shared" si="44"/>
        <v>190733</v>
      </c>
    </row>
    <row r="375">
      <c r="F375" s="78"/>
      <c r="G375" s="80"/>
      <c r="J375" s="1"/>
    </row>
    <row r="376">
      <c r="A376" s="88" t="s">
        <v>291</v>
      </c>
      <c r="B376" s="89" t="s">
        <v>1821</v>
      </c>
      <c r="C376" s="90" t="s">
        <v>1824</v>
      </c>
      <c r="D376" s="90" t="s">
        <v>1825</v>
      </c>
      <c r="E376" s="90" t="s">
        <v>1826</v>
      </c>
      <c r="F376" s="78" t="s">
        <v>1827</v>
      </c>
      <c r="G376" s="80">
        <f>sum(G2:G374)</f>
        <v>61259889</v>
      </c>
      <c r="J376" s="1" t="s">
        <v>1829</v>
      </c>
      <c r="K376" s="17">
        <f>SUM(K2:K373)</f>
        <v>293</v>
      </c>
      <c r="L376" s="1" t="s">
        <v>1830</v>
      </c>
      <c r="M376" s="1">
        <v>1.15098537E8</v>
      </c>
    </row>
    <row r="377">
      <c r="A377" s="91" t="s">
        <v>31</v>
      </c>
      <c r="B377" s="92">
        <v>1.7733694E7</v>
      </c>
      <c r="C377" s="20">
        <v>1.3712038E7</v>
      </c>
      <c r="D377" s="20">
        <f t="shared" ref="D377:D387" si="45">(B377+C377)</f>
        <v>31445732</v>
      </c>
      <c r="E377" s="20">
        <f t="shared" ref="E377:E386" si="46">ROUND(D377/$D$387,5)</f>
        <v>0.34557</v>
      </c>
      <c r="F377" s="78"/>
      <c r="G377" s="80"/>
      <c r="J377" s="1" t="s">
        <v>1831</v>
      </c>
      <c r="K377" s="1">
        <f>'Mixed Modalities'!G41</f>
        <v>26</v>
      </c>
      <c r="L377" s="1" t="s">
        <v>1832</v>
      </c>
      <c r="M377" s="1">
        <v>3.6964565E7</v>
      </c>
    </row>
    <row r="378">
      <c r="A378" s="93" t="s">
        <v>64</v>
      </c>
      <c r="B378" s="92">
        <v>4600293.0</v>
      </c>
      <c r="C378" s="20">
        <v>967195.0</v>
      </c>
      <c r="D378" s="20">
        <f t="shared" si="45"/>
        <v>5567488</v>
      </c>
      <c r="E378" s="20">
        <f t="shared" si="46"/>
        <v>0.06118</v>
      </c>
      <c r="F378" s="78" t="s">
        <v>1835</v>
      </c>
      <c r="G378" s="80">
        <f>'Mixed Modalities'!C41</f>
        <v>3224566</v>
      </c>
      <c r="J378" s="1" t="s">
        <v>1735</v>
      </c>
      <c r="K378" s="1">
        <f>77+10+12</f>
        <v>99</v>
      </c>
      <c r="L378" s="1" t="s">
        <v>1837</v>
      </c>
      <c r="M378" s="1">
        <v>5754062.0</v>
      </c>
    </row>
    <row r="379">
      <c r="A379" s="91" t="s">
        <v>107</v>
      </c>
      <c r="B379" s="92">
        <f>128514+190733</f>
        <v>319247</v>
      </c>
      <c r="C379" s="20">
        <v>1934837.0</v>
      </c>
      <c r="D379" s="20">
        <f t="shared" si="45"/>
        <v>2254084</v>
      </c>
      <c r="E379" s="20">
        <f t="shared" si="46"/>
        <v>0.02477</v>
      </c>
      <c r="F379" s="78" t="s">
        <v>1838</v>
      </c>
      <c r="G379" s="80">
        <f>(G376+G378)</f>
        <v>64484455</v>
      </c>
      <c r="J379" s="1" t="s">
        <v>1839</v>
      </c>
      <c r="K379" s="1">
        <v>154.0</v>
      </c>
      <c r="L379" s="1" t="s">
        <v>1840</v>
      </c>
      <c r="M379" s="17">
        <f>sum(M376:M378)</f>
        <v>157817164</v>
      </c>
    </row>
    <row r="380">
      <c r="A380" s="91" t="s">
        <v>100</v>
      </c>
      <c r="B380" s="92">
        <v>367559.0</v>
      </c>
      <c r="C380" s="20">
        <v>125230.0</v>
      </c>
      <c r="D380" s="20">
        <f t="shared" si="45"/>
        <v>492789</v>
      </c>
      <c r="E380" s="20">
        <f t="shared" si="46"/>
        <v>0.00542</v>
      </c>
      <c r="J380" s="78" t="s">
        <v>1040</v>
      </c>
      <c r="K380" s="80">
        <f>SUM(K376:K379)</f>
        <v>572</v>
      </c>
    </row>
    <row r="381">
      <c r="A381" s="91" t="s">
        <v>61</v>
      </c>
      <c r="B381" s="92">
        <v>1030789.0</v>
      </c>
      <c r="C381" s="20">
        <v>1115234.0</v>
      </c>
      <c r="D381" s="20">
        <f t="shared" si="45"/>
        <v>2146023</v>
      </c>
      <c r="E381" s="20">
        <f t="shared" si="46"/>
        <v>0.02358</v>
      </c>
      <c r="F381" s="1" t="s">
        <v>1824</v>
      </c>
      <c r="G381" s="75">
        <v>2.9736251E7</v>
      </c>
    </row>
    <row r="382">
      <c r="A382" s="91" t="s">
        <v>17</v>
      </c>
      <c r="B382" s="92">
        <f>25762378+3841263</f>
        <v>29603641</v>
      </c>
      <c r="C382" s="20">
        <f>8460678+672675</f>
        <v>9133353</v>
      </c>
      <c r="D382" s="20">
        <f t="shared" si="45"/>
        <v>38736994</v>
      </c>
      <c r="E382" s="20">
        <f t="shared" si="46"/>
        <v>0.4257</v>
      </c>
      <c r="F382" s="1"/>
      <c r="G382" s="1"/>
    </row>
    <row r="383">
      <c r="A383" s="91" t="s">
        <v>725</v>
      </c>
      <c r="B383" s="92">
        <v>27049.0</v>
      </c>
      <c r="C383" s="90">
        <v>0.0</v>
      </c>
      <c r="D383" s="20">
        <f t="shared" si="45"/>
        <v>27049</v>
      </c>
      <c r="E383" s="20">
        <f t="shared" si="46"/>
        <v>0.0003</v>
      </c>
      <c r="F383" s="78" t="s">
        <v>1842</v>
      </c>
      <c r="G383" s="94">
        <f>G379+G381</f>
        <v>94220706</v>
      </c>
    </row>
    <row r="384">
      <c r="A384" s="91" t="s">
        <v>171</v>
      </c>
      <c r="B384" s="92">
        <v>2274.0</v>
      </c>
      <c r="C384" s="20">
        <v>1535.0</v>
      </c>
      <c r="D384" s="20">
        <f t="shared" si="45"/>
        <v>3809</v>
      </c>
      <c r="E384" s="20">
        <f t="shared" si="46"/>
        <v>0.00004</v>
      </c>
    </row>
    <row r="385">
      <c r="A385" s="91" t="s">
        <v>54</v>
      </c>
      <c r="B385" s="95">
        <v>6874407.0</v>
      </c>
      <c r="C385" s="20">
        <v>1789368.0</v>
      </c>
      <c r="D385" s="20">
        <f t="shared" si="45"/>
        <v>8663775</v>
      </c>
      <c r="E385" s="20">
        <f t="shared" si="46"/>
        <v>0.09521</v>
      </c>
    </row>
    <row r="386">
      <c r="A386" s="91" t="s">
        <v>81</v>
      </c>
      <c r="B386" s="95">
        <v>700976.0</v>
      </c>
      <c r="C386" s="20">
        <v>957461.0</v>
      </c>
      <c r="D386" s="20">
        <f t="shared" si="45"/>
        <v>1658437</v>
      </c>
      <c r="E386" s="20">
        <f t="shared" si="46"/>
        <v>0.01823</v>
      </c>
    </row>
    <row r="387">
      <c r="A387" s="96" t="s">
        <v>1040</v>
      </c>
      <c r="B387" s="97">
        <f t="shared" ref="B387:C387" si="47">sum(B377:B386)</f>
        <v>61259929</v>
      </c>
      <c r="C387" s="97">
        <f t="shared" si="47"/>
        <v>29736251</v>
      </c>
      <c r="D387" s="97">
        <f t="shared" si="45"/>
        <v>90996180</v>
      </c>
      <c r="E387" s="20"/>
    </row>
    <row r="389">
      <c r="D389" s="1" t="s">
        <v>1845</v>
      </c>
      <c r="E389" s="1" t="s">
        <v>1826</v>
      </c>
    </row>
    <row r="390">
      <c r="C390" s="91" t="s">
        <v>31</v>
      </c>
      <c r="D390" s="17">
        <f t="shared" ref="D390:D399" si="48">ROUND(C377/$C$387,5)</f>
        <v>0.46112</v>
      </c>
      <c r="E390" s="17">
        <v>0.34557</v>
      </c>
    </row>
    <row r="391">
      <c r="C391" s="93" t="s">
        <v>64</v>
      </c>
      <c r="D391" s="17">
        <f t="shared" si="48"/>
        <v>0.03253</v>
      </c>
      <c r="E391" s="17">
        <v>0.06118</v>
      </c>
    </row>
    <row r="392">
      <c r="C392" s="91" t="s">
        <v>107</v>
      </c>
      <c r="D392" s="17">
        <f t="shared" si="48"/>
        <v>0.06507</v>
      </c>
      <c r="E392" s="17">
        <v>0.02477</v>
      </c>
    </row>
    <row r="393">
      <c r="C393" s="91" t="s">
        <v>100</v>
      </c>
      <c r="D393" s="17">
        <f t="shared" si="48"/>
        <v>0.00421</v>
      </c>
      <c r="E393" s="17">
        <v>0.00542</v>
      </c>
    </row>
    <row r="394">
      <c r="C394" s="91" t="s">
        <v>61</v>
      </c>
      <c r="D394" s="17">
        <f t="shared" si="48"/>
        <v>0.0375</v>
      </c>
      <c r="E394" s="17">
        <v>0.02358</v>
      </c>
    </row>
    <row r="395">
      <c r="C395" s="91" t="s">
        <v>17</v>
      </c>
      <c r="D395" s="17">
        <f t="shared" si="48"/>
        <v>0.30715</v>
      </c>
      <c r="E395" s="17">
        <v>0.4257</v>
      </c>
    </row>
    <row r="396">
      <c r="C396" s="91" t="s">
        <v>725</v>
      </c>
      <c r="D396" s="17">
        <f t="shared" si="48"/>
        <v>0</v>
      </c>
      <c r="E396" s="17">
        <v>3.0E-4</v>
      </c>
    </row>
    <row r="397">
      <c r="C397" s="91" t="s">
        <v>171</v>
      </c>
      <c r="D397" s="17">
        <f t="shared" si="48"/>
        <v>0.00005</v>
      </c>
      <c r="E397" s="17">
        <v>4.0E-5</v>
      </c>
    </row>
    <row r="398">
      <c r="C398" s="91" t="s">
        <v>54</v>
      </c>
      <c r="D398" s="17">
        <f t="shared" si="48"/>
        <v>0.06017</v>
      </c>
      <c r="E398" s="17">
        <v>0.09521</v>
      </c>
    </row>
    <row r="399">
      <c r="C399" s="91" t="s">
        <v>81</v>
      </c>
      <c r="D399" s="17">
        <f t="shared" si="48"/>
        <v>0.0322</v>
      </c>
      <c r="E399" s="17">
        <v>0.01823</v>
      </c>
    </row>
    <row r="475">
      <c r="A475" s="1" t="s">
        <v>1850</v>
      </c>
    </row>
    <row r="476">
      <c r="A476" s="18" t="s">
        <v>115</v>
      </c>
      <c r="B476" s="18" t="s">
        <v>115</v>
      </c>
      <c r="C476" s="1" t="s">
        <v>1852</v>
      </c>
      <c r="D476" s="1" t="s">
        <v>1852</v>
      </c>
      <c r="E476" s="1" t="s">
        <v>107</v>
      </c>
      <c r="F476" s="1" t="s">
        <v>107</v>
      </c>
      <c r="H476" s="11" t="s">
        <v>119</v>
      </c>
      <c r="J476" s="1">
        <v>137.0</v>
      </c>
    </row>
    <row r="477">
      <c r="A477" s="1" t="s">
        <v>128</v>
      </c>
      <c r="B477" s="18" t="s">
        <v>129</v>
      </c>
      <c r="C477" s="1" t="s">
        <v>246</v>
      </c>
      <c r="D477" s="1" t="s">
        <v>697</v>
      </c>
      <c r="E477" s="1" t="s">
        <v>100</v>
      </c>
      <c r="F477" s="1" t="s">
        <v>100</v>
      </c>
      <c r="H477" s="11" t="s">
        <v>130</v>
      </c>
      <c r="J477" s="1">
        <v>1335.0</v>
      </c>
    </row>
    <row r="478">
      <c r="A478" s="1" t="s">
        <v>134</v>
      </c>
      <c r="B478" s="1" t="s">
        <v>134</v>
      </c>
      <c r="C478" s="1" t="s">
        <v>246</v>
      </c>
      <c r="D478" s="1" t="s">
        <v>697</v>
      </c>
      <c r="E478" s="1" t="s">
        <v>100</v>
      </c>
      <c r="F478" s="1" t="s">
        <v>100</v>
      </c>
      <c r="H478" s="16" t="s">
        <v>135</v>
      </c>
      <c r="J478" s="1">
        <v>359.0</v>
      </c>
    </row>
    <row r="479">
      <c r="A479" s="1" t="s">
        <v>139</v>
      </c>
      <c r="B479" s="1" t="s">
        <v>139</v>
      </c>
      <c r="C479" s="1" t="s">
        <v>1855</v>
      </c>
      <c r="D479" s="1" t="s">
        <v>1855</v>
      </c>
      <c r="E479" s="1" t="s">
        <v>64</v>
      </c>
      <c r="F479" s="1" t="s">
        <v>64</v>
      </c>
      <c r="H479" s="16" t="s">
        <v>142</v>
      </c>
      <c r="J479" s="1">
        <v>289.0</v>
      </c>
    </row>
    <row r="480">
      <c r="A480" s="1" t="s">
        <v>145</v>
      </c>
      <c r="B480" s="1" t="s">
        <v>146</v>
      </c>
      <c r="E480" s="18" t="s">
        <v>147</v>
      </c>
      <c r="F480" s="1" t="s">
        <v>61</v>
      </c>
      <c r="H480" s="11" t="s">
        <v>148</v>
      </c>
      <c r="J480" s="75">
        <v>1006.0</v>
      </c>
    </row>
    <row r="492">
      <c r="A492" s="1" t="s">
        <v>1857</v>
      </c>
    </row>
    <row r="494">
      <c r="A494" s="1" t="s">
        <v>1858</v>
      </c>
      <c r="E494" s="1">
        <v>3000000.0</v>
      </c>
    </row>
    <row r="495">
      <c r="A495" s="1" t="s">
        <v>1298</v>
      </c>
      <c r="B495" s="17" t="str">
        <f t="shared" ref="B495:B514" si="49">_xlfn.xlookup(D495,A1:A374,F1:F374,0)</f>
        <v>CT</v>
      </c>
      <c r="C495" s="1" t="s">
        <v>1859</v>
      </c>
      <c r="D495" s="1" t="s">
        <v>420</v>
      </c>
      <c r="E495" s="17">
        <f t="shared" ref="E495:E514" si="50">_xlfn.xlookup(D495,A2:A374,G2:G374,0)</f>
        <v>67862</v>
      </c>
    </row>
    <row r="496">
      <c r="A496" s="1" t="s">
        <v>1232</v>
      </c>
      <c r="B496" s="17" t="str">
        <f t="shared" si="49"/>
        <v>Dermoscopy</v>
      </c>
      <c r="C496" s="1" t="s">
        <v>1860</v>
      </c>
      <c r="D496" s="1" t="s">
        <v>883</v>
      </c>
      <c r="E496" s="17">
        <f t="shared" si="50"/>
        <v>4485904</v>
      </c>
    </row>
    <row r="497">
      <c r="A497" s="1" t="s">
        <v>1862</v>
      </c>
      <c r="B497" s="17" t="str">
        <f t="shared" si="49"/>
        <v>X-Ray</v>
      </c>
      <c r="C497" s="1" t="s">
        <v>1598</v>
      </c>
      <c r="D497" s="1" t="s">
        <v>464</v>
      </c>
      <c r="E497" s="17">
        <f t="shared" si="50"/>
        <v>7047</v>
      </c>
    </row>
    <row r="498">
      <c r="A498" s="1" t="s">
        <v>1195</v>
      </c>
      <c r="B498" s="17" t="str">
        <f t="shared" si="49"/>
        <v>MRI</v>
      </c>
      <c r="C498" s="1" t="s">
        <v>1864</v>
      </c>
      <c r="D498" s="1" t="s">
        <v>1194</v>
      </c>
      <c r="E498" s="17">
        <f t="shared" si="50"/>
        <v>255736</v>
      </c>
    </row>
    <row r="499">
      <c r="A499" s="1" t="s">
        <v>1865</v>
      </c>
      <c r="B499" s="17" t="str">
        <f t="shared" si="49"/>
        <v>X-Ray</v>
      </c>
      <c r="C499" s="1" t="s">
        <v>1598</v>
      </c>
      <c r="D499" s="1" t="s">
        <v>572</v>
      </c>
      <c r="E499" s="17">
        <f t="shared" si="50"/>
        <v>410</v>
      </c>
    </row>
    <row r="500">
      <c r="A500" s="1" t="s">
        <v>1340</v>
      </c>
      <c r="B500" s="17" t="str">
        <f t="shared" si="49"/>
        <v>MRI</v>
      </c>
      <c r="C500" s="1" t="s">
        <v>1598</v>
      </c>
      <c r="D500" s="1" t="s">
        <v>1339</v>
      </c>
      <c r="E500" s="17">
        <f t="shared" si="50"/>
        <v>2243688</v>
      </c>
    </row>
    <row r="501">
      <c r="A501" s="1" t="s">
        <v>1866</v>
      </c>
      <c r="B501" s="17" t="str">
        <f t="shared" si="49"/>
        <v>Fundus</v>
      </c>
      <c r="C501" s="1" t="s">
        <v>1867</v>
      </c>
      <c r="D501" s="1" t="s">
        <v>649</v>
      </c>
      <c r="E501" s="17">
        <f t="shared" si="50"/>
        <v>1</v>
      </c>
    </row>
    <row r="502">
      <c r="A502" s="1" t="s">
        <v>1283</v>
      </c>
      <c r="B502" s="17" t="str">
        <f t="shared" si="49"/>
        <v>CT</v>
      </c>
      <c r="C502" s="1" t="s">
        <v>1868</v>
      </c>
      <c r="D502" s="1" t="s">
        <v>683</v>
      </c>
      <c r="E502" s="17">
        <f t="shared" si="50"/>
        <v>5848586</v>
      </c>
    </row>
    <row r="503">
      <c r="A503" s="1" t="s">
        <v>1869</v>
      </c>
      <c r="B503" s="17" t="str">
        <f t="shared" si="49"/>
        <v>CT</v>
      </c>
      <c r="C503" s="1" t="s">
        <v>1870</v>
      </c>
      <c r="D503" s="1" t="s">
        <v>742</v>
      </c>
      <c r="E503" s="17">
        <f t="shared" si="50"/>
        <v>20</v>
      </c>
    </row>
    <row r="504">
      <c r="A504" s="1" t="s">
        <v>1211</v>
      </c>
      <c r="B504" s="17" t="str">
        <f t="shared" si="49"/>
        <v>CT</v>
      </c>
      <c r="C504" s="1" t="s">
        <v>1871</v>
      </c>
      <c r="D504" s="1" t="s">
        <v>758</v>
      </c>
      <c r="E504" s="17">
        <f t="shared" si="50"/>
        <v>327087</v>
      </c>
    </row>
    <row r="505">
      <c r="A505" s="1" t="s">
        <v>1164</v>
      </c>
      <c r="B505" s="17" t="str">
        <f t="shared" si="49"/>
        <v>Ultrasound</v>
      </c>
      <c r="C505" s="1" t="s">
        <v>1872</v>
      </c>
      <c r="D505" s="1" t="s">
        <v>1163</v>
      </c>
      <c r="E505" s="17">
        <f t="shared" si="50"/>
        <v>798381</v>
      </c>
    </row>
    <row r="506">
      <c r="A506" s="1" t="s">
        <v>1873</v>
      </c>
      <c r="B506" s="17" t="str">
        <f t="shared" si="49"/>
        <v>Microscopy</v>
      </c>
      <c r="C506" s="1" t="s">
        <v>1875</v>
      </c>
      <c r="D506" s="1" t="s">
        <v>1728</v>
      </c>
      <c r="E506" s="17">
        <f t="shared" si="50"/>
        <v>5311</v>
      </c>
    </row>
    <row r="507">
      <c r="A507" s="1" t="s">
        <v>1255</v>
      </c>
      <c r="B507" s="17" t="str">
        <f t="shared" si="49"/>
        <v>Ultrasound</v>
      </c>
      <c r="C507" s="1" t="s">
        <v>1876</v>
      </c>
      <c r="D507" s="1" t="s">
        <v>1254</v>
      </c>
      <c r="E507" s="17">
        <f t="shared" si="50"/>
        <v>4247469</v>
      </c>
    </row>
    <row r="508">
      <c r="A508" s="1" t="s">
        <v>1214</v>
      </c>
      <c r="B508" s="17" t="str">
        <f t="shared" si="49"/>
        <v>MRI</v>
      </c>
      <c r="C508" s="1" t="s">
        <v>1877</v>
      </c>
      <c r="D508" s="1" t="s">
        <v>1213</v>
      </c>
      <c r="E508" s="17">
        <f t="shared" si="50"/>
        <v>145</v>
      </c>
    </row>
    <row r="509">
      <c r="A509" s="1" t="s">
        <v>1191</v>
      </c>
      <c r="B509" s="17" t="str">
        <f t="shared" si="49"/>
        <v>CT</v>
      </c>
      <c r="C509" s="1" t="s">
        <v>1878</v>
      </c>
      <c r="D509" s="1" t="s">
        <v>1190</v>
      </c>
      <c r="E509" s="17">
        <f t="shared" si="50"/>
        <v>20904</v>
      </c>
    </row>
    <row r="510">
      <c r="A510" s="1" t="s">
        <v>1188</v>
      </c>
      <c r="B510" s="17" t="str">
        <f t="shared" si="49"/>
        <v>CT</v>
      </c>
      <c r="C510" s="1" t="s">
        <v>1878</v>
      </c>
      <c r="D510" s="1" t="s">
        <v>1187</v>
      </c>
      <c r="E510" s="17">
        <f t="shared" si="50"/>
        <v>41377</v>
      </c>
    </row>
    <row r="511">
      <c r="A511" s="1" t="s">
        <v>1351</v>
      </c>
      <c r="B511" s="17" t="str">
        <f t="shared" si="49"/>
        <v>CT</v>
      </c>
      <c r="C511" s="1" t="s">
        <v>1878</v>
      </c>
      <c r="D511" s="1" t="s">
        <v>1350</v>
      </c>
      <c r="E511" s="17">
        <f t="shared" si="50"/>
        <v>3156</v>
      </c>
    </row>
    <row r="512">
      <c r="A512" s="1" t="s">
        <v>1202</v>
      </c>
      <c r="B512" s="17" t="str">
        <f t="shared" si="49"/>
        <v>MRI</v>
      </c>
      <c r="C512" s="1" t="s">
        <v>1877</v>
      </c>
      <c r="D512" s="1" t="s">
        <v>1201</v>
      </c>
      <c r="E512" s="17">
        <f t="shared" si="50"/>
        <v>36439</v>
      </c>
    </row>
    <row r="513">
      <c r="A513" s="1" t="s">
        <v>1154</v>
      </c>
      <c r="B513" s="17" t="str">
        <f t="shared" si="49"/>
        <v>CT</v>
      </c>
      <c r="C513" s="1" t="s">
        <v>1879</v>
      </c>
      <c r="D513" s="1" t="s">
        <v>1153</v>
      </c>
      <c r="E513" s="17">
        <f t="shared" si="50"/>
        <v>39675</v>
      </c>
    </row>
    <row r="514">
      <c r="A514" s="1" t="s">
        <v>1880</v>
      </c>
      <c r="B514" s="17" t="str">
        <f t="shared" si="49"/>
        <v>CT</v>
      </c>
      <c r="C514" s="1" t="s">
        <v>1881</v>
      </c>
      <c r="D514" s="1" t="s">
        <v>1505</v>
      </c>
      <c r="E514" s="17">
        <f t="shared" si="50"/>
        <v>1</v>
      </c>
    </row>
    <row r="515">
      <c r="A515" s="1" t="s">
        <v>1882</v>
      </c>
      <c r="B515" s="22" t="s">
        <v>31</v>
      </c>
      <c r="C515" s="1" t="s">
        <v>1883</v>
      </c>
      <c r="D515" s="1" t="s">
        <v>251</v>
      </c>
      <c r="E515" s="23">
        <v>8044937.0</v>
      </c>
    </row>
    <row r="516">
      <c r="A516" s="1" t="s">
        <v>1884</v>
      </c>
      <c r="B516" s="17">
        <f t="array" ref="B516">_xlfn.xlookup(D516,A22:A395,F22:F395,0)</f>
        <v>0</v>
      </c>
      <c r="C516" s="1"/>
      <c r="E516" s="23">
        <v>3224566.0</v>
      </c>
    </row>
    <row r="517">
      <c r="A517" s="1" t="s">
        <v>1388</v>
      </c>
      <c r="B517" s="1" t="s">
        <v>17</v>
      </c>
      <c r="C517" s="1" t="s">
        <v>1029</v>
      </c>
      <c r="D517" s="1" t="s">
        <v>1388</v>
      </c>
      <c r="E517" s="1">
        <v>255324.0</v>
      </c>
    </row>
    <row r="518">
      <c r="A518" s="1" t="s">
        <v>1316</v>
      </c>
      <c r="B518" s="1" t="s">
        <v>61</v>
      </c>
      <c r="C518" s="1" t="s">
        <v>1885</v>
      </c>
      <c r="D518" s="1" t="s">
        <v>1315</v>
      </c>
      <c r="E518" s="1">
        <v>347018.0</v>
      </c>
    </row>
    <row r="519">
      <c r="A519" s="1"/>
      <c r="C519" s="1"/>
    </row>
    <row r="520">
      <c r="E520" s="17">
        <f>SUM(E493:E518)</f>
        <v>33301044</v>
      </c>
    </row>
    <row r="521">
      <c r="E521" s="75">
        <v>-3.4220706E7</v>
      </c>
    </row>
    <row r="522">
      <c r="E522" s="33">
        <f>E520+E521</f>
        <v>-919662</v>
      </c>
    </row>
    <row r="526">
      <c r="E526" s="94"/>
    </row>
  </sheetData>
  <autoFilter ref="$G$1:$G$992">
    <filterColumn colId="0">
      <colorFilter dxfId="1"/>
    </filterColumn>
  </autoFilter>
  <hyperlinks>
    <hyperlink r:id="rId1" ref="H476"/>
    <hyperlink r:id="rId2" ref="H477"/>
    <hyperlink r:id="rId3" ref="H478"/>
    <hyperlink r:id="rId4" ref="H479"/>
    <hyperlink r:id="rId5" ref="H480"/>
  </hyperlinks>
  <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2" t="s">
        <v>1112</v>
      </c>
      <c r="B1" s="72" t="s">
        <v>1113</v>
      </c>
    </row>
    <row r="2">
      <c r="A2" s="73" t="s">
        <v>1114</v>
      </c>
      <c r="B2" s="74" t="s">
        <v>1116</v>
      </c>
    </row>
    <row r="3">
      <c r="A3" s="73" t="s">
        <v>1119</v>
      </c>
      <c r="B3" s="74" t="s">
        <v>1120</v>
      </c>
    </row>
    <row r="4">
      <c r="A4" s="73" t="s">
        <v>498</v>
      </c>
      <c r="B4" s="74" t="s">
        <v>1121</v>
      </c>
    </row>
    <row r="5">
      <c r="A5" s="73" t="s">
        <v>516</v>
      </c>
      <c r="B5" s="74" t="s">
        <v>1122</v>
      </c>
    </row>
    <row r="6">
      <c r="A6" s="73" t="s">
        <v>937</v>
      </c>
      <c r="B6" s="74" t="s">
        <v>1123</v>
      </c>
    </row>
    <row r="7">
      <c r="A7" s="73" t="s">
        <v>776</v>
      </c>
      <c r="B7" s="74" t="s">
        <v>1124</v>
      </c>
    </row>
    <row r="8">
      <c r="A8" s="73" t="s">
        <v>1125</v>
      </c>
      <c r="B8" s="74" t="s">
        <v>1126</v>
      </c>
    </row>
    <row r="9">
      <c r="A9" s="73" t="s">
        <v>1127</v>
      </c>
      <c r="B9" s="74" t="s">
        <v>1128</v>
      </c>
    </row>
    <row r="10">
      <c r="A10" s="73" t="s">
        <v>1129</v>
      </c>
      <c r="B10" s="74" t="s">
        <v>1130</v>
      </c>
    </row>
    <row r="11">
      <c r="A11" s="73" t="s">
        <v>1131</v>
      </c>
      <c r="B11" s="74" t="s">
        <v>1132</v>
      </c>
    </row>
    <row r="12">
      <c r="A12" s="73" t="s">
        <v>347</v>
      </c>
      <c r="B12" s="74" t="s">
        <v>1133</v>
      </c>
    </row>
    <row r="13">
      <c r="A13" s="73" t="s">
        <v>517</v>
      </c>
      <c r="B13" s="74" t="s">
        <v>1134</v>
      </c>
    </row>
    <row r="14">
      <c r="A14" s="73" t="s">
        <v>605</v>
      </c>
      <c r="B14" s="74" t="s">
        <v>1136</v>
      </c>
    </row>
    <row r="15">
      <c r="A15" s="73" t="s">
        <v>1137</v>
      </c>
      <c r="B15" s="74" t="s">
        <v>1138</v>
      </c>
    </row>
    <row r="16">
      <c r="A16" s="73" t="s">
        <v>602</v>
      </c>
      <c r="B16" s="74" t="s">
        <v>1139</v>
      </c>
    </row>
    <row r="17">
      <c r="A17" s="73" t="s">
        <v>948</v>
      </c>
      <c r="B17" s="74" t="s">
        <v>1140</v>
      </c>
    </row>
    <row r="18">
      <c r="A18" s="73" t="s">
        <v>1141</v>
      </c>
      <c r="B18" s="74" t="s">
        <v>1142</v>
      </c>
    </row>
    <row r="19">
      <c r="A19" s="73" t="s">
        <v>1143</v>
      </c>
      <c r="B19" s="74" t="s">
        <v>1144</v>
      </c>
    </row>
    <row r="20">
      <c r="A20" s="73" t="s">
        <v>1145</v>
      </c>
      <c r="B20" s="74" t="s">
        <v>1146</v>
      </c>
    </row>
    <row r="21">
      <c r="A21" s="73" t="s">
        <v>1147</v>
      </c>
      <c r="B21" s="74" t="s">
        <v>1148</v>
      </c>
    </row>
    <row r="22">
      <c r="A22" s="73" t="s">
        <v>1149</v>
      </c>
      <c r="B22" s="74" t="s">
        <v>1150</v>
      </c>
    </row>
    <row r="23">
      <c r="A23" s="73" t="s">
        <v>1151</v>
      </c>
      <c r="B23" s="74" t="s">
        <v>1152</v>
      </c>
    </row>
    <row r="24">
      <c r="A24" s="73" t="s">
        <v>1153</v>
      </c>
      <c r="B24" s="74" t="s">
        <v>1154</v>
      </c>
    </row>
    <row r="25">
      <c r="A25" s="73" t="s">
        <v>1155</v>
      </c>
      <c r="B25" s="74" t="s">
        <v>1156</v>
      </c>
    </row>
    <row r="26">
      <c r="A26" s="73" t="s">
        <v>1086</v>
      </c>
      <c r="B26" s="74" t="s">
        <v>1157</v>
      </c>
    </row>
    <row r="27">
      <c r="A27" s="73" t="s">
        <v>1085</v>
      </c>
      <c r="B27" s="74" t="s">
        <v>1158</v>
      </c>
    </row>
    <row r="28">
      <c r="A28" s="73" t="s">
        <v>1160</v>
      </c>
      <c r="B28" s="74" t="s">
        <v>1162</v>
      </c>
    </row>
    <row r="29">
      <c r="A29" s="73" t="s">
        <v>1163</v>
      </c>
      <c r="B29" s="74" t="s">
        <v>1164</v>
      </c>
    </row>
    <row r="30">
      <c r="A30" s="73" t="s">
        <v>1166</v>
      </c>
      <c r="B30" s="74" t="s">
        <v>1167</v>
      </c>
    </row>
    <row r="31">
      <c r="A31" s="73" t="s">
        <v>1168</v>
      </c>
      <c r="B31" s="74" t="s">
        <v>1169</v>
      </c>
    </row>
    <row r="32">
      <c r="A32" s="73" t="s">
        <v>1170</v>
      </c>
      <c r="B32" s="74" t="s">
        <v>1171</v>
      </c>
    </row>
    <row r="33">
      <c r="A33" s="73" t="s">
        <v>334</v>
      </c>
      <c r="B33" s="74" t="s">
        <v>1172</v>
      </c>
    </row>
    <row r="34">
      <c r="A34" s="73" t="s">
        <v>1173</v>
      </c>
      <c r="B34" s="74" t="s">
        <v>1174</v>
      </c>
    </row>
    <row r="35">
      <c r="A35" s="73" t="s">
        <v>1175</v>
      </c>
      <c r="B35" s="74" t="s">
        <v>1176</v>
      </c>
    </row>
    <row r="36">
      <c r="A36" s="73" t="s">
        <v>1177</v>
      </c>
      <c r="B36" s="74" t="s">
        <v>1178</v>
      </c>
    </row>
    <row r="37">
      <c r="A37" s="73" t="s">
        <v>1179</v>
      </c>
      <c r="B37" s="74" t="s">
        <v>1180</v>
      </c>
    </row>
    <row r="38">
      <c r="A38" s="73" t="s">
        <v>1181</v>
      </c>
      <c r="B38" s="74" t="s">
        <v>1182</v>
      </c>
    </row>
    <row r="39">
      <c r="A39" s="73" t="s">
        <v>271</v>
      </c>
      <c r="B39" s="74" t="s">
        <v>1183</v>
      </c>
    </row>
    <row r="40">
      <c r="A40" s="73" t="s">
        <v>1184</v>
      </c>
      <c r="B40" s="74" t="s">
        <v>1185</v>
      </c>
    </row>
    <row r="41">
      <c r="A41" s="73" t="s">
        <v>1187</v>
      </c>
      <c r="B41" s="74" t="s">
        <v>1188</v>
      </c>
    </row>
    <row r="42">
      <c r="A42" s="73" t="s">
        <v>1190</v>
      </c>
      <c r="B42" s="74" t="s">
        <v>1191</v>
      </c>
    </row>
    <row r="43">
      <c r="A43" s="73" t="s">
        <v>1192</v>
      </c>
      <c r="B43" s="74" t="s">
        <v>1193</v>
      </c>
    </row>
    <row r="44">
      <c r="A44" s="73" t="s">
        <v>1194</v>
      </c>
      <c r="B44" s="74" t="s">
        <v>1195</v>
      </c>
    </row>
    <row r="45">
      <c r="A45" s="73" t="s">
        <v>407</v>
      </c>
      <c r="B45" s="74" t="s">
        <v>1196</v>
      </c>
    </row>
    <row r="46">
      <c r="A46" s="73" t="s">
        <v>265</v>
      </c>
      <c r="B46" s="74" t="s">
        <v>1197</v>
      </c>
    </row>
    <row r="47">
      <c r="A47" s="73" t="s">
        <v>1198</v>
      </c>
      <c r="B47" s="74" t="s">
        <v>1199</v>
      </c>
    </row>
    <row r="48">
      <c r="A48" s="73" t="s">
        <v>511</v>
      </c>
      <c r="B48" s="74" t="s">
        <v>1200</v>
      </c>
    </row>
    <row r="49">
      <c r="A49" s="73" t="s">
        <v>1201</v>
      </c>
      <c r="B49" s="74" t="s">
        <v>1202</v>
      </c>
    </row>
    <row r="50">
      <c r="A50" s="73" t="s">
        <v>1203</v>
      </c>
      <c r="B50" s="74" t="s">
        <v>1204</v>
      </c>
    </row>
    <row r="51">
      <c r="A51" s="73" t="s">
        <v>1205</v>
      </c>
      <c r="B51" s="74" t="s">
        <v>1206</v>
      </c>
    </row>
    <row r="52">
      <c r="A52" s="73" t="s">
        <v>1207</v>
      </c>
      <c r="B52" s="74" t="s">
        <v>1208</v>
      </c>
    </row>
    <row r="53">
      <c r="A53" s="73" t="s">
        <v>1209</v>
      </c>
      <c r="B53" s="74" t="s">
        <v>1210</v>
      </c>
    </row>
    <row r="54">
      <c r="A54" s="73" t="s">
        <v>758</v>
      </c>
      <c r="B54" s="74" t="s">
        <v>1211</v>
      </c>
    </row>
    <row r="55">
      <c r="A55" s="73" t="s">
        <v>1090</v>
      </c>
      <c r="B55" s="74" t="s">
        <v>1212</v>
      </c>
    </row>
    <row r="56">
      <c r="A56" s="73" t="s">
        <v>1213</v>
      </c>
      <c r="B56" s="74" t="s">
        <v>1214</v>
      </c>
    </row>
    <row r="57">
      <c r="A57" s="73" t="s">
        <v>1216</v>
      </c>
      <c r="B57" s="74" t="s">
        <v>1218</v>
      </c>
    </row>
    <row r="58">
      <c r="A58" s="73" t="s">
        <v>37</v>
      </c>
      <c r="B58" s="74" t="s">
        <v>1219</v>
      </c>
    </row>
    <row r="59">
      <c r="A59" s="73" t="s">
        <v>1092</v>
      </c>
      <c r="B59" s="74" t="s">
        <v>1220</v>
      </c>
    </row>
    <row r="60">
      <c r="A60" s="73" t="s">
        <v>1221</v>
      </c>
      <c r="B60" s="74" t="s">
        <v>1222</v>
      </c>
    </row>
    <row r="61">
      <c r="A61" s="73" t="s">
        <v>936</v>
      </c>
      <c r="B61" s="74" t="s">
        <v>1223</v>
      </c>
    </row>
    <row r="62">
      <c r="A62" s="73" t="s">
        <v>269</v>
      </c>
      <c r="B62" s="74" t="s">
        <v>1224</v>
      </c>
    </row>
    <row r="63">
      <c r="A63" s="73" t="s">
        <v>643</v>
      </c>
      <c r="B63" s="74" t="s">
        <v>1225</v>
      </c>
    </row>
    <row r="64">
      <c r="A64" s="73" t="s">
        <v>1226</v>
      </c>
      <c r="B64" s="74" t="s">
        <v>1227</v>
      </c>
    </row>
    <row r="65">
      <c r="A65" s="73" t="s">
        <v>1228</v>
      </c>
      <c r="B65" s="74" t="s">
        <v>1229</v>
      </c>
    </row>
    <row r="66">
      <c r="A66" s="73" t="s">
        <v>1230</v>
      </c>
      <c r="B66" s="74" t="s">
        <v>1231</v>
      </c>
    </row>
    <row r="67">
      <c r="A67" s="73" t="s">
        <v>883</v>
      </c>
      <c r="B67" s="74" t="s">
        <v>1232</v>
      </c>
    </row>
    <row r="68">
      <c r="A68" s="73" t="s">
        <v>502</v>
      </c>
      <c r="B68" s="74" t="s">
        <v>1233</v>
      </c>
    </row>
    <row r="69">
      <c r="A69" s="73" t="s">
        <v>1234</v>
      </c>
      <c r="B69" s="74" t="s">
        <v>1235</v>
      </c>
    </row>
    <row r="70">
      <c r="A70" s="73" t="s">
        <v>1236</v>
      </c>
      <c r="B70" s="74" t="s">
        <v>1237</v>
      </c>
    </row>
    <row r="71">
      <c r="A71" s="73" t="s">
        <v>521</v>
      </c>
      <c r="B71" s="74" t="s">
        <v>1238</v>
      </c>
    </row>
    <row r="72">
      <c r="A72" s="73" t="s">
        <v>1239</v>
      </c>
      <c r="B72" s="74" t="s">
        <v>1240</v>
      </c>
    </row>
    <row r="73">
      <c r="A73" s="73" t="s">
        <v>1059</v>
      </c>
      <c r="B73" s="74" t="s">
        <v>1241</v>
      </c>
    </row>
    <row r="74">
      <c r="A74" s="73" t="s">
        <v>1242</v>
      </c>
      <c r="B74" s="74" t="s">
        <v>1243</v>
      </c>
    </row>
    <row r="75">
      <c r="A75" s="73" t="s">
        <v>1244</v>
      </c>
      <c r="B75" s="74" t="s">
        <v>1245</v>
      </c>
    </row>
    <row r="76">
      <c r="A76" s="73" t="s">
        <v>1247</v>
      </c>
      <c r="B76" s="74" t="s">
        <v>1249</v>
      </c>
    </row>
    <row r="77">
      <c r="A77" s="73" t="s">
        <v>1250</v>
      </c>
      <c r="B77" s="74" t="s">
        <v>1251</v>
      </c>
    </row>
    <row r="78">
      <c r="A78" s="73" t="s">
        <v>1252</v>
      </c>
      <c r="B78" s="74" t="s">
        <v>1253</v>
      </c>
    </row>
    <row r="79">
      <c r="A79" s="73" t="s">
        <v>1254</v>
      </c>
      <c r="B79" s="74" t="s">
        <v>1255</v>
      </c>
    </row>
    <row r="80">
      <c r="A80" s="73" t="s">
        <v>1256</v>
      </c>
      <c r="B80" s="74" t="s">
        <v>1257</v>
      </c>
    </row>
    <row r="81">
      <c r="A81" s="73" t="s">
        <v>1258</v>
      </c>
      <c r="B81" s="74" t="s">
        <v>1259</v>
      </c>
    </row>
    <row r="82">
      <c r="A82" s="73" t="s">
        <v>1095</v>
      </c>
      <c r="B82" s="74" t="s">
        <v>1260</v>
      </c>
    </row>
    <row r="83">
      <c r="A83" s="73" t="s">
        <v>1261</v>
      </c>
      <c r="B83" s="74" t="s">
        <v>1262</v>
      </c>
    </row>
    <row r="84">
      <c r="A84" s="73" t="s">
        <v>1263</v>
      </c>
      <c r="B84" s="74" t="s">
        <v>1264</v>
      </c>
    </row>
    <row r="85">
      <c r="A85" s="73" t="s">
        <v>277</v>
      </c>
      <c r="B85" s="74" t="s">
        <v>1265</v>
      </c>
    </row>
    <row r="86">
      <c r="A86" s="73" t="s">
        <v>1266</v>
      </c>
      <c r="B86" s="74" t="s">
        <v>1267</v>
      </c>
    </row>
    <row r="87">
      <c r="A87" s="73" t="s">
        <v>1268</v>
      </c>
      <c r="B87" s="74" t="s">
        <v>1269</v>
      </c>
    </row>
    <row r="88">
      <c r="A88" s="73" t="s">
        <v>1270</v>
      </c>
      <c r="B88" s="74" t="s">
        <v>1271</v>
      </c>
    </row>
    <row r="89">
      <c r="A89" s="73" t="s">
        <v>1031</v>
      </c>
      <c r="B89" s="74" t="s">
        <v>1272</v>
      </c>
    </row>
    <row r="90">
      <c r="A90" s="73" t="s">
        <v>522</v>
      </c>
      <c r="B90" s="74" t="s">
        <v>1273</v>
      </c>
    </row>
    <row r="91">
      <c r="A91" s="73" t="s">
        <v>1274</v>
      </c>
      <c r="B91" s="74" t="s">
        <v>1275</v>
      </c>
    </row>
    <row r="92">
      <c r="A92" s="73" t="s">
        <v>1276</v>
      </c>
      <c r="B92" s="74" t="s">
        <v>1277</v>
      </c>
    </row>
    <row r="93">
      <c r="A93" s="73" t="s">
        <v>532</v>
      </c>
      <c r="B93" s="74" t="s">
        <v>1278</v>
      </c>
    </row>
    <row r="94">
      <c r="A94" s="73" t="s">
        <v>1279</v>
      </c>
      <c r="B94" s="74" t="s">
        <v>1280</v>
      </c>
    </row>
    <row r="95">
      <c r="A95" s="73" t="s">
        <v>1281</v>
      </c>
      <c r="B95" s="74" t="s">
        <v>1282</v>
      </c>
    </row>
    <row r="96">
      <c r="A96" s="73" t="s">
        <v>683</v>
      </c>
      <c r="B96" s="74" t="s">
        <v>1283</v>
      </c>
    </row>
    <row r="97">
      <c r="A97" s="73" t="s">
        <v>912</v>
      </c>
      <c r="B97" s="74" t="s">
        <v>1284</v>
      </c>
    </row>
    <row r="98">
      <c r="A98" s="73" t="s">
        <v>915</v>
      </c>
      <c r="B98" s="74" t="s">
        <v>1285</v>
      </c>
    </row>
    <row r="99">
      <c r="A99" s="73" t="s">
        <v>916</v>
      </c>
      <c r="B99" s="74" t="s">
        <v>1286</v>
      </c>
    </row>
    <row r="100">
      <c r="A100" s="73" t="s">
        <v>781</v>
      </c>
      <c r="B100" s="74" t="s">
        <v>1287</v>
      </c>
    </row>
    <row r="101">
      <c r="A101" s="73" t="s">
        <v>1288</v>
      </c>
      <c r="B101" s="74" t="s">
        <v>1289</v>
      </c>
    </row>
    <row r="102">
      <c r="A102" s="73" t="s">
        <v>750</v>
      </c>
      <c r="B102" s="74" t="s">
        <v>1291</v>
      </c>
    </row>
    <row r="103">
      <c r="A103" s="73" t="s">
        <v>93</v>
      </c>
      <c r="B103" s="74" t="s">
        <v>1293</v>
      </c>
    </row>
    <row r="104">
      <c r="A104" s="73" t="s">
        <v>1294</v>
      </c>
      <c r="B104" s="74" t="s">
        <v>1296</v>
      </c>
    </row>
    <row r="105">
      <c r="A105" s="73" t="s">
        <v>420</v>
      </c>
      <c r="B105" s="74" t="s">
        <v>1298</v>
      </c>
    </row>
    <row r="106">
      <c r="A106" s="73" t="s">
        <v>862</v>
      </c>
      <c r="B106" s="74" t="s">
        <v>1299</v>
      </c>
    </row>
    <row r="107">
      <c r="A107" s="73" t="s">
        <v>462</v>
      </c>
      <c r="B107" s="74" t="s">
        <v>1300</v>
      </c>
    </row>
    <row r="108">
      <c r="A108" s="73" t="s">
        <v>1301</v>
      </c>
      <c r="B108" s="74" t="s">
        <v>1302</v>
      </c>
    </row>
    <row r="109">
      <c r="A109" s="73" t="s">
        <v>1303</v>
      </c>
      <c r="B109" s="74" t="s">
        <v>1304</v>
      </c>
    </row>
    <row r="110">
      <c r="A110" s="73" t="s">
        <v>536</v>
      </c>
      <c r="B110" s="74" t="s">
        <v>1305</v>
      </c>
    </row>
    <row r="111">
      <c r="A111" s="73" t="s">
        <v>1306</v>
      </c>
      <c r="B111" s="74" t="s">
        <v>1307</v>
      </c>
    </row>
    <row r="112">
      <c r="A112" s="73" t="s">
        <v>1308</v>
      </c>
      <c r="B112" s="74" t="s">
        <v>1309</v>
      </c>
    </row>
    <row r="113">
      <c r="A113" s="73" t="s">
        <v>1310</v>
      </c>
      <c r="B113" s="74" t="s">
        <v>1311</v>
      </c>
    </row>
    <row r="114">
      <c r="A114" s="73" t="s">
        <v>1312</v>
      </c>
      <c r="B114" s="74" t="s">
        <v>1313</v>
      </c>
    </row>
    <row r="115">
      <c r="A115" s="73" t="s">
        <v>733</v>
      </c>
      <c r="B115" s="74" t="s">
        <v>1314</v>
      </c>
    </row>
    <row r="116">
      <c r="A116" s="73" t="s">
        <v>1315</v>
      </c>
      <c r="B116" s="74" t="s">
        <v>1316</v>
      </c>
    </row>
    <row r="117">
      <c r="A117" s="73" t="s">
        <v>1317</v>
      </c>
      <c r="B117" s="74" t="s">
        <v>1318</v>
      </c>
    </row>
    <row r="118">
      <c r="A118" s="73" t="s">
        <v>1319</v>
      </c>
      <c r="B118" s="74" t="s">
        <v>1320</v>
      </c>
    </row>
    <row r="119">
      <c r="A119" s="73" t="s">
        <v>1321</v>
      </c>
      <c r="B119" s="74" t="s">
        <v>1323</v>
      </c>
    </row>
    <row r="120">
      <c r="A120" s="73" t="s">
        <v>1324</v>
      </c>
      <c r="B120" s="74" t="s">
        <v>1325</v>
      </c>
    </row>
    <row r="121">
      <c r="A121" s="73" t="s">
        <v>1326</v>
      </c>
      <c r="B121" s="74" t="s">
        <v>1327</v>
      </c>
    </row>
    <row r="122">
      <c r="A122" s="73" t="s">
        <v>1328</v>
      </c>
      <c r="B122" s="74" t="s">
        <v>1329</v>
      </c>
    </row>
    <row r="123">
      <c r="A123" s="73" t="s">
        <v>1330</v>
      </c>
      <c r="B123" s="74" t="s">
        <v>1331</v>
      </c>
    </row>
    <row r="124">
      <c r="A124" s="73" t="s">
        <v>1332</v>
      </c>
      <c r="B124" s="74" t="s">
        <v>1333</v>
      </c>
    </row>
    <row r="125">
      <c r="A125" s="73" t="s">
        <v>1334</v>
      </c>
      <c r="B125" s="74" t="s">
        <v>1335</v>
      </c>
    </row>
    <row r="126">
      <c r="A126" s="73" t="s">
        <v>917</v>
      </c>
      <c r="B126" s="74" t="s">
        <v>1336</v>
      </c>
    </row>
    <row r="127">
      <c r="A127" s="73" t="s">
        <v>1337</v>
      </c>
      <c r="B127" s="74" t="s">
        <v>1338</v>
      </c>
    </row>
    <row r="128">
      <c r="A128" s="73" t="s">
        <v>1339</v>
      </c>
      <c r="B128" s="74" t="s">
        <v>1340</v>
      </c>
    </row>
    <row r="129">
      <c r="A129" s="73" t="s">
        <v>262</v>
      </c>
      <c r="B129" s="74" t="s">
        <v>1341</v>
      </c>
    </row>
    <row r="130">
      <c r="A130" s="73" t="s">
        <v>28</v>
      </c>
      <c r="B130" s="74" t="s">
        <v>1342</v>
      </c>
    </row>
    <row r="131">
      <c r="A131" s="73" t="s">
        <v>1343</v>
      </c>
      <c r="B131" s="74" t="s">
        <v>1344</v>
      </c>
    </row>
    <row r="132">
      <c r="A132" s="73" t="s">
        <v>1345</v>
      </c>
      <c r="B132" s="74" t="s">
        <v>1346</v>
      </c>
    </row>
    <row r="133">
      <c r="A133" s="73" t="s">
        <v>535</v>
      </c>
      <c r="B133" s="74" t="s">
        <v>1348</v>
      </c>
    </row>
    <row r="134">
      <c r="A134" s="73" t="s">
        <v>1350</v>
      </c>
      <c r="B134" s="74" t="s">
        <v>1351</v>
      </c>
    </row>
    <row r="135">
      <c r="A135" s="73" t="s">
        <v>1352</v>
      </c>
      <c r="B135" s="74" t="s">
        <v>1353</v>
      </c>
    </row>
    <row r="136">
      <c r="A136" s="73" t="s">
        <v>1002</v>
      </c>
      <c r="B136" s="74" t="s">
        <v>1354</v>
      </c>
    </row>
    <row r="137">
      <c r="A137" s="73" t="s">
        <v>249</v>
      </c>
      <c r="B137" s="74" t="s">
        <v>1355</v>
      </c>
    </row>
    <row r="138">
      <c r="A138" s="73" t="s">
        <v>761</v>
      </c>
      <c r="B138" s="74" t="s">
        <v>1356</v>
      </c>
    </row>
    <row r="139">
      <c r="A139" s="73" t="s">
        <v>1357</v>
      </c>
      <c r="B139" s="74" t="s">
        <v>1358</v>
      </c>
    </row>
    <row r="140">
      <c r="A140" s="73" t="s">
        <v>615</v>
      </c>
      <c r="B140" s="74" t="s">
        <v>1359</v>
      </c>
    </row>
    <row r="141">
      <c r="A141" s="73" t="s">
        <v>1360</v>
      </c>
      <c r="B141" s="74" t="s">
        <v>1361</v>
      </c>
    </row>
    <row r="142">
      <c r="A142" s="73" t="s">
        <v>1362</v>
      </c>
      <c r="B142" s="74" t="s">
        <v>1363</v>
      </c>
    </row>
    <row r="143">
      <c r="A143" s="73" t="s">
        <v>1016</v>
      </c>
      <c r="B143" s="74" t="s">
        <v>1364</v>
      </c>
    </row>
    <row r="144">
      <c r="A144" s="73" t="s">
        <v>1365</v>
      </c>
      <c r="B144" s="74" t="s">
        <v>1366</v>
      </c>
    </row>
    <row r="145">
      <c r="A145" s="73" t="s">
        <v>1367</v>
      </c>
      <c r="B145" s="74" t="s">
        <v>1368</v>
      </c>
    </row>
    <row r="146">
      <c r="A146" s="73" t="s">
        <v>1043</v>
      </c>
      <c r="B146" s="74" t="s">
        <v>1369</v>
      </c>
    </row>
    <row r="147">
      <c r="A147" s="73" t="s">
        <v>1370</v>
      </c>
      <c r="B147" s="74" t="s">
        <v>1371</v>
      </c>
    </row>
    <row r="148">
      <c r="A148" s="73" t="s">
        <v>957</v>
      </c>
      <c r="B148" s="74" t="s">
        <v>1372</v>
      </c>
    </row>
    <row r="149">
      <c r="A149" s="73" t="s">
        <v>962</v>
      </c>
      <c r="B149" s="74" t="s">
        <v>1374</v>
      </c>
    </row>
    <row r="150">
      <c r="A150" s="73" t="s">
        <v>967</v>
      </c>
      <c r="B150" s="74" t="s">
        <v>1375</v>
      </c>
    </row>
    <row r="151">
      <c r="A151" s="73" t="s">
        <v>1377</v>
      </c>
      <c r="B151" s="74" t="s">
        <v>1379</v>
      </c>
    </row>
    <row r="152">
      <c r="A152" s="73" t="s">
        <v>1380</v>
      </c>
      <c r="B152" s="74" t="s">
        <v>1381</v>
      </c>
    </row>
    <row r="153">
      <c r="A153" s="73" t="s">
        <v>856</v>
      </c>
      <c r="B153" s="74" t="s">
        <v>1382</v>
      </c>
    </row>
    <row r="154">
      <c r="A154" s="73" t="s">
        <v>1383</v>
      </c>
      <c r="B154" s="74" t="s">
        <v>1384</v>
      </c>
    </row>
    <row r="155">
      <c r="A155" s="73" t="s">
        <v>1385</v>
      </c>
      <c r="B155" s="74" t="s">
        <v>1386</v>
      </c>
    </row>
    <row r="156">
      <c r="A156" s="73" t="s">
        <v>921</v>
      </c>
      <c r="B156" s="74" t="s">
        <v>1387</v>
      </c>
    </row>
    <row r="157">
      <c r="A157" s="73" t="s">
        <v>1388</v>
      </c>
      <c r="B157" s="74" t="s">
        <v>1389</v>
      </c>
    </row>
    <row r="158">
      <c r="A158" s="73" t="s">
        <v>1390</v>
      </c>
      <c r="B158" s="74" t="s">
        <v>1391</v>
      </c>
    </row>
    <row r="159">
      <c r="A159" s="73" t="s">
        <v>1392</v>
      </c>
      <c r="B159" s="74" t="s">
        <v>1393</v>
      </c>
    </row>
    <row r="160">
      <c r="A160" s="73" t="s">
        <v>1394</v>
      </c>
      <c r="B160" s="74" t="s">
        <v>1395</v>
      </c>
    </row>
    <row r="161">
      <c r="A161" s="73" t="s">
        <v>509</v>
      </c>
      <c r="B161" s="74" t="s">
        <v>1396</v>
      </c>
    </row>
    <row r="162">
      <c r="A162" s="73" t="s">
        <v>1159</v>
      </c>
      <c r="B162" s="74" t="s">
        <v>1397</v>
      </c>
    </row>
    <row r="163">
      <c r="A163" s="73" t="s">
        <v>1398</v>
      </c>
      <c r="B163" s="74" t="s">
        <v>1399</v>
      </c>
    </row>
    <row r="164">
      <c r="A164" s="73" t="s">
        <v>1401</v>
      </c>
      <c r="B164" s="74" t="s">
        <v>1403</v>
      </c>
    </row>
    <row r="165">
      <c r="A165" s="73" t="s">
        <v>1404</v>
      </c>
      <c r="B165" s="74" t="s">
        <v>1406</v>
      </c>
    </row>
    <row r="166">
      <c r="A166" s="73" t="s">
        <v>1407</v>
      </c>
      <c r="B166" s="74" t="s">
        <v>1408</v>
      </c>
    </row>
    <row r="167">
      <c r="A167" s="73" t="s">
        <v>1010</v>
      </c>
      <c r="B167" s="74" t="s">
        <v>1409</v>
      </c>
    </row>
    <row r="168">
      <c r="A168" s="73" t="s">
        <v>1410</v>
      </c>
      <c r="B168" s="74" t="s">
        <v>1411</v>
      </c>
    </row>
    <row r="169">
      <c r="A169" s="73" t="s">
        <v>1412</v>
      </c>
      <c r="B169" s="74" t="s">
        <v>1413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32.75"/>
    <col customWidth="1" min="5" max="5" width="30.0"/>
    <col customWidth="1" min="10" max="10" width="19.5"/>
  </cols>
  <sheetData>
    <row r="1">
      <c r="A1" s="14" t="s">
        <v>287</v>
      </c>
      <c r="B1" s="14" t="s">
        <v>0</v>
      </c>
      <c r="C1" s="12" t="s">
        <v>9</v>
      </c>
      <c r="D1" s="7" t="s">
        <v>290</v>
      </c>
      <c r="E1" s="1" t="s">
        <v>4</v>
      </c>
      <c r="F1" s="1" t="s">
        <v>291</v>
      </c>
      <c r="G1" s="1" t="s">
        <v>292</v>
      </c>
      <c r="H1" s="1" t="s">
        <v>1421</v>
      </c>
      <c r="I1" s="1" t="s">
        <v>7</v>
      </c>
      <c r="J1" s="1" t="s">
        <v>1422</v>
      </c>
    </row>
    <row r="2">
      <c r="A2" s="1" t="s">
        <v>299</v>
      </c>
      <c r="B2" s="1" t="s">
        <v>300</v>
      </c>
      <c r="C2" s="1" t="s">
        <v>301</v>
      </c>
      <c r="D2" s="1" t="s">
        <v>301</v>
      </c>
      <c r="E2" s="1" t="s">
        <v>75</v>
      </c>
      <c r="F2" s="1" t="s">
        <v>81</v>
      </c>
      <c r="G2" s="1">
        <v>356647.0</v>
      </c>
      <c r="H2" s="75">
        <v>112120.0</v>
      </c>
      <c r="I2" s="76" t="str">
        <f>IFERROR(__xludf.DUMMYFUNCTION("XLOOKUP(B2, IMPORTRANGE(""https://docs.google.com/spreadsheets/d/1UBtmuaUf7_Fv957LMBmn6lMadUM-z7scKS8El4i3Thk/edit?usp=sharing"", ""sheet1!J:J""), IMPORTRANGE(""https://docs.google.com/spreadsheets/d/1UBtmuaUf7_Fv957LMBmn6lMadUM-z7scKS8El4i3Thk/edit?usp=s"&amp;"haring"", ""sheet1!AA:AA""), 0)"),"https://www.kaggle.com/datasets/nih-chest-xrays/data")</f>
        <v>https://www.kaggle.com/datasets/nih-chest-xrays/data</v>
      </c>
      <c r="J2" s="17" t="str">
        <f>IF(OR(LOWER(F2)="mri", LOWER(F2)="ultrasound", LOWER(F2)="endoscopy", LOWER(F2)="dermoscopy", LOWER(F2)="fundus", LOWER(F2)="octa", LOWER(F2)="oct"), F2, IF(OR(LOWER(E2)="microscopy", LOWER(E2)="histopathology", LOWER(E2)="pathology", LOWER(E2)="ct", LOWER(E2)="pet", LOWER(E2)="x-ray", LOWER(E2)="mammography"), E2, ""))</f>
        <v>X-ray</v>
      </c>
    </row>
    <row r="3">
      <c r="A3" s="1" t="s">
        <v>282</v>
      </c>
      <c r="B3" s="1" t="s">
        <v>282</v>
      </c>
      <c r="C3" s="1" t="s">
        <v>301</v>
      </c>
      <c r="D3" s="1" t="s">
        <v>319</v>
      </c>
      <c r="E3" s="1" t="s">
        <v>31</v>
      </c>
      <c r="F3" s="1" t="s">
        <v>31</v>
      </c>
      <c r="G3" s="1">
        <v>244527.0</v>
      </c>
      <c r="H3" s="75">
        <v>244527.0</v>
      </c>
      <c r="I3" s="76" t="str">
        <f>IFERROR(__xludf.DUMMYFUNCTION("XLOOKUP(B3, IMPORTRANGE(""https://docs.google.com/spreadsheets/d/1UBtmuaUf7_Fv957LMBmn6lMadUM-z7scKS8El4i3Thk/edit?usp=sharing"", ""sheet1!J:J""), IMPORTRANGE(""https://docs.google.com/spreadsheets/d/1UBtmuaUf7_Fv957LMBmn6lMadUM-z7scKS8El4i3Thk/edit?usp=s"&amp;"haring"", ""sheet1!AA:AA""), 0)"),"https://www.cancerimagingarchive.net/collection/lidc-idri/")</f>
        <v>https://www.cancerimagingarchive.net/collection/lidc-idri/</v>
      </c>
      <c r="J3" s="17" t="str">
        <f t="shared" ref="J3:J10" si="1">IF(OR(F3="MRI", F3="Ultrasound", F3="Endoscopy", F3="Dermoscopy", F3="Fundus", F3="OCTA", F3="OCT"), F3, IF(OR(E3="Microscopy", E3="Histopathology", E3="Pathology", E3="CT", E3="PET", E3="X-Ray", E3="Mammography"), E3, ""))</f>
        <v>CT</v>
      </c>
    </row>
    <row r="4">
      <c r="A4" s="1" t="s">
        <v>362</v>
      </c>
      <c r="B4" s="1" t="s">
        <v>363</v>
      </c>
      <c r="C4" s="1" t="s">
        <v>301</v>
      </c>
      <c r="D4" s="1" t="s">
        <v>319</v>
      </c>
      <c r="E4" s="1" t="s">
        <v>75</v>
      </c>
      <c r="F4" s="1" t="s">
        <v>81</v>
      </c>
      <c r="G4" s="1">
        <v>662.0</v>
      </c>
      <c r="H4" s="1">
        <v>662.0</v>
      </c>
      <c r="I4" s="76" t="str">
        <f>IFERROR(__xludf.DUMMYFUNCTION("XLOOKUP(B4, IMPORTRANGE(""https://docs.google.com/spreadsheets/d/1UBtmuaUf7_Fv957LMBmn6lMadUM-z7scKS8El4i3Thk/edit?usp=sharing"", ""sheet1!J:J""), IMPORTRANGE(""https://docs.google.com/spreadsheets/d/1UBtmuaUf7_Fv957LMBmn6lMadUM-z7scKS8El4i3Thk/edit?usp=s"&amp;"haring"", ""sheet1!AA:AA""), 0)"),"https://www.kaggle.com/datasets/raddar/tuberculosis-chest-xrays-shenzhen")</f>
        <v>https://www.kaggle.com/datasets/raddar/tuberculosis-chest-xrays-shenzhen</v>
      </c>
      <c r="J4" s="17" t="str">
        <f t="shared" si="1"/>
        <v>X-ray</v>
      </c>
    </row>
    <row r="5">
      <c r="A5" s="1" t="s">
        <v>379</v>
      </c>
      <c r="B5" s="1" t="s">
        <v>380</v>
      </c>
      <c r="C5" s="1" t="s">
        <v>301</v>
      </c>
      <c r="D5" s="1" t="s">
        <v>319</v>
      </c>
      <c r="E5" s="1" t="s">
        <v>31</v>
      </c>
      <c r="F5" s="1" t="s">
        <v>31</v>
      </c>
      <c r="G5" s="1">
        <v>8792.0</v>
      </c>
      <c r="I5" s="76" t="str">
        <f>IFERROR(__xludf.DUMMYFUNCTION("XLOOKUP(B5, IMPORTRANGE(""https://docs.google.com/spreadsheets/d/1UBtmuaUf7_Fv957LMBmn6lMadUM-z7scKS8El4i3Thk/edit?usp=sharing"", ""sheet1!J:J""), IMPORTRANGE(""https://docs.google.com/spreadsheets/d/1UBtmuaUf7_Fv957LMBmn6lMadUM-z7scKS8El4i3Thk/edit?usp=s"&amp;"haring"", ""sheet1!AA:AA""), 0)"),"https://figshare.com/collections/FUMPE/4107803/1")</f>
        <v>https://figshare.com/collections/FUMPE/4107803/1</v>
      </c>
      <c r="J5" s="17" t="str">
        <f t="shared" si="1"/>
        <v>CT</v>
      </c>
    </row>
    <row r="6">
      <c r="A6" s="1" t="s">
        <v>386</v>
      </c>
      <c r="B6" s="1" t="s">
        <v>387</v>
      </c>
      <c r="C6" s="1" t="s">
        <v>301</v>
      </c>
      <c r="D6" s="1" t="s">
        <v>319</v>
      </c>
      <c r="E6" s="1" t="s">
        <v>75</v>
      </c>
      <c r="F6" s="1" t="s">
        <v>81</v>
      </c>
      <c r="G6" s="1">
        <v>12047.0</v>
      </c>
      <c r="H6" s="75">
        <v>12047.0</v>
      </c>
      <c r="I6" s="76" t="str">
        <f>IFERROR(__xludf.DUMMYFUNCTION("XLOOKUP(B6, IMPORTRANGE(""https://docs.google.com/spreadsheets/d/1UBtmuaUf7_Fv957LMBmn6lMadUM-z7scKS8El4i3Thk/edit?usp=sharing"", ""sheet1!J:J""), IMPORTRANGE(""https://docs.google.com/spreadsheets/d/1UBtmuaUf7_Fv957LMBmn6lMadUM-z7scKS8El4i3Thk/edit?usp=s"&amp;"haring"", ""sheet1!AA:AA""), 0)"),"https://www.kaggle.com/datasets/vbookshelf/pneumothorax-chest-xray-images-and-masks/data")</f>
        <v>https://www.kaggle.com/datasets/vbookshelf/pneumothorax-chest-xray-images-and-masks/data</v>
      </c>
      <c r="J6" s="17" t="str">
        <f t="shared" si="1"/>
        <v>X-ray</v>
      </c>
    </row>
    <row r="7">
      <c r="A7" s="1" t="s">
        <v>402</v>
      </c>
      <c r="B7" s="1" t="s">
        <v>403</v>
      </c>
      <c r="C7" s="1" t="s">
        <v>301</v>
      </c>
      <c r="D7" s="1" t="s">
        <v>301</v>
      </c>
      <c r="E7" s="1" t="s">
        <v>54</v>
      </c>
      <c r="F7" s="1" t="s">
        <v>54</v>
      </c>
      <c r="G7" s="1">
        <v>1578.0</v>
      </c>
      <c r="H7" s="1">
        <v>780.0</v>
      </c>
      <c r="I7" s="76" t="str">
        <f>IFERROR(__xludf.DUMMYFUNCTION("XLOOKUP(B7, IMPORTRANGE(""https://docs.google.com/spreadsheets/d/1UBtmuaUf7_Fv957LMBmn6lMadUM-z7scKS8El4i3Thk/edit?usp=sharing"", ""sheet1!J:J""), IMPORTRANGE(""https://docs.google.com/spreadsheets/d/1UBtmuaUf7_Fv957LMBmn6lMadUM-z7scKS8El4i3Thk/edit?usp=s"&amp;"haring"", ""sheet1!AA:AA""), 0)"),"https://scholar.cu.edu.eg/?q=afahmy/pages/dataset")</f>
        <v>https://scholar.cu.edu.eg/?q=afahmy/pages/dataset</v>
      </c>
      <c r="J7" s="17" t="str">
        <f t="shared" si="1"/>
        <v>Ultrasound</v>
      </c>
    </row>
    <row r="8">
      <c r="A8" s="1" t="s">
        <v>420</v>
      </c>
      <c r="B8" s="1" t="s">
        <v>420</v>
      </c>
      <c r="C8" s="1" t="s">
        <v>301</v>
      </c>
      <c r="D8" s="1" t="s">
        <v>423</v>
      </c>
      <c r="E8" s="1" t="s">
        <v>31</v>
      </c>
      <c r="F8" s="1" t="s">
        <v>31</v>
      </c>
      <c r="G8" s="1">
        <v>67862.0</v>
      </c>
      <c r="H8" s="1">
        <v>402.0</v>
      </c>
      <c r="I8" s="76" t="str">
        <f>IFERROR(__xludf.DUMMYFUNCTION("XLOOKUP(B8, IMPORTRANGE(""https://docs.google.com/spreadsheets/d/1UBtmuaUf7_Fv957LMBmn6lMadUM-z7scKS8El4i3Thk/edit?usp=sharing"", ""sheet1!J:J""), IMPORTRANGE(""https://docs.google.com/spreadsheets/d/1UBtmuaUf7_Fv957LMBmn6lMadUM-z7scKS8El4i3Thk/edit?usp=s"&amp;"haring"", ""sheet1!AA:AA""), 0)"),"https://www.cancerimagingarchive.net/analysis-result/plethora")</f>
        <v>https://www.cancerimagingarchive.net/analysis-result/plethora</v>
      </c>
      <c r="J8" s="17" t="str">
        <f t="shared" si="1"/>
        <v>CT</v>
      </c>
    </row>
    <row r="9">
      <c r="A9" s="1" t="s">
        <v>428</v>
      </c>
      <c r="B9" s="1" t="s">
        <v>429</v>
      </c>
      <c r="C9" s="1" t="s">
        <v>301</v>
      </c>
      <c r="D9" s="1" t="s">
        <v>301</v>
      </c>
      <c r="E9" s="1" t="s">
        <v>31</v>
      </c>
      <c r="F9" s="1" t="s">
        <v>31</v>
      </c>
      <c r="G9" s="1">
        <v>2481.0</v>
      </c>
      <c r="H9" s="1">
        <v>2482.0</v>
      </c>
      <c r="I9" s="76" t="str">
        <f>IFERROR(__xludf.DUMMYFUNCTION("XLOOKUP(B9, IMPORTRANGE(""https://docs.google.com/spreadsheets/d/1UBtmuaUf7_Fv957LMBmn6lMadUM-z7scKS8El4i3Thk/edit?usp=sharing"", ""sheet1!J:J""), IMPORTRANGE(""https://docs.google.com/spreadsheets/d/1UBtmuaUf7_Fv957LMBmn6lMadUM-z7scKS8El4i3Thk/edit?usp=s"&amp;"haring"", ""sheet1!AA:AA""), 0)"),"https://www.kaggle.com/datasets/plameneduardo/sarscov2-ctscan-dataset")</f>
        <v>https://www.kaggle.com/datasets/plameneduardo/sarscov2-ctscan-dataset</v>
      </c>
      <c r="J9" s="17" t="str">
        <f t="shared" si="1"/>
        <v>CT</v>
      </c>
    </row>
    <row r="10">
      <c r="A10" s="1" t="s">
        <v>438</v>
      </c>
      <c r="B10" s="1" t="s">
        <v>438</v>
      </c>
      <c r="C10" s="1" t="s">
        <v>301</v>
      </c>
      <c r="D10" s="1" t="s">
        <v>301</v>
      </c>
      <c r="E10" s="1" t="s">
        <v>31</v>
      </c>
      <c r="F10" s="1" t="s">
        <v>31</v>
      </c>
      <c r="G10" s="1">
        <v>1001.0</v>
      </c>
      <c r="I10" s="76" t="str">
        <f>IFERROR(__xludf.DUMMYFUNCTION("XLOOKUP(B10,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0)"),"https://tianchi.aliyun.com/dataset/106604")</f>
        <v>https://tianchi.aliyun.com/dataset/106604</v>
      </c>
      <c r="J10" s="17" t="str">
        <f t="shared" si="1"/>
        <v>CT</v>
      </c>
    </row>
    <row r="11">
      <c r="A11" s="1" t="s">
        <v>447</v>
      </c>
      <c r="B11" s="1" t="s">
        <v>448</v>
      </c>
      <c r="C11" s="1" t="s">
        <v>301</v>
      </c>
      <c r="D11" s="1" t="s">
        <v>301</v>
      </c>
      <c r="E11" s="1" t="s">
        <v>450</v>
      </c>
      <c r="F11" s="1" t="s">
        <v>81</v>
      </c>
      <c r="G11" s="1">
        <v>5933.0</v>
      </c>
      <c r="H11" s="1">
        <v>5800.0</v>
      </c>
      <c r="I11" s="76" t="str">
        <f>IFERROR(__xludf.DUMMYFUNCTION("XLOOKUP(B11,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0)"),"https://www.kaggle.com/datasets/praveengovi/coronahack-chest-xraydataset/data")</f>
        <v>https://www.kaggle.com/datasets/praveengovi/coronahack-chest-xraydataset/data</v>
      </c>
      <c r="J11" s="1" t="s">
        <v>75</v>
      </c>
    </row>
    <row r="12">
      <c r="A12" s="1" t="s">
        <v>454</v>
      </c>
      <c r="B12" s="1" t="s">
        <v>455</v>
      </c>
      <c r="C12" s="1" t="s">
        <v>301</v>
      </c>
      <c r="D12" s="1" t="s">
        <v>301</v>
      </c>
      <c r="E12" s="1" t="s">
        <v>75</v>
      </c>
      <c r="F12" s="1" t="s">
        <v>81</v>
      </c>
      <c r="G12" s="1">
        <v>852.0</v>
      </c>
      <c r="H12" s="1">
        <v>852.0</v>
      </c>
      <c r="I12" s="76" t="str">
        <f>IFERROR(__xludf.DUMMYFUNCTION("XLOOKUP(B12,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0)"),"https://github.com/ari-dasci/covidgr")</f>
        <v>https://github.com/ari-dasci/covidgr</v>
      </c>
      <c r="J12" s="17" t="str">
        <f t="shared" ref="J12:J18" si="2">IF(OR(F12="MRI", F12="Ultrasound", F12="Endoscopy", F12="Dermoscopy", F12="Fundus", F12="OCTA", F12="OCT"), F12, IF(OR(E12="Microscopy", E12="Histopathology", E12="Pathology", E12="CT", E12="PET", E12="X-Ray", E12="Mammography"), E12, ""))</f>
        <v>X-ray</v>
      </c>
    </row>
    <row r="13">
      <c r="A13" s="1" t="s">
        <v>464</v>
      </c>
      <c r="B13" s="1" t="s">
        <v>465</v>
      </c>
      <c r="C13" s="1" t="s">
        <v>301</v>
      </c>
      <c r="D13" s="1" t="s">
        <v>301</v>
      </c>
      <c r="E13" s="1" t="s">
        <v>75</v>
      </c>
      <c r="F13" s="1" t="s">
        <v>81</v>
      </c>
      <c r="G13" s="1">
        <v>7047.0</v>
      </c>
      <c r="H13" s="75">
        <v>6334.0</v>
      </c>
      <c r="I13" s="76" t="str">
        <f>IFERROR(__xludf.DUMMYFUNCTION("XLOOKUP(B13,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0)"),"https://www.kaggle.com/competitions/siim-covid19-detection/data")</f>
        <v>https://www.kaggle.com/competitions/siim-covid19-detection/data</v>
      </c>
      <c r="J13" s="17" t="str">
        <f t="shared" si="2"/>
        <v>X-ray</v>
      </c>
    </row>
    <row r="14">
      <c r="A14" s="1" t="s">
        <v>474</v>
      </c>
      <c r="B14" s="1" t="s">
        <v>474</v>
      </c>
      <c r="C14" s="1" t="s">
        <v>301</v>
      </c>
      <c r="D14" s="1" t="s">
        <v>319</v>
      </c>
      <c r="E14" s="1" t="s">
        <v>91</v>
      </c>
      <c r="F14" s="1" t="s">
        <v>61</v>
      </c>
      <c r="G14" s="1">
        <v>10211.0</v>
      </c>
      <c r="H14" s="1">
        <v>10211.0</v>
      </c>
      <c r="I14" s="76" t="str">
        <f>IFERROR(__xludf.DUMMYFUNCTION("XLOOKUP(B14,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0)"),"https://wsss4luad.grand-challenge.org/WSSS4LUAD/")</f>
        <v>https://wsss4luad.grand-challenge.org/WSSS4LUAD/</v>
      </c>
      <c r="J14" s="17" t="str">
        <f t="shared" si="2"/>
        <v>Pathology</v>
      </c>
    </row>
    <row r="15">
      <c r="A15" s="1" t="s">
        <v>483</v>
      </c>
      <c r="B15" s="1" t="s">
        <v>484</v>
      </c>
      <c r="C15" s="1" t="s">
        <v>301</v>
      </c>
      <c r="D15" s="1" t="s">
        <v>301</v>
      </c>
      <c r="E15" s="1" t="s">
        <v>75</v>
      </c>
      <c r="F15" s="1" t="s">
        <v>81</v>
      </c>
      <c r="G15" s="1">
        <v>3886.0</v>
      </c>
      <c r="H15" s="1">
        <v>1341.0</v>
      </c>
      <c r="I15" s="76" t="str">
        <f>IFERROR(__xludf.DUMMYFUNCTION("XLOOKUP(B15,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0)"),"https://www.heywhale.com/mw/dataset/6027caee891f960015c863d7/content")</f>
        <v>https://www.heywhale.com/mw/dataset/6027caee891f960015c863d7/content</v>
      </c>
      <c r="J15" s="17" t="str">
        <f t="shared" si="2"/>
        <v>X-ray</v>
      </c>
    </row>
    <row r="16">
      <c r="A16" s="1" t="s">
        <v>487</v>
      </c>
      <c r="B16" s="1" t="s">
        <v>488</v>
      </c>
      <c r="C16" s="1" t="s">
        <v>301</v>
      </c>
      <c r="D16" s="1" t="s">
        <v>301</v>
      </c>
      <c r="E16" s="1" t="s">
        <v>31</v>
      </c>
      <c r="F16" s="1" t="s">
        <v>31</v>
      </c>
      <c r="G16" s="1">
        <v>1000.0</v>
      </c>
      <c r="I16" s="76" t="str">
        <f>IFERROR(__xludf.DUMMYFUNCTION("XLOOKUP(B16,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0)"),"https://tianchi.aliyun.com/dataset/93929")</f>
        <v>https://tianchi.aliyun.com/dataset/93929</v>
      </c>
      <c r="J16" s="17" t="str">
        <f t="shared" si="2"/>
        <v>CT</v>
      </c>
    </row>
    <row r="17">
      <c r="A17" s="1" t="s">
        <v>492</v>
      </c>
      <c r="B17" s="1" t="s">
        <v>493</v>
      </c>
      <c r="C17" s="1" t="s">
        <v>301</v>
      </c>
      <c r="D17" s="1" t="s">
        <v>301</v>
      </c>
      <c r="E17" s="1" t="s">
        <v>31</v>
      </c>
      <c r="F17" s="1" t="s">
        <v>31</v>
      </c>
      <c r="G17" s="1">
        <v>1404.0</v>
      </c>
      <c r="I17" s="76" t="str">
        <f>IFERROR(__xludf.DUMMYFUNCTION("XLOOKUP(B17,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0)"),"https://tianchi.aliyun.com/dataset/93666")</f>
        <v>https://tianchi.aliyun.com/dataset/93666</v>
      </c>
      <c r="J17" s="17" t="str">
        <f t="shared" si="2"/>
        <v>CT</v>
      </c>
    </row>
    <row r="18">
      <c r="A18" s="1" t="s">
        <v>496</v>
      </c>
      <c r="B18" s="1" t="s">
        <v>497</v>
      </c>
      <c r="C18" s="1" t="s">
        <v>301</v>
      </c>
      <c r="D18" s="1" t="s">
        <v>301</v>
      </c>
      <c r="E18" s="1" t="s">
        <v>75</v>
      </c>
      <c r="F18" s="1" t="s">
        <v>81</v>
      </c>
      <c r="G18" s="1">
        <v>4575.0</v>
      </c>
      <c r="H18" s="1">
        <v>4575.0</v>
      </c>
      <c r="I18" s="76" t="str">
        <f>IFERROR(__xludf.DUMMYFUNCTION("XLOOKUP(B18,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0)"),"https://data.mendeley.com/datasets/jctsfj2sfn/1")</f>
        <v>https://data.mendeley.com/datasets/jctsfj2sfn/1</v>
      </c>
      <c r="J18" s="17" t="str">
        <f t="shared" si="2"/>
        <v>X-ray</v>
      </c>
    </row>
    <row r="19">
      <c r="A19" s="1" t="s">
        <v>500</v>
      </c>
      <c r="B19" s="1" t="s">
        <v>501</v>
      </c>
      <c r="C19" s="1" t="s">
        <v>301</v>
      </c>
      <c r="D19" s="1" t="s">
        <v>301</v>
      </c>
      <c r="E19" s="1" t="s">
        <v>81</v>
      </c>
      <c r="F19" s="1" t="s">
        <v>81</v>
      </c>
      <c r="G19" s="1">
        <v>662.0</v>
      </c>
      <c r="H19" s="1">
        <v>662.0</v>
      </c>
      <c r="I19" s="76" t="str">
        <f>IFERROR(__xludf.DUMMYFUNCTION("XLOOKUP(B19,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0)"),"https://lhncbc.nlm.nih.gov/LHC-downloads/downloads.html#tuberculosis-image-data-sets")</f>
        <v>https://lhncbc.nlm.nih.gov/LHC-downloads/downloads.html#tuberculosis-image-data-sets</v>
      </c>
      <c r="J19" s="1" t="s">
        <v>75</v>
      </c>
    </row>
    <row r="20">
      <c r="A20" s="1" t="s">
        <v>509</v>
      </c>
      <c r="B20" s="1" t="s">
        <v>510</v>
      </c>
      <c r="C20" s="1" t="s">
        <v>301</v>
      </c>
      <c r="D20" s="1" t="s">
        <v>301</v>
      </c>
      <c r="E20" s="1" t="s">
        <v>512</v>
      </c>
      <c r="F20" s="1" t="s">
        <v>54</v>
      </c>
      <c r="G20" s="1">
        <v>77746.0</v>
      </c>
      <c r="H20" s="1">
        <v>150.0</v>
      </c>
      <c r="I20" s="76" t="str">
        <f>IFERROR(__xludf.DUMMYFUNCTION("XLOOKUP(B20,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0)"),"https://www.synapse.org/#!Synapse:syn51186045/wiki/621356")</f>
        <v>https://www.synapse.org/#!Synapse:syn51186045/wiki/621356</v>
      </c>
      <c r="J20" s="17" t="str">
        <f t="shared" ref="J20:J22" si="3">IF(OR(F20="MRI", F20="Ultrasound", F20="Endoscopy", F20="Dermoscopy", F20="Fundus", F20="OCTA", F20="OCT"), F20, IF(OR(E20="Microscopy", E20="Histopathology", E20="Pathology", E20="CT", E20="PET", E20="X-Ray", E20="Mammography"), E20, ""))</f>
        <v>Ultrasound</v>
      </c>
    </row>
    <row r="21">
      <c r="A21" s="1" t="s">
        <v>517</v>
      </c>
      <c r="B21" s="1" t="s">
        <v>517</v>
      </c>
      <c r="C21" s="1" t="s">
        <v>301</v>
      </c>
      <c r="D21" s="1" t="s">
        <v>301</v>
      </c>
      <c r="E21" s="1" t="s">
        <v>31</v>
      </c>
      <c r="F21" s="1" t="s">
        <v>31</v>
      </c>
      <c r="G21" s="1">
        <v>138093.0</v>
      </c>
      <c r="H21" s="1">
        <v>285.0</v>
      </c>
      <c r="I21" s="76" t="str">
        <f>IFERROR(__xludf.DUMMYFUNCTION("XLOOKUP(B21,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0)"),"https://codalab.lisn.upsaclay.fr/competitions/13238")</f>
        <v>https://codalab.lisn.upsaclay.fr/competitions/13238</v>
      </c>
      <c r="J21" s="17" t="str">
        <f t="shared" si="3"/>
        <v>CT</v>
      </c>
    </row>
    <row r="22">
      <c r="A22" s="1" t="s">
        <v>521</v>
      </c>
      <c r="B22" s="1" t="s">
        <v>523</v>
      </c>
      <c r="C22" s="1" t="s">
        <v>301</v>
      </c>
      <c r="D22" s="1" t="s">
        <v>301</v>
      </c>
      <c r="E22" s="1" t="s">
        <v>31</v>
      </c>
      <c r="F22" s="1" t="s">
        <v>31</v>
      </c>
      <c r="G22" s="1">
        <v>242202.0</v>
      </c>
      <c r="I22" s="76" t="str">
        <f>IFERROR(__xludf.DUMMYFUNCTION("XLOOKUP(B22,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0)"),"https://lnq2023.grand-challenge.org/lnq2023/")</f>
        <v>https://lnq2023.grand-challenge.org/lnq2023/</v>
      </c>
      <c r="J22" s="17" t="str">
        <f t="shared" si="3"/>
        <v>CT</v>
      </c>
    </row>
    <row r="23">
      <c r="A23" s="1" t="s">
        <v>529</v>
      </c>
      <c r="B23" s="1" t="s">
        <v>529</v>
      </c>
      <c r="C23" s="1" t="s">
        <v>301</v>
      </c>
      <c r="D23" s="1" t="s">
        <v>319</v>
      </c>
      <c r="E23" s="1" t="s">
        <v>530</v>
      </c>
      <c r="F23" s="1" t="s">
        <v>61</v>
      </c>
      <c r="G23" s="1">
        <v>691.0</v>
      </c>
      <c r="H23" s="1">
        <v>691.0</v>
      </c>
      <c r="I23" s="76" t="str">
        <f>IFERROR(__xludf.DUMMYFUNCTION("XLOOKUP(B23,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0)"),"https://www.nature.com/articles/s41597-024-03944-3")</f>
        <v>https://www.nature.com/articles/s41597-024-03944-3</v>
      </c>
      <c r="J23" s="1" t="s">
        <v>91</v>
      </c>
    </row>
    <row r="24">
      <c r="A24" s="1" t="s">
        <v>535</v>
      </c>
      <c r="B24" s="1" t="s">
        <v>535</v>
      </c>
      <c r="C24" s="1" t="s">
        <v>301</v>
      </c>
      <c r="D24" s="1" t="s">
        <v>319</v>
      </c>
      <c r="E24" s="1" t="s">
        <v>31</v>
      </c>
      <c r="F24" s="1" t="s">
        <v>31</v>
      </c>
      <c r="G24" s="1">
        <v>16737.0</v>
      </c>
      <c r="I24" s="76" t="str">
        <f>IFERROR(__xludf.DUMMYFUNCTION("XLOOKUP(B24,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0)"),"https://vessel12.grand-challenge.org/")</f>
        <v>https://vessel12.grand-challenge.org/</v>
      </c>
      <c r="J24" s="17" t="str">
        <f t="shared" ref="J24:J26" si="4">IF(OR(F24="MRI", F24="Ultrasound", F24="Endoscopy", F24="Dermoscopy", F24="Fundus", F24="OCTA", F24="OCT"), F24, IF(OR(E24="Microscopy", E24="Histopathology", E24="Pathology", E24="CT", E24="PET", E24="X-Ray", E24="Mammography"), E24, ""))</f>
        <v>CT</v>
      </c>
    </row>
    <row r="25">
      <c r="A25" s="1" t="s">
        <v>542</v>
      </c>
      <c r="B25" s="1" t="s">
        <v>543</v>
      </c>
      <c r="C25" s="1" t="s">
        <v>301</v>
      </c>
      <c r="D25" s="1" t="s">
        <v>544</v>
      </c>
      <c r="E25" s="1" t="s">
        <v>75</v>
      </c>
      <c r="F25" s="1" t="s">
        <v>81</v>
      </c>
      <c r="G25" s="1">
        <v>322.0</v>
      </c>
      <c r="H25" s="1">
        <v>322.0</v>
      </c>
      <c r="I25" s="76" t="str">
        <f>IFERROR(__xludf.DUMMYFUNCTION("XLOOKUP(B25,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0)"),"https://doi.org/10.17863/CAM.105113")</f>
        <v>https://doi.org/10.17863/CAM.105113</v>
      </c>
      <c r="J25" s="17" t="str">
        <f t="shared" si="4"/>
        <v>X-ray</v>
      </c>
    </row>
    <row r="26">
      <c r="A26" s="1" t="s">
        <v>547</v>
      </c>
      <c r="B26" s="1" t="s">
        <v>547</v>
      </c>
      <c r="C26" s="1" t="s">
        <v>301</v>
      </c>
      <c r="D26" s="1" t="s">
        <v>301</v>
      </c>
      <c r="E26" s="1" t="s">
        <v>31</v>
      </c>
      <c r="F26" s="1" t="s">
        <v>31</v>
      </c>
      <c r="G26" s="1">
        <v>960240.0</v>
      </c>
      <c r="H26" s="75">
        <v>32000.0</v>
      </c>
      <c r="I26" s="76" t="str">
        <f>IFERROR(__xludf.DUMMYFUNCTION("XLOOKUP(B26,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0)"),"https://nihcc.app.box.com/v/DeepLesion")</f>
        <v>https://nihcc.app.box.com/v/DeepLesion</v>
      </c>
      <c r="J26" s="17" t="str">
        <f t="shared" si="4"/>
        <v>CT</v>
      </c>
    </row>
    <row r="27">
      <c r="A27" s="1" t="s">
        <v>551</v>
      </c>
      <c r="B27" s="1" t="s">
        <v>551</v>
      </c>
      <c r="C27" s="1" t="s">
        <v>301</v>
      </c>
      <c r="D27" s="1" t="s">
        <v>544</v>
      </c>
      <c r="E27" s="1" t="s">
        <v>552</v>
      </c>
      <c r="F27" s="1" t="s">
        <v>61</v>
      </c>
      <c r="G27" s="1">
        <v>7909.0</v>
      </c>
      <c r="H27" s="75">
        <v>7909.0</v>
      </c>
      <c r="I27" s="76" t="str">
        <f>IFERROR(__xludf.DUMMYFUNCTION("XLOOKUP(B27,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0)"),"https://web.inf.ufpr.br/vri/databases/breast-cancer-histopathological-database-breakhis")</f>
        <v>https://web.inf.ufpr.br/vri/databases/breast-cancer-histopathological-database-breakhis</v>
      </c>
      <c r="J27" s="1" t="s">
        <v>147</v>
      </c>
    </row>
    <row r="28">
      <c r="A28" s="1" t="s">
        <v>563</v>
      </c>
      <c r="B28" s="1" t="s">
        <v>563</v>
      </c>
      <c r="C28" s="1" t="s">
        <v>301</v>
      </c>
      <c r="D28" s="1" t="s">
        <v>544</v>
      </c>
      <c r="E28" s="1" t="s">
        <v>54</v>
      </c>
      <c r="F28" s="1" t="s">
        <v>54</v>
      </c>
      <c r="G28" s="1">
        <v>683.0</v>
      </c>
      <c r="H28" s="1">
        <v>683.0</v>
      </c>
      <c r="I28" s="76" t="str">
        <f>IFERROR(__xludf.DUMMYFUNCTION("XLOOKUP(B28,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0)"),"https://data.mendeley.com/datasets/7fvgj4jsp7")</f>
        <v>https://data.mendeley.com/datasets/7fvgj4jsp7</v>
      </c>
      <c r="J28" s="17" t="str">
        <f t="shared" ref="J28:J33" si="5">IF(OR(F28="MRI", F28="Ultrasound", F28="Endoscopy", F28="Dermoscopy", F28="Fundus", F28="OCTA", F28="OCT"), F28, IF(OR(E28="Microscopy", E28="Histopathology", E28="Pathology", E28="CT", E28="PET", E28="X-Ray", E28="Mammography"), E28, ""))</f>
        <v>Ultrasound</v>
      </c>
    </row>
    <row r="29">
      <c r="A29" s="1" t="s">
        <v>572</v>
      </c>
      <c r="B29" s="1" t="s">
        <v>572</v>
      </c>
      <c r="C29" s="1" t="s">
        <v>301</v>
      </c>
      <c r="D29" s="1" t="s">
        <v>544</v>
      </c>
      <c r="E29" s="1" t="s">
        <v>75</v>
      </c>
      <c r="F29" s="1" t="s">
        <v>81</v>
      </c>
      <c r="G29" s="1">
        <v>410.0</v>
      </c>
      <c r="H29" s="1">
        <v>410.0</v>
      </c>
      <c r="I29" s="76" t="str">
        <f>IFERROR(__xludf.DUMMYFUNCTION("XLOOKUP(B29,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0)"),"https://www.kaggle.com/datasets/martholi/inbreast")</f>
        <v>https://www.kaggle.com/datasets/martholi/inbreast</v>
      </c>
      <c r="J29" s="17" t="str">
        <f t="shared" si="5"/>
        <v>X-ray</v>
      </c>
    </row>
    <row r="30">
      <c r="A30" s="1" t="s">
        <v>577</v>
      </c>
      <c r="B30" s="1" t="s">
        <v>577</v>
      </c>
      <c r="C30" s="1" t="s">
        <v>301</v>
      </c>
      <c r="D30" s="1" t="s">
        <v>544</v>
      </c>
      <c r="E30" s="1" t="s">
        <v>579</v>
      </c>
      <c r="F30" s="1" t="s">
        <v>81</v>
      </c>
      <c r="G30" s="1">
        <v>18682.0</v>
      </c>
      <c r="H30" s="1">
        <v>18682.0</v>
      </c>
      <c r="I30" s="76" t="str">
        <f>IFERROR(__xludf.DUMMYFUNCTION("XLOOKUP(B30,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0)"),"https://www.kaggle.com/datasets/cheddad/miniddsm2")</f>
        <v>https://www.kaggle.com/datasets/cheddad/miniddsm2</v>
      </c>
      <c r="J30" s="17" t="str">
        <f t="shared" si="5"/>
        <v>Mammography</v>
      </c>
    </row>
    <row r="31">
      <c r="A31" s="1" t="s">
        <v>581</v>
      </c>
      <c r="B31" s="1" t="s">
        <v>581</v>
      </c>
      <c r="C31" s="1" t="s">
        <v>301</v>
      </c>
      <c r="D31" s="1" t="s">
        <v>544</v>
      </c>
      <c r="E31" s="1" t="s">
        <v>147</v>
      </c>
      <c r="F31" s="1" t="s">
        <v>61</v>
      </c>
      <c r="G31" s="1">
        <v>11172.0</v>
      </c>
      <c r="H31" s="1">
        <v>11172.0</v>
      </c>
      <c r="I31" s="76" t="str">
        <f>IFERROR(__xludf.DUMMYFUNCTION("XLOOKUP(B31,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0)"),"https://mitos-atypia-14.grand-challenge.org")</f>
        <v>https://mitos-atypia-14.grand-challenge.org</v>
      </c>
      <c r="J31" s="17" t="str">
        <f t="shared" si="5"/>
        <v>Histopathology</v>
      </c>
    </row>
    <row r="32">
      <c r="A32" s="46" t="s">
        <v>585</v>
      </c>
      <c r="B32" s="46" t="s">
        <v>585</v>
      </c>
      <c r="C32" s="46" t="s">
        <v>301</v>
      </c>
      <c r="D32" s="46" t="s">
        <v>544</v>
      </c>
      <c r="E32" s="46" t="s">
        <v>147</v>
      </c>
      <c r="F32" s="46" t="s">
        <v>61</v>
      </c>
      <c r="G32" s="46">
        <v>96.0</v>
      </c>
      <c r="H32" s="1">
        <v>96.0</v>
      </c>
      <c r="I32" s="76" t="str">
        <f>IFERROR(__xludf.DUMMYFUNCTION("XLOOKUP(B32,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0)"),"https://www.cancerimagingarchive.net/collection/post-nat-brca")</f>
        <v>https://www.cancerimagingarchive.net/collection/post-nat-brca</v>
      </c>
      <c r="J32" s="17" t="str">
        <f t="shared" si="5"/>
        <v>Histopathology</v>
      </c>
    </row>
    <row r="33">
      <c r="A33" s="46" t="s">
        <v>592</v>
      </c>
      <c r="B33" s="46" t="s">
        <v>593</v>
      </c>
      <c r="C33" s="46" t="s">
        <v>301</v>
      </c>
      <c r="D33" s="46" t="s">
        <v>544</v>
      </c>
      <c r="E33" s="46" t="s">
        <v>147</v>
      </c>
      <c r="F33" s="46" t="s">
        <v>61</v>
      </c>
      <c r="G33" s="46">
        <v>130.0</v>
      </c>
      <c r="H33" s="46">
        <v>130.0</v>
      </c>
      <c r="I33" s="76" t="str">
        <f>IFERROR(__xludf.DUMMYFUNCTION("XLOOKUP(B33,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0)"),"https://www.cancerimagingarchive.net/collection/sln-breast")</f>
        <v>https://www.cancerimagingarchive.net/collection/sln-breast</v>
      </c>
      <c r="J33" s="17" t="str">
        <f t="shared" si="5"/>
        <v>Histopathology</v>
      </c>
    </row>
    <row r="34">
      <c r="A34" s="1" t="s">
        <v>595</v>
      </c>
      <c r="B34" s="1" t="s">
        <v>595</v>
      </c>
      <c r="C34" s="1" t="s">
        <v>301</v>
      </c>
      <c r="D34" s="1" t="s">
        <v>544</v>
      </c>
      <c r="E34" s="1" t="s">
        <v>598</v>
      </c>
      <c r="F34" s="1" t="s">
        <v>61</v>
      </c>
      <c r="G34" s="1">
        <v>34.0</v>
      </c>
      <c r="H34" s="1">
        <v>34.0</v>
      </c>
      <c r="I34" s="76" t="str">
        <f>IFERROR(__xludf.DUMMYFUNCTION("XLOOKUP(B34,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0)"),"https://tupac.grand-challenge.org")</f>
        <v>https://tupac.grand-challenge.org</v>
      </c>
      <c r="J34" s="46" t="s">
        <v>147</v>
      </c>
    </row>
    <row r="35">
      <c r="A35" s="1" t="s">
        <v>602</v>
      </c>
      <c r="B35" s="1" t="s">
        <v>602</v>
      </c>
      <c r="C35" s="1" t="s">
        <v>301</v>
      </c>
      <c r="D35" s="1" t="s">
        <v>603</v>
      </c>
      <c r="E35" s="1" t="s">
        <v>31</v>
      </c>
      <c r="F35" s="1" t="s">
        <v>31</v>
      </c>
      <c r="G35" s="1">
        <v>13138.0</v>
      </c>
      <c r="I35" s="76" t="str">
        <f>IFERROR(__xludf.DUMMYFUNCTION("XLOOKUP(B35,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0)"),"https://datadryad.org/stash/dataset/doi:10.5061/dryad.mj76c")</f>
        <v>https://datadryad.org/stash/dataset/doi:10.5061/dryad.mj76c</v>
      </c>
      <c r="J35" s="17" t="str">
        <f t="shared" ref="J35:J42" si="6">IF(OR(F35="MRI", F35="Ultrasound", F35="Endoscopy", F35="Dermoscopy", F35="Fundus", F35="OCTA", F35="OCT"), F35, IF(OR(E35="Microscopy", E35="Histopathology", E35="Pathology", E35="CT", E35="PET", E35="X-Ray", E35="Mammography"), E35, ""))</f>
        <v>CT</v>
      </c>
    </row>
    <row r="36">
      <c r="A36" s="1" t="s">
        <v>605</v>
      </c>
      <c r="B36" s="1" t="s">
        <v>605</v>
      </c>
      <c r="C36" s="1" t="s">
        <v>301</v>
      </c>
      <c r="D36" s="1" t="s">
        <v>603</v>
      </c>
      <c r="E36" s="1" t="s">
        <v>31</v>
      </c>
      <c r="F36" s="1" t="s">
        <v>31</v>
      </c>
      <c r="G36" s="1">
        <v>40404.0</v>
      </c>
      <c r="H36" s="1">
        <v>55.0</v>
      </c>
      <c r="I36" s="76" t="str">
        <f>IFERROR(__xludf.DUMMYFUNCTION("XLOOKUP(B36,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0)"),"https://anode09.grand-challenge.org/")</f>
        <v>https://anode09.grand-challenge.org/</v>
      </c>
      <c r="J36" s="17" t="str">
        <f t="shared" si="6"/>
        <v>CT</v>
      </c>
    </row>
    <row r="37">
      <c r="A37" s="1" t="s">
        <v>606</v>
      </c>
      <c r="B37" s="1" t="s">
        <v>607</v>
      </c>
      <c r="C37" s="1" t="s">
        <v>301</v>
      </c>
      <c r="D37" s="1" t="s">
        <v>603</v>
      </c>
      <c r="E37" s="1" t="s">
        <v>75</v>
      </c>
      <c r="F37" s="1" t="s">
        <v>81</v>
      </c>
      <c r="G37" s="1">
        <v>11712.0</v>
      </c>
      <c r="H37" s="75">
        <v>5863.0</v>
      </c>
      <c r="I37" s="76" t="str">
        <f>IFERROR(__xludf.DUMMYFUNCTION("XLOOKUP(B37,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0)"),"https://www.kaggle.com/datasets/paultimothymooney/chest-xray-pneumonia")</f>
        <v>https://www.kaggle.com/datasets/paultimothymooney/chest-xray-pneumonia</v>
      </c>
      <c r="J37" s="17" t="str">
        <f t="shared" si="6"/>
        <v>X-ray</v>
      </c>
    </row>
    <row r="38">
      <c r="A38" s="1" t="s">
        <v>612</v>
      </c>
      <c r="B38" s="1" t="s">
        <v>613</v>
      </c>
      <c r="C38" s="1" t="s">
        <v>301</v>
      </c>
      <c r="D38" s="1" t="s">
        <v>603</v>
      </c>
      <c r="E38" s="1" t="s">
        <v>75</v>
      </c>
      <c r="F38" s="1" t="s">
        <v>81</v>
      </c>
      <c r="G38" s="1">
        <v>357.0</v>
      </c>
      <c r="H38" s="1">
        <v>372.0</v>
      </c>
      <c r="I38" s="76" t="str">
        <f>IFERROR(__xludf.DUMMYFUNCTION("XLOOKUP(B38,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0)"),"https://www.kaggle.com/datasets/bachrr/covid-chest-xray")</f>
        <v>https://www.kaggle.com/datasets/bachrr/covid-chest-xray</v>
      </c>
      <c r="J38" s="17" t="str">
        <f t="shared" si="6"/>
        <v>X-ray</v>
      </c>
    </row>
    <row r="39">
      <c r="A39" s="1" t="s">
        <v>615</v>
      </c>
      <c r="B39" s="1" t="s">
        <v>616</v>
      </c>
      <c r="C39" s="1" t="s">
        <v>301</v>
      </c>
      <c r="D39" s="1" t="s">
        <v>603</v>
      </c>
      <c r="E39" s="1" t="s">
        <v>31</v>
      </c>
      <c r="F39" s="1" t="s">
        <v>31</v>
      </c>
      <c r="G39" s="1">
        <v>24066.0</v>
      </c>
      <c r="H39" s="1">
        <v>20.0</v>
      </c>
      <c r="I39" s="76" t="str">
        <f>IFERROR(__xludf.DUMMYFUNCTION("XLOOKUP(B39,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0)"),"https://www.kaggle.com/datasets/andrewmvd/covid19-ct-scans")</f>
        <v>https://www.kaggle.com/datasets/andrewmvd/covid19-ct-scans</v>
      </c>
      <c r="J39" s="17" t="str">
        <f t="shared" si="6"/>
        <v>CT</v>
      </c>
    </row>
    <row r="40">
      <c r="A40" s="1" t="s">
        <v>617</v>
      </c>
      <c r="B40" s="1" t="s">
        <v>619</v>
      </c>
      <c r="C40" s="1" t="s">
        <v>301</v>
      </c>
      <c r="D40" s="1" t="s">
        <v>603</v>
      </c>
      <c r="E40" s="1" t="s">
        <v>75</v>
      </c>
      <c r="F40" s="1" t="s">
        <v>81</v>
      </c>
      <c r="G40" s="1">
        <v>317.0</v>
      </c>
      <c r="H40" s="1">
        <v>317.0</v>
      </c>
      <c r="I40" s="76" t="str">
        <f>IFERROR(__xludf.DUMMYFUNCTION("XLOOKUP(B40,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0)"),"https://www.kaggle.com/datasets/pranavraikokte/covid19-image-dataset")</f>
        <v>https://www.kaggle.com/datasets/pranavraikokte/covid19-image-dataset</v>
      </c>
      <c r="J40" s="17" t="str">
        <f t="shared" si="6"/>
        <v>X-ray</v>
      </c>
    </row>
    <row r="41">
      <c r="A41" s="1" t="s">
        <v>621</v>
      </c>
      <c r="B41" s="1" t="s">
        <v>622</v>
      </c>
      <c r="C41" s="1" t="s">
        <v>301</v>
      </c>
      <c r="D41" s="1" t="s">
        <v>603</v>
      </c>
      <c r="E41" s="1" t="s">
        <v>75</v>
      </c>
      <c r="F41" s="1" t="s">
        <v>81</v>
      </c>
      <c r="G41" s="1">
        <v>21165.0</v>
      </c>
      <c r="H41" s="75">
        <v>33920.0</v>
      </c>
      <c r="I41" s="76" t="str">
        <f>IFERROR(__xludf.DUMMYFUNCTION("XLOOKUP(B41,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0)"),"https://www.kaggle.com/datasets/tawsifurrahman/covid19-radiography-database")</f>
        <v>https://www.kaggle.com/datasets/tawsifurrahman/covid19-radiography-database</v>
      </c>
      <c r="J41" s="17" t="str">
        <f t="shared" si="6"/>
        <v>X-ray</v>
      </c>
    </row>
    <row r="42">
      <c r="A42" s="1" t="s">
        <v>623</v>
      </c>
      <c r="B42" s="1" t="s">
        <v>624</v>
      </c>
      <c r="C42" s="1" t="s">
        <v>301</v>
      </c>
      <c r="D42" s="1" t="s">
        <v>603</v>
      </c>
      <c r="E42" s="1" t="s">
        <v>75</v>
      </c>
      <c r="F42" s="1" t="s">
        <v>81</v>
      </c>
      <c r="G42" s="1">
        <v>84818.0</v>
      </c>
      <c r="H42" s="75">
        <v>29986.0</v>
      </c>
      <c r="I42" s="76" t="str">
        <f>IFERROR(__xludf.DUMMYFUNCTION("XLOOKUP(B42,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0)"),"https://github.com/lindawangg/COVID-Net/blob/master/docs/COVIDx.md")</f>
        <v>https://github.com/lindawangg/COVID-Net/blob/master/docs/COVIDx.md</v>
      </c>
      <c r="J42" s="17" t="str">
        <f t="shared" si="6"/>
        <v>X-ray</v>
      </c>
    </row>
    <row r="43">
      <c r="A43" s="1" t="s">
        <v>631</v>
      </c>
      <c r="B43" s="1" t="s">
        <v>632</v>
      </c>
      <c r="C43" s="1" t="s">
        <v>301</v>
      </c>
      <c r="D43" s="1" t="s">
        <v>603</v>
      </c>
      <c r="E43" s="1" t="s">
        <v>633</v>
      </c>
      <c r="F43" s="1" t="s">
        <v>81</v>
      </c>
      <c r="G43" s="1">
        <v>7470.0</v>
      </c>
      <c r="H43" s="1">
        <v>7470.0</v>
      </c>
      <c r="I43" s="76" t="str">
        <f>IFERROR(__xludf.DUMMYFUNCTION("XLOOKUP(B43,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0)"),"https://www.kaggle.com/datasets/raddar/chest-xrays-indiana-university")</f>
        <v>https://www.kaggle.com/datasets/raddar/chest-xrays-indiana-university</v>
      </c>
      <c r="J43" s="1" t="s">
        <v>633</v>
      </c>
    </row>
    <row r="44">
      <c r="A44" s="1" t="s">
        <v>638</v>
      </c>
      <c r="B44" s="1" t="s">
        <v>639</v>
      </c>
      <c r="C44" s="1" t="s">
        <v>246</v>
      </c>
      <c r="D44" s="1" t="s">
        <v>640</v>
      </c>
      <c r="E44" s="1" t="s">
        <v>31</v>
      </c>
      <c r="F44" s="1" t="s">
        <v>31</v>
      </c>
      <c r="G44" s="1">
        <v>200.0</v>
      </c>
      <c r="H44" s="1">
        <v>200.0</v>
      </c>
      <c r="I44" s="76" t="str">
        <f>IFERROR(__xludf.DUMMYFUNCTION("XLOOKUP(B44,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0)"),"https://www.kaggle.com/datasets/felipekitamura/head-ct-hemorrhage")</f>
        <v>https://www.kaggle.com/datasets/felipekitamura/head-ct-hemorrhage</v>
      </c>
      <c r="J44" s="17" t="str">
        <f t="shared" ref="J44:J46" si="7">IF(OR(F44="MRI", F44="Ultrasound", F44="Endoscopy", F44="Dermoscopy", F44="Fundus", F44="OCTA", F44="OCT"), F44, IF(OR(E44="Microscopy", E44="Histopathology", E44="Pathology", E44="CT", E44="PET", E44="X-Ray", E44="Mammography"), E44, ""))</f>
        <v>CT</v>
      </c>
    </row>
    <row r="45">
      <c r="A45" s="1" t="s">
        <v>649</v>
      </c>
      <c r="B45" s="1" t="s">
        <v>650</v>
      </c>
      <c r="C45" s="1" t="s">
        <v>246</v>
      </c>
      <c r="D45" s="1" t="s">
        <v>697</v>
      </c>
      <c r="E45" s="1" t="s">
        <v>651</v>
      </c>
      <c r="F45" s="1" t="s">
        <v>100</v>
      </c>
      <c r="G45" s="1">
        <v>1.0</v>
      </c>
      <c r="H45" s="1">
        <v>40.0</v>
      </c>
      <c r="I45" s="76" t="str">
        <f>IFERROR(__xludf.DUMMYFUNCTION("XLOOKUP(B45,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0)"),"https://medicine.uiowa.edu/eye/rite-dataset")</f>
        <v>https://medicine.uiowa.edu/eye/rite-dataset</v>
      </c>
      <c r="J45" s="17" t="str">
        <f t="shared" si="7"/>
        <v>Fundus</v>
      </c>
    </row>
    <row r="46">
      <c r="A46" s="1" t="s">
        <v>660</v>
      </c>
      <c r="B46" s="1" t="s">
        <v>661</v>
      </c>
      <c r="C46" s="1" t="s">
        <v>246</v>
      </c>
      <c r="D46" s="1" t="s">
        <v>697</v>
      </c>
      <c r="E46" s="1" t="s">
        <v>662</v>
      </c>
      <c r="F46" s="1" t="s">
        <v>100</v>
      </c>
      <c r="G46" s="1">
        <v>9746.0</v>
      </c>
      <c r="H46" s="1">
        <v>9746.0</v>
      </c>
      <c r="I46" s="76" t="str">
        <f>IFERROR(__xludf.DUMMYFUNCTION("XLOOKUP(B46,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0)"),"https://github.com/mirtanvirislam/Deep-Learning-Based-Glaucoma-Detection-with-Cropped-Optic-Cup-and-Disc-and-Blood-Vessel-Segmentation")</f>
        <v>https://github.com/mirtanvirislam/Deep-Learning-Based-Glaucoma-Detection-with-Cropped-Optic-Cup-and-Disc-and-Blood-Vessel-Segmentation</v>
      </c>
      <c r="J46" s="17" t="str">
        <f t="shared" si="7"/>
        <v>Fundus</v>
      </c>
    </row>
    <row r="47">
      <c r="A47" s="1" t="s">
        <v>683</v>
      </c>
      <c r="B47" s="1" t="s">
        <v>683</v>
      </c>
      <c r="C47" s="1" t="s">
        <v>246</v>
      </c>
      <c r="D47" s="1" t="s">
        <v>684</v>
      </c>
      <c r="E47" s="1" t="s">
        <v>686</v>
      </c>
      <c r="F47" s="1" t="s">
        <v>31</v>
      </c>
      <c r="G47" s="1">
        <v>5848586.0</v>
      </c>
      <c r="H47" s="1">
        <v>992.0</v>
      </c>
      <c r="I47" s="76" t="str">
        <f>IFERROR(__xludf.DUMMYFUNCTION("XLOOKUP(B47,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0)"),"https://zenodo.org/records/1473724")</f>
        <v>https://zenodo.org/records/1473724</v>
      </c>
      <c r="J47" s="1" t="s">
        <v>31</v>
      </c>
    </row>
    <row r="48">
      <c r="A48" s="1" t="s">
        <v>690</v>
      </c>
      <c r="B48" s="1" t="s">
        <v>691</v>
      </c>
      <c r="C48" s="1" t="s">
        <v>246</v>
      </c>
      <c r="D48" s="1" t="s">
        <v>684</v>
      </c>
      <c r="E48" s="1" t="s">
        <v>692</v>
      </c>
      <c r="F48" s="1" t="s">
        <v>81</v>
      </c>
      <c r="G48" s="1">
        <v>598.0</v>
      </c>
      <c r="H48" s="1">
        <v>598.0</v>
      </c>
      <c r="I48" s="76" t="str">
        <f>IFERROR(__xludf.DUMMYFUNCTION("XLOOKUP(B48,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0)"),"https://zenodo.org/records/4457648#.ZDAKbexByWA")</f>
        <v>https://zenodo.org/records/4457648#.ZDAKbexByWA</v>
      </c>
      <c r="J48" s="1" t="s">
        <v>75</v>
      </c>
    </row>
    <row r="49">
      <c r="A49" s="1" t="s">
        <v>694</v>
      </c>
      <c r="B49" s="1" t="s">
        <v>695</v>
      </c>
      <c r="C49" s="1" t="s">
        <v>246</v>
      </c>
      <c r="D49" s="1" t="s">
        <v>697</v>
      </c>
      <c r="E49" s="1" t="s">
        <v>662</v>
      </c>
      <c r="F49" s="1" t="s">
        <v>100</v>
      </c>
      <c r="G49" s="1">
        <v>5590.0</v>
      </c>
      <c r="H49" s="1">
        <v>5590.0</v>
      </c>
      <c r="I49" s="76" t="str">
        <f>IFERROR(__xludf.DUMMYFUNCTION("XLOOKUP(B49,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0)"),"https://www.kaggle.com/c/aptos2019-blindness-detection/overview")</f>
        <v>https://www.kaggle.com/c/aptos2019-blindness-detection/overview</v>
      </c>
      <c r="J49" s="17" t="str">
        <f t="shared" ref="J49:J71" si="8">IF(OR(F49="MRI", F49="Ultrasound", F49="Endoscopy", F49="Dermoscopy", F49="Fundus", F49="OCTA", F49="OCT"), F49, IF(OR(E49="Microscopy", E49="Histopathology", E49="Pathology", E49="CT", E49="PET", E49="X-Ray", E49="Mammography"), E49, ""))</f>
        <v>Fundus</v>
      </c>
    </row>
    <row r="50">
      <c r="A50" s="1" t="s">
        <v>698</v>
      </c>
      <c r="B50" s="1" t="s">
        <v>699</v>
      </c>
      <c r="C50" s="1" t="s">
        <v>246</v>
      </c>
      <c r="D50" s="1" t="s">
        <v>697</v>
      </c>
      <c r="E50" s="1" t="s">
        <v>703</v>
      </c>
      <c r="F50" s="1" t="s">
        <v>171</v>
      </c>
      <c r="G50" s="1">
        <v>2274.0</v>
      </c>
      <c r="H50" s="1">
        <v>2274.0</v>
      </c>
      <c r="I50" s="76" t="str">
        <f>IFERROR(__xludf.DUMMYFUNCTION("XLOOKUP(B50,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0)"),"https://drac22.grand-challenge.org")</f>
        <v>https://drac22.grand-challenge.org</v>
      </c>
      <c r="J50" s="17" t="str">
        <f t="shared" si="8"/>
        <v>OCTA</v>
      </c>
    </row>
    <row r="51">
      <c r="A51" s="1" t="s">
        <v>705</v>
      </c>
      <c r="B51" s="1" t="s">
        <v>706</v>
      </c>
      <c r="C51" s="1" t="s">
        <v>246</v>
      </c>
      <c r="D51" s="1" t="s">
        <v>697</v>
      </c>
      <c r="E51" s="1" t="s">
        <v>662</v>
      </c>
      <c r="F51" s="1" t="s">
        <v>100</v>
      </c>
      <c r="G51" s="1">
        <v>10.0</v>
      </c>
      <c r="H51" s="1">
        <v>10.0</v>
      </c>
      <c r="I51" s="76" t="str">
        <f>IFERROR(__xludf.DUMMYFUNCTION("XLOOKUP(B51,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0)"),"https://www.kaggle.com/c/diabetic-retinopathy-detection/overview")</f>
        <v>https://www.kaggle.com/c/diabetic-retinopathy-detection/overview</v>
      </c>
      <c r="J51" s="17" t="str">
        <f t="shared" si="8"/>
        <v>Fundus</v>
      </c>
    </row>
    <row r="52">
      <c r="A52" s="1" t="s">
        <v>709</v>
      </c>
      <c r="B52" s="1" t="s">
        <v>709</v>
      </c>
      <c r="C52" s="1" t="s">
        <v>246</v>
      </c>
      <c r="D52" s="1" t="s">
        <v>697</v>
      </c>
      <c r="E52" s="1" t="s">
        <v>662</v>
      </c>
      <c r="F52" s="1" t="s">
        <v>100</v>
      </c>
      <c r="G52" s="1">
        <v>268.0</v>
      </c>
      <c r="H52" s="1">
        <v>268.0</v>
      </c>
      <c r="I52" s="76" t="str">
        <f>IFERROR(__xludf.DUMMYFUNCTION("XLOOKUP(B52,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0)"),"https://projects.ics.forth.gr/cvrl/fire")</f>
        <v>https://projects.ics.forth.gr/cvrl/fire</v>
      </c>
      <c r="J52" s="17" t="str">
        <f t="shared" si="8"/>
        <v>Fundus</v>
      </c>
    </row>
    <row r="53">
      <c r="A53" s="1" t="s">
        <v>733</v>
      </c>
      <c r="B53" s="1" t="s">
        <v>733</v>
      </c>
      <c r="C53" s="1" t="s">
        <v>280</v>
      </c>
      <c r="D53" s="1" t="s">
        <v>280</v>
      </c>
      <c r="E53" s="1" t="s">
        <v>31</v>
      </c>
      <c r="F53" s="1" t="s">
        <v>31</v>
      </c>
      <c r="G53" s="1">
        <v>18583.0</v>
      </c>
      <c r="I53" s="76" t="str">
        <f>IFERROR(__xludf.DUMMYFUNCTION("XLOOKUP(B53,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0)"),"https://sliver07.grand-challenge.org/")</f>
        <v>https://sliver07.grand-challenge.org/</v>
      </c>
      <c r="J53" s="17" t="str">
        <f t="shared" si="8"/>
        <v>CT</v>
      </c>
    </row>
    <row r="54">
      <c r="A54" s="1" t="s">
        <v>742</v>
      </c>
      <c r="B54" s="1" t="s">
        <v>743</v>
      </c>
      <c r="C54" s="1" t="s">
        <v>280</v>
      </c>
      <c r="D54" s="1" t="s">
        <v>280</v>
      </c>
      <c r="E54" s="1" t="s">
        <v>31</v>
      </c>
      <c r="F54" s="1" t="s">
        <v>31</v>
      </c>
      <c r="G54" s="1">
        <v>20.0</v>
      </c>
      <c r="H54" s="1">
        <v>20.0</v>
      </c>
      <c r="I54" s="76" t="str">
        <f>IFERROR(__xludf.DUMMYFUNCTION("XLOOKUP(B54,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0)"),"https://www.ircad.fr/research/data-sets/liver-segmentation-3d-ircadb-01/")</f>
        <v>https://www.ircad.fr/research/data-sets/liver-segmentation-3d-ircadb-01/</v>
      </c>
      <c r="J54" s="17" t="str">
        <f t="shared" si="8"/>
        <v>CT</v>
      </c>
    </row>
    <row r="55">
      <c r="A55" s="1" t="s">
        <v>750</v>
      </c>
      <c r="B55" s="1" t="s">
        <v>750</v>
      </c>
      <c r="C55" s="1" t="s">
        <v>280</v>
      </c>
      <c r="D55" s="1" t="s">
        <v>280</v>
      </c>
      <c r="E55" s="1" t="s">
        <v>17</v>
      </c>
      <c r="F55" s="1" t="s">
        <v>17</v>
      </c>
      <c r="G55" s="1">
        <v>41615.0</v>
      </c>
      <c r="H55" s="1">
        <v>50.0</v>
      </c>
      <c r="I55" s="76" t="str">
        <f>IFERROR(__xludf.DUMMYFUNCTION("XLOOKUP(B55,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0)"),"https://promise12.grand-challenge.org/")</f>
        <v>https://promise12.grand-challenge.org/</v>
      </c>
      <c r="J55" s="17" t="str">
        <f t="shared" si="8"/>
        <v>MRI</v>
      </c>
    </row>
    <row r="56">
      <c r="A56" s="1" t="s">
        <v>758</v>
      </c>
      <c r="B56" s="1" t="s">
        <v>759</v>
      </c>
      <c r="C56" s="1" t="s">
        <v>280</v>
      </c>
      <c r="D56" s="1" t="s">
        <v>280</v>
      </c>
      <c r="E56" s="1" t="s">
        <v>31</v>
      </c>
      <c r="F56" s="1" t="s">
        <v>31</v>
      </c>
      <c r="G56" s="1">
        <v>327087.0</v>
      </c>
      <c r="H56" s="1">
        <v>511.0</v>
      </c>
      <c r="I56" s="76" t="str">
        <f>IFERROR(__xludf.DUMMYFUNCTION("XLOOKUP(B56,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0)"),"https://flare.grand-challenge.org/")</f>
        <v>https://flare.grand-challenge.org/</v>
      </c>
      <c r="J56" s="17" t="str">
        <f t="shared" si="8"/>
        <v>CT</v>
      </c>
    </row>
    <row r="57">
      <c r="A57" s="1" t="s">
        <v>761</v>
      </c>
      <c r="B57" s="1" t="s">
        <v>762</v>
      </c>
      <c r="C57" s="1" t="s">
        <v>280</v>
      </c>
      <c r="D57" s="1" t="s">
        <v>280</v>
      </c>
      <c r="E57" s="1" t="s">
        <v>765</v>
      </c>
      <c r="F57" s="1" t="s">
        <v>17</v>
      </c>
      <c r="G57" s="1">
        <v>30999.0</v>
      </c>
      <c r="H57" s="1">
        <v>90.0</v>
      </c>
      <c r="I57" s="76" t="str">
        <f>IFERROR(__xludf.DUMMYFUNCTION("XLOOKUP(B57,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0)"),"https://atlas-challenge.u-bourgogne.fr/")</f>
        <v>https://atlas-challenge.u-bourgogne.fr/</v>
      </c>
      <c r="J57" s="17" t="str">
        <f t="shared" si="8"/>
        <v>MRI</v>
      </c>
    </row>
    <row r="58">
      <c r="A58" s="1" t="s">
        <v>769</v>
      </c>
      <c r="B58" s="1" t="s">
        <v>769</v>
      </c>
      <c r="C58" s="1" t="s">
        <v>280</v>
      </c>
      <c r="D58" s="1" t="s">
        <v>770</v>
      </c>
      <c r="E58" s="1" t="s">
        <v>771</v>
      </c>
      <c r="F58" s="1" t="s">
        <v>107</v>
      </c>
      <c r="G58" s="1">
        <v>2605.0</v>
      </c>
      <c r="H58" s="1">
        <v>2605.0</v>
      </c>
      <c r="I58" s="76" t="str">
        <f>IFERROR(__xludf.DUMMYFUNCTION("XLOOKUP(B58,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0)"),"https://figshare.com/articles/dataset/BM-BronchoLC/24243670")</f>
        <v>https://figshare.com/articles/dataset/BM-BronchoLC/24243670</v>
      </c>
      <c r="J58" s="17" t="str">
        <f t="shared" si="8"/>
        <v>Endoscopy</v>
      </c>
    </row>
    <row r="59">
      <c r="A59" s="46" t="s">
        <v>776</v>
      </c>
      <c r="B59" s="46" t="s">
        <v>778</v>
      </c>
      <c r="C59" s="46" t="s">
        <v>280</v>
      </c>
      <c r="D59" s="46" t="s">
        <v>280</v>
      </c>
      <c r="E59" s="46" t="s">
        <v>54</v>
      </c>
      <c r="F59" s="46" t="s">
        <v>54</v>
      </c>
      <c r="G59" s="46">
        <v>301204.0</v>
      </c>
      <c r="H59" s="1">
        <v>600.0</v>
      </c>
      <c r="I59" s="76" t="str">
        <f>IFERROR(__xludf.DUMMYFUNCTION("XLOOKUP(B59,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0)"),"https://acouslic-ai.grand-challenge.org/overview-and-goals/")</f>
        <v>https://acouslic-ai.grand-challenge.org/overview-and-goals/</v>
      </c>
      <c r="J59" s="17" t="str">
        <f t="shared" si="8"/>
        <v>Ultrasound</v>
      </c>
    </row>
    <row r="60">
      <c r="A60" s="46" t="s">
        <v>781</v>
      </c>
      <c r="B60" s="46" t="s">
        <v>782</v>
      </c>
      <c r="C60" s="46" t="s">
        <v>280</v>
      </c>
      <c r="D60" s="46" t="s">
        <v>280</v>
      </c>
      <c r="E60" s="46" t="s">
        <v>31</v>
      </c>
      <c r="F60" s="46" t="s">
        <v>31</v>
      </c>
      <c r="G60" s="46">
        <v>90857.0</v>
      </c>
      <c r="H60" s="1">
        <v>100.0</v>
      </c>
      <c r="I60" s="76" t="str">
        <f>IFERROR(__xludf.DUMMYFUNCTION("XLOOKUP(B60,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0)"),"https://pengwin.grand-challenge.org/pengwin/")</f>
        <v>https://pengwin.grand-challenge.org/pengwin/</v>
      </c>
      <c r="J60" s="17" t="str">
        <f t="shared" si="8"/>
        <v>CT</v>
      </c>
    </row>
    <row r="61">
      <c r="A61" s="1" t="s">
        <v>787</v>
      </c>
      <c r="B61" s="1" t="s">
        <v>788</v>
      </c>
      <c r="C61" s="1" t="s">
        <v>280</v>
      </c>
      <c r="D61" s="1" t="s">
        <v>280</v>
      </c>
      <c r="E61" s="1" t="s">
        <v>789</v>
      </c>
      <c r="F61" s="1" t="s">
        <v>107</v>
      </c>
      <c r="G61" s="1">
        <v>8724.0</v>
      </c>
      <c r="H61" s="1">
        <v>8724.0</v>
      </c>
      <c r="I61" s="76" t="str">
        <f>IFERROR(__xludf.DUMMYFUNCTION("XLOOKUP(B61,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0)"),"https://kaggle.com/competitions/intel-mobileodt-cervical-cancer-screening")</f>
        <v>https://kaggle.com/competitions/intel-mobileodt-cervical-cancer-screening</v>
      </c>
      <c r="J61" s="17" t="str">
        <f t="shared" si="8"/>
        <v>Endoscopy</v>
      </c>
    </row>
    <row r="62">
      <c r="A62" s="1" t="s">
        <v>791</v>
      </c>
      <c r="B62" s="1" t="s">
        <v>792</v>
      </c>
      <c r="C62" s="1" t="s">
        <v>280</v>
      </c>
      <c r="D62" s="1" t="s">
        <v>793</v>
      </c>
      <c r="E62" s="1" t="s">
        <v>107</v>
      </c>
      <c r="F62" s="1" t="s">
        <v>107</v>
      </c>
      <c r="G62" s="1">
        <v>5525.0</v>
      </c>
      <c r="H62" s="1">
        <v>5525.0</v>
      </c>
      <c r="I62" s="76" t="str">
        <f>IFERROR(__xludf.DUMMYFUNCTION("XLOOKUP(B62,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0)"),"https://datasets.simula.no/nerthus/")</f>
        <v>https://datasets.simula.no/nerthus/</v>
      </c>
      <c r="J62" s="17" t="str">
        <f t="shared" si="8"/>
        <v>Endoscopy</v>
      </c>
    </row>
    <row r="63">
      <c r="A63" s="1" t="s">
        <v>795</v>
      </c>
      <c r="B63" s="1" t="s">
        <v>796</v>
      </c>
      <c r="C63" s="1" t="s">
        <v>280</v>
      </c>
      <c r="D63" s="1" t="s">
        <v>280</v>
      </c>
      <c r="E63" s="1" t="s">
        <v>107</v>
      </c>
      <c r="F63" s="1" t="s">
        <v>107</v>
      </c>
      <c r="G63" s="1">
        <v>2511.0</v>
      </c>
      <c r="H63" s="1">
        <v>2511.0</v>
      </c>
      <c r="I63" s="76" t="str">
        <f>IFERROR(__xludf.DUMMYFUNCTION("XLOOKUP(B63,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0)"),"https://ead2019.grand-challenge.org/EAD2019/")</f>
        <v>https://ead2019.grand-challenge.org/EAD2019/</v>
      </c>
      <c r="J63" s="17" t="str">
        <f t="shared" si="8"/>
        <v>Endoscopy</v>
      </c>
    </row>
    <row r="64">
      <c r="A64" s="1" t="s">
        <v>800</v>
      </c>
      <c r="B64" s="1" t="s">
        <v>800</v>
      </c>
      <c r="C64" s="1" t="s">
        <v>280</v>
      </c>
      <c r="D64" s="1" t="s">
        <v>802</v>
      </c>
      <c r="E64" s="1" t="s">
        <v>107</v>
      </c>
      <c r="F64" s="1" t="s">
        <v>107</v>
      </c>
      <c r="G64" s="1">
        <v>9500.0</v>
      </c>
      <c r="H64" s="1">
        <v>9500.0</v>
      </c>
      <c r="I64" s="11" t="s">
        <v>1480</v>
      </c>
      <c r="J64" s="17" t="str">
        <f t="shared" si="8"/>
        <v>Endoscopy</v>
      </c>
    </row>
    <row r="65">
      <c r="A65" s="1" t="s">
        <v>803</v>
      </c>
      <c r="B65" s="1" t="s">
        <v>803</v>
      </c>
      <c r="C65" s="1" t="s">
        <v>280</v>
      </c>
      <c r="D65" s="1" t="s">
        <v>280</v>
      </c>
      <c r="E65" s="1" t="s">
        <v>107</v>
      </c>
      <c r="F65" s="1" t="s">
        <v>107</v>
      </c>
      <c r="G65" s="1">
        <v>32320.0</v>
      </c>
      <c r="H65" s="1">
        <v>32320.0</v>
      </c>
      <c r="I65" s="76" t="str">
        <f>IFERROR(__xludf.DUMMYFUNCTION("XLOOKUP(B65,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0)"),"https://www.kaggle.com/datasets/newslab/cholecseg8k")</f>
        <v>https://www.kaggle.com/datasets/newslab/cholecseg8k</v>
      </c>
      <c r="J65" s="17" t="str">
        <f t="shared" si="8"/>
        <v>Endoscopy</v>
      </c>
    </row>
    <row r="66">
      <c r="A66" s="1" t="s">
        <v>806</v>
      </c>
      <c r="B66" s="1" t="s">
        <v>806</v>
      </c>
      <c r="C66" s="1" t="s">
        <v>280</v>
      </c>
      <c r="D66" s="1" t="s">
        <v>808</v>
      </c>
      <c r="E66" s="1" t="s">
        <v>107</v>
      </c>
      <c r="F66" s="1" t="s">
        <v>107</v>
      </c>
      <c r="G66" s="1">
        <v>429.0</v>
      </c>
      <c r="H66" s="1">
        <v>429.0</v>
      </c>
      <c r="I66" s="76" t="str">
        <f>IFERROR(__xludf.DUMMYFUNCTION("XLOOKUP(B66,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0)"),"https://www.ucl.ac.uk/interventional-surgical-sciences/weiss-open-research/weiss-open-data-server/serv-ct")</f>
        <v>https://www.ucl.ac.uk/interventional-surgical-sciences/weiss-open-research/weiss-open-data-server/serv-ct</v>
      </c>
      <c r="J66" s="17" t="str">
        <f t="shared" si="8"/>
        <v>Endoscopy</v>
      </c>
    </row>
    <row r="67">
      <c r="A67" s="1" t="s">
        <v>811</v>
      </c>
      <c r="B67" s="1" t="s">
        <v>812</v>
      </c>
      <c r="C67" s="1" t="s">
        <v>280</v>
      </c>
      <c r="D67" s="1" t="s">
        <v>813</v>
      </c>
      <c r="E67" s="1" t="s">
        <v>147</v>
      </c>
      <c r="F67" s="1" t="s">
        <v>61</v>
      </c>
      <c r="G67" s="1">
        <v>4998.0</v>
      </c>
      <c r="H67" s="1">
        <v>5010.0</v>
      </c>
      <c r="I67" s="76" t="str">
        <f>IFERROR(__xludf.DUMMYFUNCTION("XLOOKUP(B67,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0)"),"https://zenodo.org/records/53169#.W6HwwP4zbOQ")</f>
        <v>https://zenodo.org/records/53169#.W6HwwP4zbOQ</v>
      </c>
      <c r="J67" s="17" t="str">
        <f t="shared" si="8"/>
        <v>Histopathology</v>
      </c>
    </row>
    <row r="68">
      <c r="A68" s="1" t="s">
        <v>815</v>
      </c>
      <c r="B68" s="1" t="s">
        <v>816</v>
      </c>
      <c r="C68" s="1" t="s">
        <v>280</v>
      </c>
      <c r="D68" s="1" t="s">
        <v>813</v>
      </c>
      <c r="E68" s="1" t="s">
        <v>817</v>
      </c>
      <c r="F68" s="1" t="s">
        <v>107</v>
      </c>
      <c r="G68" s="1">
        <v>379.0</v>
      </c>
      <c r="H68" s="1">
        <v>379.0</v>
      </c>
      <c r="I68" s="76" t="str">
        <f>IFERROR(__xludf.DUMMYFUNCTION("XLOOKUP(B68,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0)"),"http://vi.cvc.uab.es/colon-qa/cvccolondb")</f>
        <v>http://vi.cvc.uab.es/colon-qa/cvccolondb</v>
      </c>
      <c r="J68" s="17" t="str">
        <f t="shared" si="8"/>
        <v>Endoscopy</v>
      </c>
    </row>
    <row r="69">
      <c r="A69" s="1" t="s">
        <v>821</v>
      </c>
      <c r="B69" s="1" t="s">
        <v>822</v>
      </c>
      <c r="C69" s="1" t="s">
        <v>280</v>
      </c>
      <c r="D69" s="1" t="s">
        <v>813</v>
      </c>
      <c r="E69" s="1" t="s">
        <v>107</v>
      </c>
      <c r="F69" s="1" t="s">
        <v>107</v>
      </c>
      <c r="G69" s="1">
        <v>386.0</v>
      </c>
      <c r="H69" s="1">
        <v>386.0</v>
      </c>
      <c r="I69" s="76" t="str">
        <f>IFERROR(__xludf.DUMMYFUNCTION("XLOOKUP(B69,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0)"),"https://ieee-dataport.org/competitions/endoscopy-disease-detection-and-segmentation-edd2020")</f>
        <v>https://ieee-dataport.org/competitions/endoscopy-disease-detection-and-segmentation-edd2020</v>
      </c>
      <c r="J69" s="17" t="str">
        <f t="shared" si="8"/>
        <v>Endoscopy</v>
      </c>
    </row>
    <row r="70">
      <c r="A70" s="1" t="s">
        <v>824</v>
      </c>
      <c r="B70" s="1" t="s">
        <v>825</v>
      </c>
      <c r="C70" s="1" t="s">
        <v>280</v>
      </c>
      <c r="D70" s="1" t="s">
        <v>813</v>
      </c>
      <c r="E70" s="1" t="s">
        <v>107</v>
      </c>
      <c r="F70" s="1" t="s">
        <v>107</v>
      </c>
      <c r="G70" s="1">
        <v>18620.0</v>
      </c>
      <c r="H70" s="1">
        <v>8037.0</v>
      </c>
      <c r="I70" s="76" t="str">
        <f>IFERROR(__xludf.DUMMYFUNCTION("XLOOKUP(B70,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0)"),"https://www.synapse.org/Synapse:syn26376615/wiki/613312")</f>
        <v>https://www.synapse.org/Synapse:syn26376615/wiki/613312</v>
      </c>
      <c r="J70" s="17" t="str">
        <f t="shared" si="8"/>
        <v>Endoscopy</v>
      </c>
    </row>
    <row r="71">
      <c r="A71" s="1" t="s">
        <v>829</v>
      </c>
      <c r="B71" s="1" t="s">
        <v>829</v>
      </c>
      <c r="C71" s="1" t="s">
        <v>280</v>
      </c>
      <c r="D71" s="1" t="s">
        <v>813</v>
      </c>
      <c r="E71" s="1" t="s">
        <v>31</v>
      </c>
      <c r="F71" s="1" t="s">
        <v>31</v>
      </c>
      <c r="G71" s="1">
        <v>8387.0</v>
      </c>
      <c r="H71" s="75">
        <v>8387.0</v>
      </c>
      <c r="I71" s="76" t="str">
        <f>IFERROR(__xludf.DUMMYFUNCTION("XLOOKUP(B71,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0)"),"https://www.cancerimagingarchive.net/collection/tcga-coad")</f>
        <v>https://www.cancerimagingarchive.net/collection/tcga-coad</v>
      </c>
      <c r="J71" s="17" t="str">
        <f t="shared" si="8"/>
        <v>CT</v>
      </c>
    </row>
    <row r="72">
      <c r="A72" s="1" t="s">
        <v>832</v>
      </c>
      <c r="B72" s="1" t="s">
        <v>833</v>
      </c>
      <c r="C72" s="1" t="s">
        <v>280</v>
      </c>
      <c r="D72" s="1" t="s">
        <v>835</v>
      </c>
      <c r="E72" s="1" t="s">
        <v>836</v>
      </c>
      <c r="F72" s="1" t="s">
        <v>61</v>
      </c>
      <c r="G72" s="1">
        <v>1.0</v>
      </c>
      <c r="H72" s="1">
        <v>20.0</v>
      </c>
      <c r="I72" s="76" t="str">
        <f>IFERROR(__xludf.DUMMYFUNCTION("XLOOKUP(B72,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0)"),"https://www.kaggle.com/competitions/hubmap-kidney-segmentation")</f>
        <v>https://www.kaggle.com/competitions/hubmap-kidney-segmentation</v>
      </c>
      <c r="J72" s="1" t="s">
        <v>147</v>
      </c>
    </row>
    <row r="73">
      <c r="A73" s="1" t="s">
        <v>846</v>
      </c>
      <c r="B73" s="1" t="s">
        <v>846</v>
      </c>
      <c r="C73" s="1" t="s">
        <v>280</v>
      </c>
      <c r="D73" s="1" t="s">
        <v>835</v>
      </c>
      <c r="E73" s="1" t="s">
        <v>61</v>
      </c>
      <c r="F73" s="1" t="s">
        <v>61</v>
      </c>
      <c r="G73" s="1">
        <v>595.0</v>
      </c>
      <c r="H73" s="1">
        <v>300.0</v>
      </c>
      <c r="I73" s="76" t="str">
        <f>IFERROR(__xludf.DUMMYFUNCTION("XLOOKUP(B73,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0)"),"https://rodare.hzdr.de/record/2473")</f>
        <v>https://rodare.hzdr.de/record/2473</v>
      </c>
      <c r="J73" s="17" t="str">
        <f t="shared" ref="J73:J92" si="9">IF(OR(F73="MRI", F73="Ultrasound", F73="Endoscopy", F73="Dermoscopy", F73="Fundus", F73="OCTA", F73="OCT"), F73, IF(OR(E73="Microscopy", E73="Histopathology", E73="Pathology", E73="CT", E73="PET", E73="X-Ray", E73="Mammography"), E73, ""))</f>
        <v>Microscopy</v>
      </c>
    </row>
    <row r="74">
      <c r="A74" s="1">
        <v>1.4371652E7</v>
      </c>
      <c r="B74" s="1" t="s">
        <v>851</v>
      </c>
      <c r="C74" s="1" t="s">
        <v>280</v>
      </c>
      <c r="D74" s="1" t="s">
        <v>852</v>
      </c>
      <c r="E74" s="1" t="s">
        <v>54</v>
      </c>
      <c r="F74" s="1" t="s">
        <v>54</v>
      </c>
      <c r="G74" s="1">
        <v>6224.0</v>
      </c>
      <c r="H74" s="1">
        <v>1334.0</v>
      </c>
      <c r="I74" s="76" t="str">
        <f>IFERROR(__xludf.DUMMYFUNCTION("XLOOKUP(B74,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0)"),"https://hc18.grand-challenge.org")</f>
        <v>https://hc18.grand-challenge.org</v>
      </c>
      <c r="J74" s="17" t="str">
        <f t="shared" si="9"/>
        <v>Ultrasound</v>
      </c>
    </row>
    <row r="75">
      <c r="A75" s="1" t="s">
        <v>856</v>
      </c>
      <c r="B75" s="1" t="s">
        <v>857</v>
      </c>
      <c r="C75" s="1" t="s">
        <v>280</v>
      </c>
      <c r="D75" s="1" t="s">
        <v>852</v>
      </c>
      <c r="E75" s="1" t="s">
        <v>54</v>
      </c>
      <c r="F75" s="1" t="s">
        <v>54</v>
      </c>
      <c r="G75" s="1">
        <v>33332.0</v>
      </c>
      <c r="H75" s="1">
        <v>33332.0</v>
      </c>
      <c r="I75" s="76" t="str">
        <f>IFERROR(__xludf.DUMMYFUNCTION("XLOOKUP(B75,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0)"),"https://codalab.lisn.upsaclay.fr/competitions/18413")</f>
        <v>https://codalab.lisn.upsaclay.fr/competitions/18413</v>
      </c>
      <c r="J75" s="17" t="str">
        <f t="shared" si="9"/>
        <v>Ultrasound</v>
      </c>
    </row>
    <row r="76">
      <c r="A76" s="1" t="s">
        <v>859</v>
      </c>
      <c r="B76" s="1" t="s">
        <v>860</v>
      </c>
      <c r="C76" s="1" t="s">
        <v>280</v>
      </c>
      <c r="D76" s="1" t="s">
        <v>852</v>
      </c>
      <c r="E76" s="1" t="s">
        <v>61</v>
      </c>
      <c r="F76" s="1" t="s">
        <v>61</v>
      </c>
      <c r="G76" s="1">
        <v>5015.0</v>
      </c>
      <c r="H76" s="1">
        <v>5015.0</v>
      </c>
      <c r="I76" s="76" t="str">
        <f>IFERROR(__xludf.DUMMYFUNCTION("XLOOKUP(B76,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0)"),"https://www.cs.uoi.gr/~marina/sipakmed.html")</f>
        <v>https://www.cs.uoi.gr/~marina/sipakmed.html</v>
      </c>
      <c r="J76" s="17" t="str">
        <f t="shared" si="9"/>
        <v>Microscopy</v>
      </c>
    </row>
    <row r="77">
      <c r="A77" s="1" t="s">
        <v>862</v>
      </c>
      <c r="B77" s="1" t="s">
        <v>864</v>
      </c>
      <c r="C77" s="1" t="s">
        <v>280</v>
      </c>
      <c r="D77" s="1" t="s">
        <v>865</v>
      </c>
      <c r="E77" s="1" t="s">
        <v>866</v>
      </c>
      <c r="F77" s="1" t="s">
        <v>17</v>
      </c>
      <c r="G77" s="1">
        <v>51394.0</v>
      </c>
      <c r="H77" s="1">
        <v>6.0</v>
      </c>
      <c r="I77" s="76" t="str">
        <f>IFERROR(__xludf.DUMMYFUNCTION("XLOOKUP(B77,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0)"),"https://liuquande.github.io/SAML")</f>
        <v>https://liuquande.github.io/SAML</v>
      </c>
      <c r="J77" s="17" t="str">
        <f t="shared" si="9"/>
        <v>MRI</v>
      </c>
    </row>
    <row r="78">
      <c r="A78" s="1" t="s">
        <v>872</v>
      </c>
      <c r="B78" s="1" t="s">
        <v>873</v>
      </c>
      <c r="C78" s="1" t="s">
        <v>366</v>
      </c>
      <c r="D78" s="1" t="s">
        <v>366</v>
      </c>
      <c r="E78" s="1" t="s">
        <v>874</v>
      </c>
      <c r="F78" s="1" t="s">
        <v>64</v>
      </c>
      <c r="G78" s="1">
        <v>170.0</v>
      </c>
      <c r="H78" s="1">
        <v>170.0</v>
      </c>
      <c r="I78" s="76" t="str">
        <f>IFERROR(__xludf.DUMMYFUNCTION("XLOOKUP(B78,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0)"),"https://www.cs.rug.nl/~imaging/databases/melanoma_naevi/")</f>
        <v>https://www.cs.rug.nl/~imaging/databases/melanoma_naevi/</v>
      </c>
      <c r="J78" s="17" t="str">
        <f t="shared" si="9"/>
        <v>Dermoscopy</v>
      </c>
    </row>
    <row r="79">
      <c r="A79" s="46" t="s">
        <v>878</v>
      </c>
      <c r="B79" s="46" t="s">
        <v>879</v>
      </c>
      <c r="C79" s="46" t="s">
        <v>366</v>
      </c>
      <c r="D79" s="46" t="s">
        <v>880</v>
      </c>
      <c r="E79" s="46" t="s">
        <v>874</v>
      </c>
      <c r="F79" s="46" t="s">
        <v>64</v>
      </c>
      <c r="G79" s="46">
        <v>2000.0</v>
      </c>
      <c r="H79" s="46">
        <v>2000.0</v>
      </c>
      <c r="I79" s="76" t="str">
        <f>IFERROR(__xludf.DUMMYFUNCTION("XLOOKUP(B79,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0)"),"https://challenge.isic-archive.com/data/#2017")</f>
        <v>https://challenge.isic-archive.com/data/#2017</v>
      </c>
      <c r="J79" s="17" t="str">
        <f t="shared" si="9"/>
        <v>Dermoscopy</v>
      </c>
    </row>
    <row r="80">
      <c r="A80" s="1" t="s">
        <v>883</v>
      </c>
      <c r="B80" s="1" t="s">
        <v>884</v>
      </c>
      <c r="C80" s="1" t="s">
        <v>366</v>
      </c>
      <c r="D80" s="1" t="s">
        <v>880</v>
      </c>
      <c r="E80" s="1" t="s">
        <v>874</v>
      </c>
      <c r="F80" s="1" t="s">
        <v>64</v>
      </c>
      <c r="G80" s="1">
        <v>4485904.0</v>
      </c>
      <c r="H80" s="75">
        <v>33126.0</v>
      </c>
      <c r="I80" s="76" t="str">
        <f>IFERROR(__xludf.DUMMYFUNCTION("XLOOKUP(B80,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0)"),"https://challenge2020.isic-archive.com/")</f>
        <v>https://challenge2020.isic-archive.com/</v>
      </c>
      <c r="J80" s="17" t="str">
        <f t="shared" si="9"/>
        <v>Dermoscopy</v>
      </c>
    </row>
    <row r="81">
      <c r="A81" s="1" t="s">
        <v>136</v>
      </c>
      <c r="B81" s="1" t="s">
        <v>889</v>
      </c>
      <c r="C81" s="1" t="s">
        <v>366</v>
      </c>
      <c r="D81" s="1" t="s">
        <v>366</v>
      </c>
      <c r="E81" s="1" t="s">
        <v>64</v>
      </c>
      <c r="F81" s="1" t="s">
        <v>64</v>
      </c>
      <c r="G81" s="1">
        <v>16577.0</v>
      </c>
      <c r="H81" s="75">
        <v>16577.0</v>
      </c>
      <c r="I81" s="76" t="str">
        <f>IFERROR(__xludf.DUMMYFUNCTION("XLOOKUP(B81,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0)"),"https://github.com/mattgroh/fitzpatrick17k")</f>
        <v>https://github.com/mattgroh/fitzpatrick17k</v>
      </c>
      <c r="J81" s="17" t="str">
        <f t="shared" si="9"/>
        <v>Dermoscopy</v>
      </c>
    </row>
    <row r="82">
      <c r="A82" s="1" t="s">
        <v>891</v>
      </c>
      <c r="B82" s="1" t="s">
        <v>891</v>
      </c>
      <c r="C82" s="1" t="s">
        <v>366</v>
      </c>
      <c r="D82" s="1" t="s">
        <v>366</v>
      </c>
      <c r="E82" s="1" t="s">
        <v>91</v>
      </c>
      <c r="F82" s="1" t="s">
        <v>61</v>
      </c>
      <c r="G82" s="1">
        <v>129369.0</v>
      </c>
      <c r="H82" s="1">
        <v>129369.0</v>
      </c>
      <c r="I82" s="76" t="str">
        <f>IFERROR(__xludf.DUMMYFUNCTION("XLOOKUP(B82,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0)"),"https://heidata.uni-heidelberg.de/dataset.xhtml?persistentId=doi:10.11588/data/7QCR8S")</f>
        <v>https://heidata.uni-heidelberg.de/dataset.xhtml?persistentId=doi:10.11588/data/7QCR8S</v>
      </c>
      <c r="J82" s="17" t="str">
        <f t="shared" si="9"/>
        <v>Pathology</v>
      </c>
    </row>
    <row r="83">
      <c r="A83" s="1" t="s">
        <v>896</v>
      </c>
      <c r="B83" s="1" t="s">
        <v>897</v>
      </c>
      <c r="C83" s="1" t="s">
        <v>366</v>
      </c>
      <c r="D83" s="1" t="s">
        <v>366</v>
      </c>
      <c r="E83" s="1" t="s">
        <v>898</v>
      </c>
      <c r="F83" s="1" t="s">
        <v>64</v>
      </c>
      <c r="G83" s="1">
        <v>2394.0</v>
      </c>
      <c r="H83" s="1">
        <v>2394.0</v>
      </c>
      <c r="I83" s="76" t="str">
        <f>IFERROR(__xludf.DUMMYFUNCTION("XLOOKUP(B83,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0)"),"https://www.kaggle.com/datasets/syedalinaqvi/augmented-skin-conditions-image-dataset")</f>
        <v>https://www.kaggle.com/datasets/syedalinaqvi/augmented-skin-conditions-image-dataset</v>
      </c>
      <c r="J83" s="17" t="str">
        <f t="shared" si="9"/>
        <v>Dermoscopy</v>
      </c>
    </row>
    <row r="84">
      <c r="A84" s="1" t="s">
        <v>903</v>
      </c>
      <c r="B84" s="1" t="s">
        <v>62</v>
      </c>
      <c r="C84" s="1" t="s">
        <v>366</v>
      </c>
      <c r="D84" s="1" t="s">
        <v>366</v>
      </c>
      <c r="E84" s="1" t="s">
        <v>874</v>
      </c>
      <c r="F84" s="1" t="s">
        <v>64</v>
      </c>
      <c r="G84" s="1">
        <v>81722.0</v>
      </c>
      <c r="H84" s="1">
        <v>81722.0</v>
      </c>
      <c r="I84" s="76" t="str">
        <f>IFERROR(__xludf.DUMMYFUNCTION("XLOOKUP(B84,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0)"),"https://www.kaggle.com/competitions/isic-2024-challenge")</f>
        <v>https://www.kaggle.com/competitions/isic-2024-challenge</v>
      </c>
      <c r="J84" s="17" t="str">
        <f t="shared" si="9"/>
        <v>Dermoscopy</v>
      </c>
    </row>
    <row r="85">
      <c r="A85" s="1" t="s">
        <v>906</v>
      </c>
      <c r="B85" s="1" t="s">
        <v>907</v>
      </c>
      <c r="C85" s="1" t="s">
        <v>366</v>
      </c>
      <c r="D85" s="1" t="s">
        <v>366</v>
      </c>
      <c r="E85" s="1" t="s">
        <v>64</v>
      </c>
      <c r="F85" s="1" t="s">
        <v>64</v>
      </c>
      <c r="G85" s="1">
        <v>11526.0</v>
      </c>
      <c r="H85" s="1">
        <v>11526.0</v>
      </c>
      <c r="I85" s="76" t="str">
        <f>IFERROR(__xludf.DUMMYFUNCTION("XLOOKUP(B85,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0)"),"https://dataverse.harvard.edu/dataset.xhtml?persistentId=doi:10.7910/DVN/DBW86T")</f>
        <v>https://dataverse.harvard.edu/dataset.xhtml?persistentId=doi:10.7910/DVN/DBW86T</v>
      </c>
      <c r="J85" s="17" t="str">
        <f t="shared" si="9"/>
        <v>Dermoscopy</v>
      </c>
    </row>
    <row r="86">
      <c r="A86" s="1" t="s">
        <v>912</v>
      </c>
      <c r="B86" s="1" t="s">
        <v>913</v>
      </c>
      <c r="C86" s="1" t="s">
        <v>366</v>
      </c>
      <c r="D86" s="1" t="s">
        <v>366</v>
      </c>
      <c r="E86" s="1" t="s">
        <v>31</v>
      </c>
      <c r="F86" s="1" t="s">
        <v>31</v>
      </c>
      <c r="G86" s="1">
        <v>9227.0</v>
      </c>
      <c r="H86" s="1">
        <v>16.0</v>
      </c>
      <c r="I86" s="76" t="str">
        <f>IFERROR(__xludf.DUMMYFUNCTION("XLOOKUP(B86,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0)"),"http://www.imagenglab.com/wiki/mediawiki/index.php?title=2015_MICCAI_Challenge")</f>
        <v>http://www.imagenglab.com/wiki/mediawiki/index.php?title=2015_MICCAI_Challenge</v>
      </c>
      <c r="J86" s="17" t="str">
        <f t="shared" si="9"/>
        <v>CT</v>
      </c>
    </row>
    <row r="87">
      <c r="A87" s="1" t="s">
        <v>915</v>
      </c>
      <c r="B87" s="1" t="s">
        <v>913</v>
      </c>
      <c r="C87" s="1" t="s">
        <v>366</v>
      </c>
      <c r="D87" s="1" t="s">
        <v>366</v>
      </c>
      <c r="E87" s="1" t="s">
        <v>31</v>
      </c>
      <c r="F87" s="1" t="s">
        <v>31</v>
      </c>
      <c r="G87" s="1">
        <v>9433.0</v>
      </c>
      <c r="H87" s="1">
        <v>16.0</v>
      </c>
      <c r="I87" s="76" t="str">
        <f>IFERROR(__xludf.DUMMYFUNCTION("XLOOKUP(B87,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0)"),"http://www.imagenglab.com/wiki/mediawiki/index.php?title=2015_MICCAI_Challenge")</f>
        <v>http://www.imagenglab.com/wiki/mediawiki/index.php?title=2015_MICCAI_Challenge</v>
      </c>
      <c r="J87" s="17" t="str">
        <f t="shared" si="9"/>
        <v>CT</v>
      </c>
    </row>
    <row r="88">
      <c r="A88" s="1" t="s">
        <v>916</v>
      </c>
      <c r="B88" s="1" t="s">
        <v>913</v>
      </c>
      <c r="C88" s="1" t="s">
        <v>366</v>
      </c>
      <c r="D88" s="1" t="s">
        <v>366</v>
      </c>
      <c r="E88" s="1" t="s">
        <v>31</v>
      </c>
      <c r="F88" s="1" t="s">
        <v>31</v>
      </c>
      <c r="G88" s="1">
        <v>9386.0</v>
      </c>
      <c r="H88" s="1">
        <v>16.0</v>
      </c>
      <c r="I88" s="76" t="str">
        <f>IFERROR(__xludf.DUMMYFUNCTION("XLOOKUP(B88,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0)"),"http://www.imagenglab.com/wiki/mediawiki/index.php?title=2015_MICCAI_Challenge")</f>
        <v>http://www.imagenglab.com/wiki/mediawiki/index.php?title=2015_MICCAI_Challenge</v>
      </c>
      <c r="J88" s="17" t="str">
        <f t="shared" si="9"/>
        <v>CT</v>
      </c>
    </row>
    <row r="89">
      <c r="A89" s="1" t="s">
        <v>925</v>
      </c>
      <c r="B89" s="1" t="s">
        <v>926</v>
      </c>
      <c r="C89" s="1" t="s">
        <v>366</v>
      </c>
      <c r="D89" s="1" t="s">
        <v>366</v>
      </c>
      <c r="E89" s="1" t="s">
        <v>147</v>
      </c>
      <c r="F89" s="1" t="s">
        <v>61</v>
      </c>
      <c r="G89" s="1">
        <v>209.0</v>
      </c>
      <c r="H89" s="1">
        <v>209.0</v>
      </c>
      <c r="I89" s="76" t="str">
        <f>IFERROR(__xludf.DUMMYFUNCTION("XLOOKUP(B89,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0)"),"https://monusac-2020.grand-challenge.org")</f>
        <v>https://monusac-2020.grand-challenge.org</v>
      </c>
      <c r="J89" s="17" t="str">
        <f t="shared" si="9"/>
        <v>Histopathology</v>
      </c>
    </row>
    <row r="90">
      <c r="A90" s="1" t="s">
        <v>936</v>
      </c>
      <c r="B90" s="1" t="s">
        <v>936</v>
      </c>
      <c r="C90" s="1" t="s">
        <v>744</v>
      </c>
      <c r="D90" s="1" t="s">
        <v>744</v>
      </c>
      <c r="E90" s="1" t="s">
        <v>17</v>
      </c>
      <c r="F90" s="1" t="s">
        <v>17</v>
      </c>
      <c r="G90" s="1">
        <v>23098.0</v>
      </c>
      <c r="I90" s="76" t="str">
        <f>IFERROR(__xludf.DUMMYFUNCTION("XLOOKUP(B90,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0)"),"https://segchd.csail.mit.edu/")</f>
        <v>https://segchd.csail.mit.edu/</v>
      </c>
      <c r="J90" s="17" t="str">
        <f t="shared" si="9"/>
        <v>MRI</v>
      </c>
    </row>
    <row r="91">
      <c r="A91" s="1" t="s">
        <v>937</v>
      </c>
      <c r="B91" s="1" t="s">
        <v>937</v>
      </c>
      <c r="C91" s="1" t="s">
        <v>744</v>
      </c>
      <c r="D91" s="1" t="s">
        <v>301</v>
      </c>
      <c r="E91" s="1" t="s">
        <v>17</v>
      </c>
      <c r="F91" s="1" t="s">
        <v>17</v>
      </c>
      <c r="G91" s="1">
        <v>121757.0</v>
      </c>
      <c r="H91" s="1">
        <v>150.0</v>
      </c>
      <c r="I91" s="76" t="str">
        <f>IFERROR(__xludf.DUMMYFUNCTION("XLOOKUP(B91,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0)"),"https://www.creatis.insa-lyon.fr/Challenge/acdc/")</f>
        <v>https://www.creatis.insa-lyon.fr/Challenge/acdc/</v>
      </c>
      <c r="J91" s="17" t="str">
        <f t="shared" si="9"/>
        <v>MRI</v>
      </c>
    </row>
    <row r="92">
      <c r="A92" s="1" t="s">
        <v>939</v>
      </c>
      <c r="B92" s="1" t="s">
        <v>940</v>
      </c>
      <c r="C92" s="1" t="s">
        <v>744</v>
      </c>
      <c r="D92" s="1" t="s">
        <v>941</v>
      </c>
      <c r="E92" s="1" t="s">
        <v>942</v>
      </c>
      <c r="F92" s="1" t="s">
        <v>17</v>
      </c>
      <c r="G92" s="1">
        <v>81722.0</v>
      </c>
      <c r="I92" s="76" t="str">
        <f>IFERROR(__xludf.DUMMYFUNCTION("XLOOKUP(B92,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0)"),"https://www.cardiacatlas.org/amrg-cardiac-atlas")</f>
        <v>https://www.cardiacatlas.org/amrg-cardiac-atlas</v>
      </c>
      <c r="J92" s="17" t="str">
        <f t="shared" si="9"/>
        <v>MRI</v>
      </c>
    </row>
    <row r="93">
      <c r="A93" s="1" t="s">
        <v>944</v>
      </c>
      <c r="B93" s="1" t="s">
        <v>945</v>
      </c>
      <c r="C93" s="1" t="s">
        <v>744</v>
      </c>
      <c r="D93" s="1" t="s">
        <v>941</v>
      </c>
      <c r="E93" s="1" t="s">
        <v>946</v>
      </c>
      <c r="F93" s="1" t="s">
        <v>81</v>
      </c>
      <c r="G93" s="1">
        <v>19744.0</v>
      </c>
      <c r="H93" s="1">
        <v>8325.0</v>
      </c>
      <c r="I93" s="76" t="str">
        <f>IFERROR(__xludf.DUMMYFUNCTION("XLOOKUP(B93,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0)"),"https://data.mendeley.com/datasets/ydrm75xywg/1")</f>
        <v>https://data.mendeley.com/datasets/ydrm75xywg/1</v>
      </c>
      <c r="J93" s="1" t="s">
        <v>75</v>
      </c>
    </row>
    <row r="94">
      <c r="A94" s="1" t="s">
        <v>948</v>
      </c>
      <c r="B94" s="1" t="s">
        <v>949</v>
      </c>
      <c r="C94" s="1" t="s">
        <v>744</v>
      </c>
      <c r="D94" s="1" t="s">
        <v>941</v>
      </c>
      <c r="E94" s="1" t="s">
        <v>950</v>
      </c>
      <c r="F94" s="1" t="s">
        <v>17</v>
      </c>
      <c r="G94" s="1">
        <v>100127.0</v>
      </c>
      <c r="H94" s="1">
        <v>154.0</v>
      </c>
      <c r="I94" s="76" t="str">
        <f>IFERROR(__xludf.DUMMYFUNCTION("XLOOKUP(B94,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0)"),"https://www.cardiacatlas.org/atriaseg2018-challenge")</f>
        <v>https://www.cardiacatlas.org/atriaseg2018-challenge</v>
      </c>
      <c r="J94" s="17" t="str">
        <f>IF(OR(F94="MRI", F94="Ultrasound", F94="Endoscopy", F94="Dermoscopy", F94="Fundus", F94="OCTA", F94="OCT"), F94, IF(OR(E94="Microscopy", E94="Histopathology", E94="Pathology", E94="CT", E94="PET", E94="X-Ray", E94="Mammography"), E94, ""))</f>
        <v>MRI</v>
      </c>
    </row>
    <row r="95">
      <c r="A95" s="1" t="s">
        <v>957</v>
      </c>
      <c r="B95" s="1" t="s">
        <v>958</v>
      </c>
      <c r="C95" s="1" t="s">
        <v>744</v>
      </c>
      <c r="D95" s="1" t="s">
        <v>941</v>
      </c>
      <c r="E95" s="1" t="s">
        <v>959</v>
      </c>
      <c r="F95" s="1" t="s">
        <v>31</v>
      </c>
      <c r="G95" s="1">
        <v>28055.0</v>
      </c>
      <c r="H95" s="1">
        <v>30.0</v>
      </c>
      <c r="I95" s="76" t="str">
        <f>IFERROR(__xludf.DUMMYFUNCTION("XLOOKUP(B95,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0)"),"https://www.kaggle.com/datasets/xiaoweixumedicalai/imagealcapa")</f>
        <v>https://www.kaggle.com/datasets/xiaoweixumedicalai/imagealcapa</v>
      </c>
      <c r="J95" s="1" t="s">
        <v>31</v>
      </c>
    </row>
    <row r="96">
      <c r="A96" s="1" t="s">
        <v>962</v>
      </c>
      <c r="B96" s="1" t="s">
        <v>964</v>
      </c>
      <c r="C96" s="1" t="s">
        <v>744</v>
      </c>
      <c r="D96" s="1" t="s">
        <v>941</v>
      </c>
      <c r="E96" s="1" t="s">
        <v>31</v>
      </c>
      <c r="F96" s="1" t="s">
        <v>31</v>
      </c>
      <c r="G96" s="1">
        <v>114045.0</v>
      </c>
      <c r="H96" s="1">
        <v>110.0</v>
      </c>
      <c r="I96" s="76" t="str">
        <f>IFERROR(__xludf.DUMMYFUNCTION("XLOOKUP(B96,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0)"),"https://www.kaggle.com/datasets/xiaoweixumedicalai/imagechd")</f>
        <v>https://www.kaggle.com/datasets/xiaoweixumedicalai/imagechd</v>
      </c>
      <c r="J96" s="17" t="str">
        <f>IF(OR(F96="MRI", F96="Ultrasound", F96="Endoscopy", F96="Dermoscopy", F96="Fundus", F96="OCTA", F96="OCT"), F96, IF(OR(E96="Microscopy", E96="Histopathology", E96="Pathology", E96="CT", E96="PET", E96="X-Ray", E96="Mammography"), E96, ""))</f>
        <v>CT</v>
      </c>
    </row>
    <row r="97">
      <c r="A97" s="1" t="s">
        <v>967</v>
      </c>
      <c r="B97" s="1" t="s">
        <v>968</v>
      </c>
      <c r="C97" s="1" t="s">
        <v>744</v>
      </c>
      <c r="D97" s="1" t="s">
        <v>941</v>
      </c>
      <c r="E97" s="1" t="s">
        <v>959</v>
      </c>
      <c r="F97" s="1" t="s">
        <v>31</v>
      </c>
      <c r="G97" s="1">
        <v>90070.0</v>
      </c>
      <c r="H97" s="1">
        <v>100.0</v>
      </c>
      <c r="I97" s="76" t="str">
        <f>IFERROR(__xludf.DUMMYFUNCTION("XLOOKUP(B97,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0)"),"https://www.kaggle.com/datasets/xiaoweixumedicalai/imagetbad")</f>
        <v>https://www.kaggle.com/datasets/xiaoweixumedicalai/imagetbad</v>
      </c>
      <c r="J97" s="1" t="s">
        <v>31</v>
      </c>
    </row>
    <row r="98">
      <c r="A98" s="1" t="s">
        <v>969</v>
      </c>
      <c r="B98" s="1" t="s">
        <v>969</v>
      </c>
      <c r="C98" s="1" t="s">
        <v>61</v>
      </c>
      <c r="D98" s="1" t="s">
        <v>544</v>
      </c>
      <c r="E98" s="1" t="s">
        <v>91</v>
      </c>
      <c r="F98" s="1" t="s">
        <v>61</v>
      </c>
      <c r="G98" s="1">
        <v>9746.0</v>
      </c>
      <c r="H98" s="1">
        <f>4870*2</f>
        <v>9740</v>
      </c>
      <c r="I98" s="76" t="str">
        <f>IFERROR(__xludf.DUMMYFUNCTION("XLOOKUP(B98,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0)"),"https://bupt-ai-cz.github.io/BCI/")</f>
        <v>https://bupt-ai-cz.github.io/BCI/</v>
      </c>
      <c r="J98" s="17" t="str">
        <f t="shared" ref="J98:J111" si="10">IF(OR(F98="MRI", F98="Ultrasound", F98="Endoscopy", F98="Dermoscopy", F98="Fundus", F98="OCTA", F98="OCT"), F98, IF(OR(E98="Microscopy", E98="Histopathology", E98="Pathology", E98="CT", E98="PET", E98="X-Ray", E98="Mammography"), E98, ""))</f>
        <v>Pathology</v>
      </c>
    </row>
    <row r="99">
      <c r="A99" s="46" t="s">
        <v>975</v>
      </c>
      <c r="B99" s="46" t="s">
        <v>976</v>
      </c>
      <c r="C99" s="46" t="s">
        <v>977</v>
      </c>
      <c r="D99" s="46" t="s">
        <v>978</v>
      </c>
      <c r="E99" s="46" t="s">
        <v>75</v>
      </c>
      <c r="F99" s="46" t="s">
        <v>81</v>
      </c>
      <c r="G99" s="46">
        <v>40005.0</v>
      </c>
      <c r="H99" s="75">
        <v>40561.0</v>
      </c>
      <c r="I99" s="76" t="str">
        <f>IFERROR(__xludf.DUMMYFUNCTION("XLOOKUP(B99, IMPORTRANGE(""https://docs.google.com/spreadsheets/d/1UBtmuaUf7_Fv957LMBmn6lMadUM-z7scKS8El4i3Thk/edit?usp=sharing"", ""sheet1!J:J""), IMPORTRANGE(""https://docs.google.com/spreadsheets/d/1UBtmuaUf7_Fv957LMBmn6lMadUM-z7scKS8El4i3Thk/edit?usp="&amp;"sharing"", ""sheet1!AA:AA""), 0)"),"https://stanfordmlgroup.github.io/competitions/mura/")</f>
        <v>https://stanfordmlgroup.github.io/competitions/mura/</v>
      </c>
      <c r="J99" s="17" t="str">
        <f t="shared" si="10"/>
        <v>X-ray</v>
      </c>
    </row>
    <row r="100">
      <c r="A100" s="1" t="s">
        <v>984</v>
      </c>
      <c r="B100" s="1" t="s">
        <v>985</v>
      </c>
      <c r="C100" s="1" t="s">
        <v>977</v>
      </c>
      <c r="D100" s="1" t="s">
        <v>994</v>
      </c>
      <c r="E100" s="1" t="s">
        <v>75</v>
      </c>
      <c r="F100" s="1" t="s">
        <v>81</v>
      </c>
      <c r="G100" s="1">
        <v>3300.0</v>
      </c>
      <c r="H100" s="1">
        <v>3300.0</v>
      </c>
      <c r="I100" s="76" t="str">
        <f>IFERROR(__xludf.DUMMYFUNCTION("XLOOKUP(B100,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0)"),"https://data.mendeley.com/datasets/t9ndx37v5h/1")</f>
        <v>https://data.mendeley.com/datasets/t9ndx37v5h/1</v>
      </c>
      <c r="J100" s="17" t="str">
        <f t="shared" si="10"/>
        <v>X-ray</v>
      </c>
    </row>
    <row r="101">
      <c r="A101" s="1" t="s">
        <v>988</v>
      </c>
      <c r="B101" s="1" t="s">
        <v>989</v>
      </c>
      <c r="C101" s="1" t="s">
        <v>977</v>
      </c>
      <c r="D101" s="1" t="s">
        <v>994</v>
      </c>
      <c r="E101" s="1" t="s">
        <v>75</v>
      </c>
      <c r="F101" s="1" t="s">
        <v>81</v>
      </c>
      <c r="G101" s="1">
        <v>8188.0</v>
      </c>
      <c r="H101" s="1">
        <v>8188.0</v>
      </c>
      <c r="I101" s="76" t="str">
        <f>IFERROR(__xludf.DUMMYFUNCTION("XLOOKUP(B101,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0)"),"https://www.kaggle.com/datasets/henriquerezermosqur/dental-x-ray-computacional-vision-segmentation/data")</f>
        <v>https://www.kaggle.com/datasets/henriquerezermosqur/dental-x-ray-computacional-vision-segmentation/data</v>
      </c>
      <c r="J101" s="17" t="str">
        <f t="shared" si="10"/>
        <v>X-ray</v>
      </c>
    </row>
    <row r="102">
      <c r="A102" s="1" t="s">
        <v>992</v>
      </c>
      <c r="B102" s="1" t="s">
        <v>993</v>
      </c>
      <c r="C102" s="1" t="s">
        <v>977</v>
      </c>
      <c r="D102" s="1" t="s">
        <v>994</v>
      </c>
      <c r="E102" s="1" t="s">
        <v>75</v>
      </c>
      <c r="F102" s="1" t="s">
        <v>81</v>
      </c>
      <c r="G102" s="1">
        <v>1770.0</v>
      </c>
      <c r="H102" s="1">
        <v>1770.0</v>
      </c>
      <c r="I102" s="76" t="str">
        <f>IFERROR(__xludf.DUMMYFUNCTION("XLOOKUP(B102,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0)"),"https://data.mendeley.com/datasets/jf3pv98m9g/2")</f>
        <v>https://data.mendeley.com/datasets/jf3pv98m9g/2</v>
      </c>
      <c r="J102" s="17" t="str">
        <f t="shared" si="10"/>
        <v>X-ray</v>
      </c>
    </row>
    <row r="103">
      <c r="A103" s="46" t="s">
        <v>996</v>
      </c>
      <c r="B103" s="46" t="s">
        <v>996</v>
      </c>
      <c r="C103" s="46" t="s">
        <v>977</v>
      </c>
      <c r="D103" s="46" t="s">
        <v>994</v>
      </c>
      <c r="E103" s="46" t="s">
        <v>75</v>
      </c>
      <c r="F103" s="46" t="s">
        <v>81</v>
      </c>
      <c r="G103" s="46">
        <v>1297.0</v>
      </c>
      <c r="H103" s="46">
        <v>1297.0</v>
      </c>
      <c r="I103" s="76" t="str">
        <f>IFERROR(__xludf.DUMMYFUNCTION("XLOOKUP(B103,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0)"),"https://aimi.stanford.edu/lera-lower-extremity-radiographs")</f>
        <v>https://aimi.stanford.edu/lera-lower-extremity-radiographs</v>
      </c>
      <c r="J103" s="17" t="str">
        <f t="shared" si="10"/>
        <v>X-ray</v>
      </c>
    </row>
    <row r="104">
      <c r="A104" s="1" t="s">
        <v>1002</v>
      </c>
      <c r="B104" s="1" t="s">
        <v>1003</v>
      </c>
      <c r="C104" s="1" t="s">
        <v>977</v>
      </c>
      <c r="D104" s="1" t="s">
        <v>994</v>
      </c>
      <c r="E104" s="1" t="s">
        <v>75</v>
      </c>
      <c r="F104" s="1" t="s">
        <v>81</v>
      </c>
      <c r="G104" s="1">
        <v>280.0</v>
      </c>
      <c r="H104" s="1">
        <v>280.0</v>
      </c>
      <c r="I104" s="76" t="str">
        <f>IFERROR(__xludf.DUMMYFUNCTION("XLOOKUP(B104,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0)"),"https://data.mendeley.com/datasets/zm6bxzhmfz/1")</f>
        <v>https://data.mendeley.com/datasets/zm6bxzhmfz/1</v>
      </c>
      <c r="J104" s="17" t="str">
        <f t="shared" si="10"/>
        <v>X-ray</v>
      </c>
    </row>
    <row r="105">
      <c r="A105" s="1" t="s">
        <v>1010</v>
      </c>
      <c r="B105" s="1" t="s">
        <v>1011</v>
      </c>
      <c r="C105" s="1" t="s">
        <v>120</v>
      </c>
      <c r="D105" s="1" t="s">
        <v>120</v>
      </c>
      <c r="E105" s="1" t="s">
        <v>31</v>
      </c>
      <c r="F105" s="1" t="s">
        <v>31</v>
      </c>
      <c r="G105" s="1">
        <v>437538.0</v>
      </c>
      <c r="H105" s="1">
        <v>1228.0</v>
      </c>
      <c r="I105" s="76" t="str">
        <f>IFERROR(__xludf.DUMMYFUNCTION("XLOOKUP(B105,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0)"),"https://zenodo.org/records/10047292")</f>
        <v>https://zenodo.org/records/10047292</v>
      </c>
      <c r="J105" s="17" t="str">
        <f t="shared" si="10"/>
        <v>CT</v>
      </c>
    </row>
    <row r="106">
      <c r="A106" s="1" t="s">
        <v>1012</v>
      </c>
      <c r="B106" s="1" t="s">
        <v>1012</v>
      </c>
      <c r="C106" s="1" t="s">
        <v>120</v>
      </c>
      <c r="D106" s="1" t="s">
        <v>120</v>
      </c>
      <c r="E106" s="1" t="s">
        <v>91</v>
      </c>
      <c r="F106" s="1" t="s">
        <v>61</v>
      </c>
      <c r="G106" s="1">
        <v>119828.0</v>
      </c>
      <c r="H106" s="17">
        <f>6920*16</f>
        <v>110720</v>
      </c>
      <c r="I106" s="76" t="str">
        <f>IFERROR(__xludf.DUMMYFUNCTION("XLOOKUP(B106,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0)"),"https://osf.io/gqutd/")</f>
        <v>https://osf.io/gqutd/</v>
      </c>
      <c r="J106" s="17" t="str">
        <f t="shared" si="10"/>
        <v>Pathology</v>
      </c>
    </row>
    <row r="107">
      <c r="A107" s="65" t="s">
        <v>1020</v>
      </c>
      <c r="B107" s="66" t="s">
        <v>1021</v>
      </c>
      <c r="C107" s="66" t="s">
        <v>301</v>
      </c>
      <c r="D107" s="66" t="s">
        <v>603</v>
      </c>
      <c r="E107" s="66" t="s">
        <v>31</v>
      </c>
      <c r="F107" s="1" t="s">
        <v>31</v>
      </c>
      <c r="G107" s="1">
        <v>426.0</v>
      </c>
      <c r="H107" s="1">
        <v>426.0</v>
      </c>
      <c r="I107" s="76" t="str">
        <f>IFERROR(__xludf.DUMMYFUNCTION("XLOOKUP(B107,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0)"),"https://data.uni-hannover.de/dataset/cov-19-img")</f>
        <v>https://data.uni-hannover.de/dataset/cov-19-img</v>
      </c>
      <c r="J107" s="17" t="str">
        <f t="shared" si="10"/>
        <v>CT</v>
      </c>
    </row>
    <row r="108">
      <c r="A108" s="65" t="s">
        <v>1030</v>
      </c>
      <c r="B108" s="66" t="s">
        <v>1030</v>
      </c>
      <c r="C108" s="66" t="s">
        <v>301</v>
      </c>
      <c r="D108" s="66" t="s">
        <v>603</v>
      </c>
      <c r="E108" s="66" t="s">
        <v>31</v>
      </c>
      <c r="F108" s="1" t="s">
        <v>31</v>
      </c>
      <c r="G108" s="1">
        <v>317155.0</v>
      </c>
      <c r="I108" s="76" t="str">
        <f>IFERROR(__xludf.DUMMYFUNCTION("XLOOKUP(B108,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0)"),"https://dataverse.harvard.edu/dataset.xhtml?persistentId=doi:10.7910/DVN/6ACUZJ")</f>
        <v>https://dataverse.harvard.edu/dataset.xhtml?persistentId=doi:10.7910/DVN/6ACUZJ</v>
      </c>
      <c r="J108" s="17" t="str">
        <f t="shared" si="10"/>
        <v>CT</v>
      </c>
    </row>
    <row r="109">
      <c r="A109" s="65" t="s">
        <v>1031</v>
      </c>
      <c r="B109" s="66" t="s">
        <v>1032</v>
      </c>
      <c r="C109" s="66" t="s">
        <v>280</v>
      </c>
      <c r="D109" s="66" t="s">
        <v>280</v>
      </c>
      <c r="E109" s="66" t="s">
        <v>31</v>
      </c>
      <c r="F109" s="1" t="s">
        <v>31</v>
      </c>
      <c r="G109" s="1">
        <v>1131041.0</v>
      </c>
      <c r="I109" s="76" t="str">
        <f>IFERROR(__xludf.DUMMYFUNCTION("XLOOKUP(B109,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0)"),"http://medicaldecathlon.com/")</f>
        <v>http://medicaldecathlon.com/</v>
      </c>
      <c r="J109" s="17" t="str">
        <f t="shared" si="10"/>
        <v>CT</v>
      </c>
    </row>
    <row r="110">
      <c r="A110" s="65" t="s">
        <v>1043</v>
      </c>
      <c r="B110" s="66" t="s">
        <v>1044</v>
      </c>
      <c r="C110" s="66" t="s">
        <v>301</v>
      </c>
      <c r="D110" s="66" t="s">
        <v>603</v>
      </c>
      <c r="E110" s="66" t="s">
        <v>31</v>
      </c>
      <c r="F110" s="1" t="s">
        <v>31</v>
      </c>
      <c r="G110" s="1">
        <v>35829.0</v>
      </c>
      <c r="H110" s="1">
        <v>30.0</v>
      </c>
      <c r="I110" s="76" t="str">
        <f>IFERROR(__xludf.DUMMYFUNCTION("XLOOKUP(B110,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0)"),"https://empire10.grand-challenge.org")</f>
        <v>https://empire10.grand-challenge.org</v>
      </c>
      <c r="J110" s="17" t="str">
        <f t="shared" si="10"/>
        <v>CT</v>
      </c>
    </row>
    <row r="111">
      <c r="A111" s="65" t="s">
        <v>1052</v>
      </c>
      <c r="B111" s="66" t="s">
        <v>1053</v>
      </c>
      <c r="C111" s="66" t="s">
        <v>301</v>
      </c>
      <c r="D111" s="66" t="s">
        <v>603</v>
      </c>
      <c r="E111" s="66" t="s">
        <v>31</v>
      </c>
      <c r="F111" s="1" t="s">
        <v>31</v>
      </c>
      <c r="G111" s="1">
        <v>1097.0</v>
      </c>
      <c r="H111" s="1">
        <v>1190.0</v>
      </c>
      <c r="I111" s="76" t="str">
        <f>IFERROR(__xludf.DUMMYFUNCTION("XLOOKUP(B111,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0)"),"https://www.kaggle.com/datasets/hamdallak/the-iqothnccd-lung-cancer-dataset")</f>
        <v>https://www.kaggle.com/datasets/hamdallak/the-iqothnccd-lung-cancer-dataset</v>
      </c>
      <c r="J111" s="17" t="str">
        <f t="shared" si="10"/>
        <v>CT</v>
      </c>
    </row>
    <row r="112">
      <c r="A112" s="65" t="s">
        <v>1059</v>
      </c>
      <c r="B112" s="66" t="s">
        <v>1059</v>
      </c>
      <c r="C112" s="66" t="s">
        <v>301</v>
      </c>
      <c r="D112" s="66" t="s">
        <v>603</v>
      </c>
      <c r="E112" s="66" t="s">
        <v>1060</v>
      </c>
      <c r="F112" s="1" t="s">
        <v>31</v>
      </c>
      <c r="G112" s="1">
        <v>7205.0</v>
      </c>
      <c r="H112" s="1">
        <v>7205.0</v>
      </c>
      <c r="I112" s="76" t="str">
        <f>IFERROR(__xludf.DUMMYFUNCTION("XLOOKUP(B112,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0)"),"https://lumic.grand-challenge.org")</f>
        <v>https://lumic.grand-challenge.org</v>
      </c>
      <c r="J112" s="1" t="s">
        <v>31</v>
      </c>
    </row>
    <row r="113">
      <c r="A113" s="65" t="s">
        <v>1066</v>
      </c>
      <c r="B113" s="66" t="s">
        <v>1067</v>
      </c>
      <c r="C113" s="66" t="s">
        <v>301</v>
      </c>
      <c r="D113" s="66" t="s">
        <v>603</v>
      </c>
      <c r="E113" s="66" t="s">
        <v>633</v>
      </c>
      <c r="F113" s="1" t="s">
        <v>81</v>
      </c>
      <c r="G113" s="1">
        <v>55684.0</v>
      </c>
      <c r="H113" s="1">
        <v>55684.0</v>
      </c>
      <c r="I113" s="76" t="str">
        <f>IFERROR(__xludf.DUMMYFUNCTION("XLOOKUP(B113,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0)"),"https://www.rsna.org/rsnai/ai-image-challenge/RSNA-Pneumonia-Detection-Challenge-2018")</f>
        <v>https://www.rsna.org/rsnai/ai-image-challenge/RSNA-Pneumonia-Detection-Challenge-2018</v>
      </c>
      <c r="J113" s="1" t="s">
        <v>75</v>
      </c>
    </row>
    <row r="114">
      <c r="A114" s="65" t="s">
        <v>1080</v>
      </c>
      <c r="B114" s="66" t="s">
        <v>1080</v>
      </c>
      <c r="C114" s="66" t="s">
        <v>301</v>
      </c>
      <c r="D114" s="66" t="s">
        <v>603</v>
      </c>
      <c r="E114" s="66" t="s">
        <v>31</v>
      </c>
      <c r="F114" s="1" t="s">
        <v>31</v>
      </c>
      <c r="G114" s="1">
        <v>12645.0</v>
      </c>
      <c r="H114" s="1">
        <v>50.0</v>
      </c>
      <c r="I114" s="76" t="str">
        <f>IFERROR(__xludf.DUMMYFUNCTION("XLOOKUP(B114,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0)"),"http://www.via.cornell.edu/databases/simbadb.html")</f>
        <v>http://www.via.cornell.edu/databases/simbadb.html</v>
      </c>
      <c r="J114" s="17" t="str">
        <f t="shared" ref="J114:J132" si="11">IF(OR(F114="MRI", F114="Ultrasound", F114="Endoscopy", F114="Dermoscopy", F114="Fundus", F114="OCTA", F114="OCT"), F114, IF(OR(E114="Microscopy", E114="Histopathology", E114="Pathology", E114="CT", E114="PET", E114="X-Ray", E114="Mammography"), E114, ""))</f>
        <v>CT</v>
      </c>
    </row>
    <row r="115">
      <c r="A115" s="65" t="s">
        <v>1081</v>
      </c>
      <c r="B115" s="66" t="s">
        <v>1082</v>
      </c>
      <c r="C115" s="66" t="s">
        <v>301</v>
      </c>
      <c r="D115" s="66" t="s">
        <v>603</v>
      </c>
      <c r="E115" s="66" t="s">
        <v>31</v>
      </c>
      <c r="F115" s="1" t="s">
        <v>31</v>
      </c>
      <c r="G115" s="1">
        <v>28227.0</v>
      </c>
      <c r="I115" s="76" t="str">
        <f>IFERROR(__xludf.DUMMYFUNCTION("XLOOKUP(B115,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0)"),"http://www.via.cornell.edu/databases/crpf.html")</f>
        <v>http://www.via.cornell.edu/databases/crpf.html</v>
      </c>
      <c r="J115" s="17" t="str">
        <f t="shared" si="11"/>
        <v>CT</v>
      </c>
    </row>
    <row r="116">
      <c r="A116" s="65" t="s">
        <v>1085</v>
      </c>
      <c r="B116" s="66" t="s">
        <v>1085</v>
      </c>
      <c r="C116" s="66" t="s">
        <v>246</v>
      </c>
      <c r="D116" s="66" t="s">
        <v>640</v>
      </c>
      <c r="E116" s="66" t="s">
        <v>17</v>
      </c>
      <c r="F116" s="1" t="s">
        <v>17</v>
      </c>
      <c r="G116" s="1">
        <v>67599.0</v>
      </c>
      <c r="H116" s="75">
        <v>28295.0</v>
      </c>
      <c r="I116" s="76" t="str">
        <f>IFERROR(__xludf.DUMMYFUNCTION("XLOOKUP(B116,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0)"),"https://www.cancerimagingarchive.net/analysis-result/brats-tcga-lgg/")</f>
        <v>https://www.cancerimagingarchive.net/analysis-result/brats-tcga-lgg/</v>
      </c>
      <c r="J116" s="17" t="str">
        <f t="shared" si="11"/>
        <v>MRI</v>
      </c>
    </row>
    <row r="117">
      <c r="A117" s="65" t="s">
        <v>1086</v>
      </c>
      <c r="B117" s="66" t="s">
        <v>1086</v>
      </c>
      <c r="C117" s="66" t="s">
        <v>246</v>
      </c>
      <c r="D117" s="66" t="s">
        <v>246</v>
      </c>
      <c r="E117" s="66" t="s">
        <v>17</v>
      </c>
      <c r="F117" s="1" t="s">
        <v>17</v>
      </c>
      <c r="G117" s="1">
        <v>104878.0</v>
      </c>
      <c r="H117" s="75">
        <v>27754.0</v>
      </c>
      <c r="I117" s="76" t="str">
        <f>IFERROR(__xludf.DUMMYFUNCTION("XLOOKUP(B117,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0)"),"https://www.cancerimagingarchive.net/analysis-result/brats-tcga-gbm/")</f>
        <v>https://www.cancerimagingarchive.net/analysis-result/brats-tcga-gbm/</v>
      </c>
      <c r="J117" s="17" t="str">
        <f t="shared" si="11"/>
        <v>MRI</v>
      </c>
    </row>
    <row r="118">
      <c r="A118" s="65" t="s">
        <v>1087</v>
      </c>
      <c r="B118" s="66" t="s">
        <v>1088</v>
      </c>
      <c r="C118" s="66" t="s">
        <v>246</v>
      </c>
      <c r="D118" s="66" t="s">
        <v>1089</v>
      </c>
      <c r="E118" s="66" t="s">
        <v>91</v>
      </c>
      <c r="F118" s="1" t="s">
        <v>61</v>
      </c>
      <c r="G118" s="1">
        <v>1224.0</v>
      </c>
      <c r="H118" s="1">
        <v>1224.0</v>
      </c>
      <c r="I118" s="76" t="str">
        <f>IFERROR(__xludf.DUMMYFUNCTION("XLOOKUP(B118,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0)"),"https://data.mendeley.com/datasets/ftmp4cvtmb/1")</f>
        <v>https://data.mendeley.com/datasets/ftmp4cvtmb/1</v>
      </c>
      <c r="J118" s="17" t="str">
        <f t="shared" si="11"/>
        <v>Pathology</v>
      </c>
    </row>
    <row r="119">
      <c r="A119" s="65" t="s">
        <v>1090</v>
      </c>
      <c r="B119" s="66" t="s">
        <v>1091</v>
      </c>
      <c r="C119" s="66" t="s">
        <v>246</v>
      </c>
      <c r="D119" s="66" t="s">
        <v>246</v>
      </c>
      <c r="E119" s="66" t="s">
        <v>17</v>
      </c>
      <c r="F119" s="1" t="s">
        <v>17</v>
      </c>
      <c r="G119" s="1">
        <v>37639.0</v>
      </c>
      <c r="H119" s="1">
        <v>120.0</v>
      </c>
      <c r="I119" s="11" t="s">
        <v>1543</v>
      </c>
      <c r="J119" s="17" t="str">
        <f t="shared" si="11"/>
        <v>MRI</v>
      </c>
    </row>
    <row r="120">
      <c r="A120" s="65" t="s">
        <v>1092</v>
      </c>
      <c r="B120" s="66" t="s">
        <v>1093</v>
      </c>
      <c r="C120" s="66" t="s">
        <v>246</v>
      </c>
      <c r="D120" s="66" t="s">
        <v>644</v>
      </c>
      <c r="E120" s="66" t="s">
        <v>17</v>
      </c>
      <c r="F120" s="1" t="s">
        <v>17</v>
      </c>
      <c r="G120" s="1">
        <v>36098.0</v>
      </c>
      <c r="H120" s="1">
        <v>150.0</v>
      </c>
      <c r="I120" s="76" t="str">
        <f>IFERROR(__xludf.DUMMYFUNCTION("XLOOKUP(B120,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0)"),"https://hntsmrg24.grand-challenge.org/overview/")</f>
        <v>https://hntsmrg24.grand-challenge.org/overview/</v>
      </c>
      <c r="J120" s="17" t="str">
        <f t="shared" si="11"/>
        <v>MRI</v>
      </c>
    </row>
    <row r="121">
      <c r="A121" s="65" t="s">
        <v>1095</v>
      </c>
      <c r="B121" s="66" t="s">
        <v>1096</v>
      </c>
      <c r="C121" s="66" t="s">
        <v>246</v>
      </c>
      <c r="D121" s="66" t="s">
        <v>1097</v>
      </c>
      <c r="E121" s="66" t="s">
        <v>17</v>
      </c>
      <c r="F121" s="1" t="s">
        <v>17</v>
      </c>
      <c r="G121" s="1">
        <v>134309.0</v>
      </c>
      <c r="H121" s="1">
        <v>170.0</v>
      </c>
      <c r="I121" s="11" t="s">
        <v>1548</v>
      </c>
      <c r="J121" s="17" t="str">
        <f t="shared" si="11"/>
        <v>MRI</v>
      </c>
    </row>
    <row r="122">
      <c r="A122" s="65" t="s">
        <v>1098</v>
      </c>
      <c r="B122" s="66" t="s">
        <v>1099</v>
      </c>
      <c r="C122" s="66" t="s">
        <v>246</v>
      </c>
      <c r="D122" s="65" t="s">
        <v>657</v>
      </c>
      <c r="E122" s="66" t="s">
        <v>651</v>
      </c>
      <c r="F122" s="1" t="s">
        <v>100</v>
      </c>
      <c r="G122" s="1">
        <v>669.0</v>
      </c>
      <c r="H122" s="1">
        <v>669.0</v>
      </c>
      <c r="I122" s="76" t="str">
        <f>IFERROR(__xludf.DUMMYFUNCTION("XLOOKUP(B122,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0)"),"http://academictorrents.com/details/99811ba62918f8e73791d21be29dcc372d660305")</f>
        <v>http://academictorrents.com/details/99811ba62918f8e73791d21be29dcc372d660305</v>
      </c>
      <c r="J122" s="17" t="str">
        <f t="shared" si="11"/>
        <v>Fundus</v>
      </c>
    </row>
    <row r="123">
      <c r="A123" s="65" t="s">
        <v>1101</v>
      </c>
      <c r="B123" s="66" t="s">
        <v>1101</v>
      </c>
      <c r="C123" s="66" t="s">
        <v>246</v>
      </c>
      <c r="D123" s="66" t="s">
        <v>657</v>
      </c>
      <c r="E123" s="66" t="s">
        <v>100</v>
      </c>
      <c r="F123" s="1" t="s">
        <v>100</v>
      </c>
      <c r="G123" s="1">
        <v>1369.0</v>
      </c>
      <c r="H123" s="1">
        <v>1369.0</v>
      </c>
      <c r="I123" s="76" t="str">
        <f>IFERROR(__xludf.DUMMYFUNCTION("XLOOKUP(B123,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0)"),"https://osf.io/2w5ce/")</f>
        <v>https://osf.io/2w5ce/</v>
      </c>
      <c r="J123" s="17" t="str">
        <f t="shared" si="11"/>
        <v>Fundus</v>
      </c>
    </row>
    <row r="124">
      <c r="A124" s="65" t="s">
        <v>1102</v>
      </c>
      <c r="B124" s="66" t="s">
        <v>1102</v>
      </c>
      <c r="C124" s="66" t="s">
        <v>246</v>
      </c>
      <c r="D124" s="66" t="s">
        <v>657</v>
      </c>
      <c r="E124" s="66" t="s">
        <v>1103</v>
      </c>
      <c r="F124" s="1" t="s">
        <v>100</v>
      </c>
      <c r="G124" s="1">
        <v>1475.0</v>
      </c>
      <c r="H124" s="1">
        <v>1475.0</v>
      </c>
      <c r="I124" s="76" t="str">
        <f>IFERROR(__xludf.DUMMYFUNCTION("XLOOKUP(B124,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0)"),"https://idrid.grand-challenge.org/Home/")</f>
        <v>https://idrid.grand-challenge.org/Home/</v>
      </c>
      <c r="J124" s="17" t="str">
        <f t="shared" si="11"/>
        <v>Fundus</v>
      </c>
    </row>
    <row r="125">
      <c r="A125" s="65" t="s">
        <v>1104</v>
      </c>
      <c r="B125" s="66" t="s">
        <v>1104</v>
      </c>
      <c r="C125" s="66" t="s">
        <v>246</v>
      </c>
      <c r="D125" s="66" t="s">
        <v>657</v>
      </c>
      <c r="E125" s="66" t="s">
        <v>100</v>
      </c>
      <c r="F125" s="1" t="s">
        <v>100</v>
      </c>
      <c r="G125" s="1">
        <v>705.0</v>
      </c>
      <c r="H125" s="1">
        <v>705.0</v>
      </c>
      <c r="I125" s="76" t="str">
        <f>IFERROR(__xludf.DUMMYFUNCTION("XLOOKUP(B125,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0)"),"https://figshare.com/s/c2d31f850af14c5b5232")</f>
        <v>https://figshare.com/s/c2d31f850af14c5b5232</v>
      </c>
      <c r="J125" s="17" t="str">
        <f t="shared" si="11"/>
        <v>Fundus</v>
      </c>
    </row>
    <row r="126">
      <c r="A126" s="65" t="s">
        <v>1105</v>
      </c>
      <c r="B126" s="66" t="s">
        <v>1105</v>
      </c>
      <c r="C126" s="66" t="s">
        <v>246</v>
      </c>
      <c r="D126" s="66" t="s">
        <v>657</v>
      </c>
      <c r="E126" s="66" t="s">
        <v>100</v>
      </c>
      <c r="F126" s="1" t="s">
        <v>100</v>
      </c>
      <c r="G126" s="1">
        <v>2000.0</v>
      </c>
      <c r="H126" s="1">
        <v>2000.0</v>
      </c>
      <c r="I126" s="76" t="str">
        <f>IFERROR(__xludf.DUMMYFUNCTION("XLOOKUP(B126,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0)"),"https://www.kaggle.com/datasets/linchundan/fundusimage1000")</f>
        <v>https://www.kaggle.com/datasets/linchundan/fundusimage1000</v>
      </c>
      <c r="J126" s="17" t="str">
        <f t="shared" si="11"/>
        <v>Fundus</v>
      </c>
    </row>
    <row r="127">
      <c r="A127" s="65" t="s">
        <v>1106</v>
      </c>
      <c r="B127" s="66" t="s">
        <v>1107</v>
      </c>
      <c r="C127" s="66" t="s">
        <v>246</v>
      </c>
      <c r="D127" s="65" t="s">
        <v>657</v>
      </c>
      <c r="E127" s="66" t="s">
        <v>1103</v>
      </c>
      <c r="F127" s="1" t="s">
        <v>100</v>
      </c>
      <c r="G127" s="1">
        <v>14392.0</v>
      </c>
      <c r="H127" s="1">
        <v>14392.0</v>
      </c>
      <c r="I127" s="76" t="str">
        <f>IFERROR(__xludf.DUMMYFUNCTION("XLOOKUP(B127,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0)"),"https://www.kaggle.com/datasets/andrewmvd/ocular-disease-recognition-odir5k")</f>
        <v>https://www.kaggle.com/datasets/andrewmvd/ocular-disease-recognition-odir5k</v>
      </c>
      <c r="J127" s="17" t="str">
        <f t="shared" si="11"/>
        <v>Fundus</v>
      </c>
    </row>
    <row r="128">
      <c r="A128" s="65" t="s">
        <v>1108</v>
      </c>
      <c r="B128" s="66" t="s">
        <v>1109</v>
      </c>
      <c r="C128" s="66" t="s">
        <v>246</v>
      </c>
      <c r="D128" s="66" t="s">
        <v>657</v>
      </c>
      <c r="E128" s="66" t="s">
        <v>100</v>
      </c>
      <c r="F128" s="1" t="s">
        <v>100</v>
      </c>
      <c r="G128" s="1">
        <v>35126.0</v>
      </c>
      <c r="H128" s="1">
        <v>35126.0</v>
      </c>
      <c r="I128" s="76" t="str">
        <f>IFERROR(__xludf.DUMMYFUNCTION("XLOOKUP(B128,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0)"),"https://tianchi.aliyun.com/dataset/93926")</f>
        <v>https://tianchi.aliyun.com/dataset/93926</v>
      </c>
      <c r="J128" s="17" t="str">
        <f t="shared" si="11"/>
        <v>Fundus</v>
      </c>
    </row>
    <row r="129">
      <c r="A129" s="65" t="s">
        <v>1110</v>
      </c>
      <c r="B129" s="66" t="s">
        <v>1111</v>
      </c>
      <c r="C129" s="66" t="s">
        <v>246</v>
      </c>
      <c r="D129" s="66" t="s">
        <v>657</v>
      </c>
      <c r="E129" s="66" t="s">
        <v>100</v>
      </c>
      <c r="F129" s="1" t="s">
        <v>100</v>
      </c>
      <c r="G129" s="1">
        <v>3600.0</v>
      </c>
      <c r="H129" s="1">
        <v>3600.0</v>
      </c>
      <c r="I129" s="76" t="str">
        <f>IFERROR(__xludf.DUMMYFUNCTION("XLOOKUP(B129,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0)"),"https://amd.grand-challenge.org/Home/")</f>
        <v>https://amd.grand-challenge.org/Home/</v>
      </c>
      <c r="J129" s="17" t="str">
        <f t="shared" si="11"/>
        <v>Fundus</v>
      </c>
    </row>
    <row r="130">
      <c r="A130" s="65" t="s">
        <v>1115</v>
      </c>
      <c r="B130" s="66" t="s">
        <v>1117</v>
      </c>
      <c r="C130" s="66" t="s">
        <v>246</v>
      </c>
      <c r="D130" s="66" t="s">
        <v>1118</v>
      </c>
      <c r="E130" s="66" t="s">
        <v>725</v>
      </c>
      <c r="F130" s="1" t="s">
        <v>725</v>
      </c>
      <c r="G130" s="1">
        <v>24000.0</v>
      </c>
      <c r="H130" s="1">
        <v>24000.0</v>
      </c>
      <c r="I130" s="76" t="str">
        <f>IFERROR(__xludf.DUMMYFUNCTION("XLOOKUP(B130,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0)"),"https://www.kaggle.com/datasets/obulisainaren/retinal-oct-c8")</f>
        <v>https://www.kaggle.com/datasets/obulisainaren/retinal-oct-c8</v>
      </c>
      <c r="J130" s="17" t="str">
        <f t="shared" si="11"/>
        <v>OCT</v>
      </c>
    </row>
    <row r="131">
      <c r="A131" s="65" t="s">
        <v>1135</v>
      </c>
      <c r="B131" s="66" t="s">
        <v>1135</v>
      </c>
      <c r="C131" s="66" t="s">
        <v>246</v>
      </c>
      <c r="D131" s="66" t="s">
        <v>657</v>
      </c>
      <c r="E131" s="66" t="s">
        <v>1564</v>
      </c>
      <c r="F131" s="1" t="s">
        <v>100</v>
      </c>
      <c r="G131" s="1">
        <v>161081.0</v>
      </c>
      <c r="H131" s="1">
        <v>161081.0</v>
      </c>
      <c r="I131" s="76" t="str">
        <f>IFERROR(__xludf.DUMMYFUNCTION("XLOOKUP(B131,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0)"),"https://github.com/olivesgatech/OLIVES_Dataset")</f>
        <v>https://github.com/olivesgatech/OLIVES_Dataset</v>
      </c>
      <c r="J131" s="17" t="str">
        <f t="shared" si="11"/>
        <v>Fundus</v>
      </c>
    </row>
    <row r="132">
      <c r="A132" s="65" t="s">
        <v>1159</v>
      </c>
      <c r="B132" s="66" t="s">
        <v>1161</v>
      </c>
      <c r="C132" s="66" t="s">
        <v>246</v>
      </c>
      <c r="D132" s="66" t="s">
        <v>246</v>
      </c>
      <c r="E132" s="66" t="s">
        <v>1165</v>
      </c>
      <c r="F132" s="1" t="s">
        <v>17</v>
      </c>
      <c r="G132" s="1">
        <v>16530.0</v>
      </c>
      <c r="H132" s="1">
        <v>7.0</v>
      </c>
      <c r="I132" s="76" t="str">
        <f>IFERROR(__xludf.DUMMYFUNCTION("XLOOKUP(B132,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0)"),"https://zenodo.org/records/1206163")</f>
        <v>https://zenodo.org/records/1206163</v>
      </c>
      <c r="J132" s="17" t="str">
        <f t="shared" si="11"/>
        <v>MRI</v>
      </c>
    </row>
    <row r="133">
      <c r="A133" s="65" t="s">
        <v>1215</v>
      </c>
      <c r="B133" s="66" t="s">
        <v>1217</v>
      </c>
      <c r="C133" s="66" t="s">
        <v>246</v>
      </c>
      <c r="D133" s="66" t="s">
        <v>684</v>
      </c>
      <c r="E133" s="66" t="s">
        <v>692</v>
      </c>
      <c r="F133" s="1" t="s">
        <v>81</v>
      </c>
      <c r="G133" s="1">
        <v>3582.0</v>
      </c>
      <c r="H133" s="1">
        <v>598.0</v>
      </c>
      <c r="I133" s="76" t="str">
        <f>IFERROR(__xludf.DUMMYFUNCTION("XLOOKUP(B133,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0)"),"https://humansintheloop.org/resources/datasets/teeth-segmentation-dataset")</f>
        <v>https://humansintheloop.org/resources/datasets/teeth-segmentation-dataset</v>
      </c>
      <c r="J133" s="1" t="s">
        <v>75</v>
      </c>
    </row>
    <row r="134">
      <c r="A134" s="65" t="s">
        <v>1246</v>
      </c>
      <c r="B134" s="66" t="s">
        <v>1248</v>
      </c>
      <c r="C134" s="66" t="s">
        <v>280</v>
      </c>
      <c r="D134" s="66" t="s">
        <v>739</v>
      </c>
      <c r="E134" s="66" t="s">
        <v>107</v>
      </c>
      <c r="F134" s="1" t="s">
        <v>107</v>
      </c>
      <c r="G134" s="1">
        <v>196.0</v>
      </c>
      <c r="H134" s="1">
        <v>1000.0</v>
      </c>
      <c r="I134" s="76" t="str">
        <f>IFERROR(__xludf.DUMMYFUNCTION("XLOOKUP(B134,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0)"),"https://datasets.simula.no/kvasir-seg/")</f>
        <v>https://datasets.simula.no/kvasir-seg/</v>
      </c>
      <c r="J134" s="17" t="str">
        <f t="shared" ref="J134:J137" si="12">IF(OR(F134="MRI", F134="Ultrasound", F134="Endoscopy", F134="Dermoscopy", F134="Fundus", F134="OCTA", F134="OCT"), F134, IF(OR(E134="Microscopy", E134="Histopathology", E134="Pathology", E134="CT", E134="PET", E134="X-Ray", E134="Mammography"), E134, ""))</f>
        <v>Endoscopy</v>
      </c>
    </row>
    <row r="135">
      <c r="A135" s="65" t="s">
        <v>1290</v>
      </c>
      <c r="B135" s="66" t="s">
        <v>1292</v>
      </c>
      <c r="C135" s="66" t="s">
        <v>280</v>
      </c>
      <c r="D135" s="66" t="s">
        <v>1295</v>
      </c>
      <c r="E135" s="66" t="s">
        <v>1297</v>
      </c>
      <c r="F135" s="1" t="s">
        <v>107</v>
      </c>
      <c r="G135" s="1">
        <v>16991.0</v>
      </c>
      <c r="H135" s="1">
        <v>16991.0</v>
      </c>
      <c r="I135" s="76" t="str">
        <f>IFERROR(__xludf.DUMMYFUNCTION("XLOOKUP(B135,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0)"),"https://github.com/SURA23/Sinus-Surgery-Endoscopic-Image-Datasets?tab=readme-ov-file")</f>
        <v>https://github.com/SURA23/Sinus-Surgery-Endoscopic-Image-Datasets?tab=readme-ov-file</v>
      </c>
      <c r="J135" s="17" t="str">
        <f t="shared" si="12"/>
        <v>Endoscopy</v>
      </c>
    </row>
    <row r="136">
      <c r="A136" s="65" t="s">
        <v>1322</v>
      </c>
      <c r="B136" s="66" t="s">
        <v>1322</v>
      </c>
      <c r="C136" s="66" t="s">
        <v>280</v>
      </c>
      <c r="D136" s="66" t="s">
        <v>808</v>
      </c>
      <c r="E136" s="66" t="s">
        <v>107</v>
      </c>
      <c r="F136" s="1" t="s">
        <v>107</v>
      </c>
      <c r="G136" s="1">
        <v>1228.0</v>
      </c>
      <c r="H136" s="1">
        <v>1228.0</v>
      </c>
      <c r="I136" s="76" t="str">
        <f>IFERROR(__xludf.DUMMYFUNCTION("XLOOKUP(B136,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0)"),"https://www.kaggle.com/datasets/salmanmaq/m2caiseg")</f>
        <v>https://www.kaggle.com/datasets/salmanmaq/m2caiseg</v>
      </c>
      <c r="J136" s="17" t="str">
        <f t="shared" si="12"/>
        <v>Endoscopy</v>
      </c>
    </row>
    <row r="137">
      <c r="A137" s="65" t="s">
        <v>1347</v>
      </c>
      <c r="B137" s="66" t="s">
        <v>1349</v>
      </c>
      <c r="C137" s="66" t="s">
        <v>366</v>
      </c>
      <c r="D137" s="66" t="s">
        <v>366</v>
      </c>
      <c r="E137" s="66" t="s">
        <v>54</v>
      </c>
      <c r="F137" s="1" t="s">
        <v>54</v>
      </c>
      <c r="G137" s="1">
        <v>3086.0</v>
      </c>
      <c r="H137" s="1">
        <v>13.0</v>
      </c>
      <c r="I137" s="76" t="str">
        <f>IFERROR(__xludf.DUMMYFUNCTION("XLOOKUP(B137,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0)"),"https://www.kaggle.com/datasets/ignaciorlando/ussimandsegm")</f>
        <v>https://www.kaggle.com/datasets/ignaciorlando/ussimandsegm</v>
      </c>
      <c r="J137" s="17" t="str">
        <f t="shared" si="12"/>
        <v>Ultrasound</v>
      </c>
    </row>
    <row r="138">
      <c r="A138" s="65" t="s">
        <v>1373</v>
      </c>
      <c r="B138" s="66" t="s">
        <v>1</v>
      </c>
      <c r="C138" s="66" t="s">
        <v>61</v>
      </c>
      <c r="D138" s="66" t="s">
        <v>1376</v>
      </c>
      <c r="E138" s="66" t="s">
        <v>1378</v>
      </c>
      <c r="F138" s="1" t="s">
        <v>61</v>
      </c>
      <c r="G138" s="1">
        <v>25000.0</v>
      </c>
      <c r="H138" s="1">
        <v>25000.0</v>
      </c>
      <c r="I138" s="76" t="str">
        <f>IFERROR(__xludf.DUMMYFUNCTION("XLOOKUP(B138,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0)"),"https://github.com/tampapath/lung_colon_image_set")</f>
        <v>https://github.com/tampapath/lung_colon_image_set</v>
      </c>
      <c r="J138" s="1" t="s">
        <v>91</v>
      </c>
    </row>
    <row r="139">
      <c r="A139" s="65" t="s">
        <v>1400</v>
      </c>
      <c r="B139" s="66" t="s">
        <v>1402</v>
      </c>
      <c r="C139" s="66" t="s">
        <v>977</v>
      </c>
      <c r="D139" s="66" t="s">
        <v>1405</v>
      </c>
      <c r="E139" s="66" t="s">
        <v>75</v>
      </c>
      <c r="F139" s="1" t="s">
        <v>81</v>
      </c>
      <c r="G139" s="1">
        <v>12811.0</v>
      </c>
      <c r="H139" s="1">
        <v>12811.0</v>
      </c>
      <c r="I139" s="76" t="str">
        <f>IFERROR(__xludf.DUMMYFUNCTION("XLOOKUP(B139,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0)"),"https://www.kaggle.com/datasets/kmader/rsna-bone-age")</f>
        <v>https://www.kaggle.com/datasets/kmader/rsna-bone-age</v>
      </c>
      <c r="J139" s="17" t="str">
        <f t="shared" ref="J139:J190" si="13">IF(OR(F139="MRI", F139="Ultrasound", F139="Endoscopy", F139="Dermoscopy", F139="Fundus", F139="OCTA", F139="OCT"), F139, IF(OR(E139="Microscopy", E139="Histopathology", E139="Pathology", E139="CT", E139="PET", E139="X-Ray", E139="Mammography"), E139, ""))</f>
        <v>X-ray</v>
      </c>
    </row>
    <row r="140">
      <c r="A140" s="1" t="s">
        <v>1416</v>
      </c>
      <c r="B140" s="1" t="s">
        <v>1417</v>
      </c>
      <c r="C140" s="1" t="s">
        <v>246</v>
      </c>
      <c r="D140" s="1" t="s">
        <v>657</v>
      </c>
      <c r="E140" s="1" t="s">
        <v>1103</v>
      </c>
      <c r="F140" s="1" t="s">
        <v>100</v>
      </c>
      <c r="G140" s="1">
        <v>7000.0</v>
      </c>
      <c r="H140" s="75">
        <v>5000.0</v>
      </c>
      <c r="I140" s="76" t="str">
        <f>IFERROR(__xludf.DUMMYFUNCTION("XLOOKUP(B140,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0)"),"https://odir2019.grand-challenge.org/introduction/")</f>
        <v>https://odir2019.grand-challenge.org/introduction/</v>
      </c>
      <c r="J140" s="17" t="str">
        <f t="shared" si="13"/>
        <v>Fundus</v>
      </c>
    </row>
    <row r="141">
      <c r="A141" s="1" t="s">
        <v>1418</v>
      </c>
      <c r="B141" s="1" t="s">
        <v>1418</v>
      </c>
      <c r="C141" s="1" t="s">
        <v>246</v>
      </c>
      <c r="D141" s="1" t="s">
        <v>657</v>
      </c>
      <c r="E141" s="1" t="s">
        <v>100</v>
      </c>
      <c r="F141" s="1" t="s">
        <v>100</v>
      </c>
      <c r="G141" s="1">
        <v>101442.0</v>
      </c>
      <c r="H141" s="75">
        <v>113893.0</v>
      </c>
      <c r="I141" s="76" t="str">
        <f>IFERROR(__xludf.DUMMYFUNCTION("XLOOKUP(B141,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0)"),"https://airogs.grand-challenge.org/data-and-challenge/")</f>
        <v>https://airogs.grand-challenge.org/data-and-challenge/</v>
      </c>
      <c r="J141" s="17" t="str">
        <f t="shared" si="13"/>
        <v>Fundus</v>
      </c>
    </row>
    <row r="142">
      <c r="A142" s="1" t="s">
        <v>1419</v>
      </c>
      <c r="B142" s="1" t="s">
        <v>1420</v>
      </c>
      <c r="C142" s="1" t="s">
        <v>246</v>
      </c>
      <c r="D142" s="1" t="s">
        <v>657</v>
      </c>
      <c r="E142" s="1" t="s">
        <v>1103</v>
      </c>
      <c r="F142" s="1" t="s">
        <v>100</v>
      </c>
      <c r="G142" s="1">
        <v>3200.0</v>
      </c>
      <c r="H142" s="1">
        <v>3200.0</v>
      </c>
      <c r="I142" s="76" t="str">
        <f>IFERROR(__xludf.DUMMYFUNCTION("XLOOKUP(B142,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0)"),"https://riadd.grand-challenge.org/Home/")</f>
        <v>https://riadd.grand-challenge.org/Home/</v>
      </c>
      <c r="J142" s="17" t="str">
        <f t="shared" si="13"/>
        <v>Fundus</v>
      </c>
    </row>
    <row r="143">
      <c r="A143" s="1" t="s">
        <v>1423</v>
      </c>
      <c r="B143" s="1" t="s">
        <v>1423</v>
      </c>
      <c r="C143" s="1" t="s">
        <v>246</v>
      </c>
      <c r="D143" s="1" t="s">
        <v>657</v>
      </c>
      <c r="E143" s="1" t="s">
        <v>1424</v>
      </c>
      <c r="F143" s="1" t="s">
        <v>100</v>
      </c>
      <c r="G143" s="1">
        <v>822.0</v>
      </c>
      <c r="H143" s="1">
        <v>822.0</v>
      </c>
      <c r="I143" s="76" t="str">
        <f>IFERROR(__xludf.DUMMYFUNCTION("XLOOKUP(B143,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0)"),"https://www.kaggle.com/datasets/nafin59/ocular-toxoplasmosis-fundus-images-dataset")</f>
        <v>https://www.kaggle.com/datasets/nafin59/ocular-toxoplasmosis-fundus-images-dataset</v>
      </c>
      <c r="J143" s="17" t="str">
        <f t="shared" si="13"/>
        <v>Fundus</v>
      </c>
    </row>
    <row r="144">
      <c r="A144" s="1" t="s">
        <v>1428</v>
      </c>
      <c r="B144" s="1" t="s">
        <v>1428</v>
      </c>
      <c r="C144" s="1" t="s">
        <v>246</v>
      </c>
      <c r="D144" s="1" t="s">
        <v>670</v>
      </c>
      <c r="E144" s="1" t="s">
        <v>651</v>
      </c>
      <c r="F144" s="1" t="s">
        <v>100</v>
      </c>
      <c r="G144" s="1">
        <v>5676.0</v>
      </c>
      <c r="H144" s="1">
        <v>5676.0</v>
      </c>
      <c r="I144" s="76" t="str">
        <f>IFERROR(__xludf.DUMMYFUNCTION("XLOOKUP(B144,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0)"),"https://www.kaggle.com/datasets/pkdarabi/diagnosis-of-diabetic-retinopathy?resource=download-directory")</f>
        <v>https://www.kaggle.com/datasets/pkdarabi/diagnosis-of-diabetic-retinopathy?resource=download-directory</v>
      </c>
      <c r="J144" s="17" t="str">
        <f t="shared" si="13"/>
        <v>Fundus</v>
      </c>
    </row>
    <row r="145">
      <c r="A145" s="1" t="s">
        <v>1429</v>
      </c>
      <c r="B145" s="1" t="s">
        <v>1429</v>
      </c>
      <c r="C145" s="1" t="s">
        <v>246</v>
      </c>
      <c r="D145" s="1" t="s">
        <v>670</v>
      </c>
      <c r="E145" s="1" t="s">
        <v>651</v>
      </c>
      <c r="F145" s="1" t="s">
        <v>100</v>
      </c>
      <c r="G145" s="1">
        <v>2800.0</v>
      </c>
      <c r="H145" s="1">
        <v>2800.0</v>
      </c>
      <c r="I145" s="76" t="str">
        <f>IFERROR(__xludf.DUMMYFUNCTION("XLOOKUP(B145,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0)"),"https://www.nature.com/articles/s41597-024-02911-2?_gl=1*16u2cf9*_up*MQ..&amp;gclid=CjwKCAjw9eO3BhBNEiwAoc0-jXF2c7y1hinoDc71AuwyTwBqCuBlioxEwhfIUDUuFRPDtXrGn6S7HhoC4IMQAvD_BwE")</f>
        <v>https://www.nature.com/articles/s41597-024-02911-2?_gl=1*16u2cf9*_up*MQ..&amp;gclid=CjwKCAjw9eO3BhBNEiwAoc0-jXF2c7y1hinoDc71AuwyTwBqCuBlioxEwhfIUDUuFRPDtXrGn6S7HhoC4IMQAvD_BwE</v>
      </c>
      <c r="J145" s="17" t="str">
        <f t="shared" si="13"/>
        <v>Fundus</v>
      </c>
    </row>
    <row r="146">
      <c r="A146" s="1" t="s">
        <v>1430</v>
      </c>
      <c r="B146" s="1" t="s">
        <v>1431</v>
      </c>
      <c r="C146" s="1" t="s">
        <v>246</v>
      </c>
      <c r="D146" s="1" t="s">
        <v>670</v>
      </c>
      <c r="E146" s="1" t="s">
        <v>725</v>
      </c>
      <c r="F146" s="1" t="s">
        <v>725</v>
      </c>
      <c r="G146" s="1">
        <v>3049.0</v>
      </c>
      <c r="H146" s="1">
        <v>3049.0</v>
      </c>
      <c r="I146" s="76" t="str">
        <f>IFERROR(__xludf.DUMMYFUNCTION("XLOOKUP(B146,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0)"),"https://www.nature.com/articles/s41597-024-03844-6?_gl=1*b3wq4u*_up*MQ..&amp;gclid=Cj0KCQjw3bm3BhDJARIsAKnHoVXSgcCZ1IVP-iFrZ3UUAyGYcDxTqRoRzajibS9q1F6dA5GEF2xAyw4aAmrcEALw_wcB")</f>
        <v>https://www.nature.com/articles/s41597-024-03844-6?_gl=1*b3wq4u*_up*MQ..&amp;gclid=Cj0KCQjw3bm3BhDJARIsAKnHoVXSgcCZ1IVP-iFrZ3UUAyGYcDxTqRoRzajibS9q1F6dA5GEF2xAyw4aAmrcEALw_wcB</v>
      </c>
      <c r="J146" s="17" t="str">
        <f t="shared" si="13"/>
        <v>OCT</v>
      </c>
    </row>
    <row r="147">
      <c r="A147" s="1" t="s">
        <v>1432</v>
      </c>
      <c r="B147" s="1" t="s">
        <v>1433</v>
      </c>
      <c r="C147" s="1" t="s">
        <v>246</v>
      </c>
      <c r="D147" s="1" t="s">
        <v>246</v>
      </c>
      <c r="E147" s="1" t="s">
        <v>31</v>
      </c>
      <c r="F147" s="1" t="s">
        <v>31</v>
      </c>
      <c r="G147" s="1">
        <v>644990.0</v>
      </c>
      <c r="H147" s="75">
        <v>25000.0</v>
      </c>
      <c r="I147" s="76" t="str">
        <f>IFERROR(__xludf.DUMMYFUNCTION("XLOOKUP(B147,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0)"),"https://www.kaggle.com/c/rsna-intracranial-hemorrhage-detection/overview")</f>
        <v>https://www.kaggle.com/c/rsna-intracranial-hemorrhage-detection/overview</v>
      </c>
      <c r="J147" s="17" t="str">
        <f t="shared" si="13"/>
        <v>CT</v>
      </c>
    </row>
    <row r="148">
      <c r="A148" s="1" t="s">
        <v>1125</v>
      </c>
      <c r="B148" s="1" t="s">
        <v>1434</v>
      </c>
      <c r="C148" s="1" t="s">
        <v>246</v>
      </c>
      <c r="D148" s="1" t="s">
        <v>246</v>
      </c>
      <c r="E148" s="1" t="s">
        <v>1435</v>
      </c>
      <c r="F148" s="1" t="s">
        <v>17</v>
      </c>
      <c r="G148" s="1">
        <v>14941.0</v>
      </c>
      <c r="I148" s="76" t="str">
        <f>IFERROR(__xludf.DUMMYFUNCTION("XLOOKUP(B148,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0)"),"http://fcon_1000.projects.nitrc.org/indi/ACPI/html/acpi_du_1.html")</f>
        <v>http://fcon_1000.projects.nitrc.org/indi/ACPI/html/acpi_du_1.html</v>
      </c>
      <c r="J148" s="17" t="str">
        <f t="shared" si="13"/>
        <v>MRI</v>
      </c>
    </row>
    <row r="149">
      <c r="A149" s="1" t="s">
        <v>1127</v>
      </c>
      <c r="B149" s="1" t="s">
        <v>1436</v>
      </c>
      <c r="C149" s="1" t="s">
        <v>246</v>
      </c>
      <c r="D149" s="1" t="s">
        <v>246</v>
      </c>
      <c r="E149" s="1" t="s">
        <v>1437</v>
      </c>
      <c r="F149" s="1" t="s">
        <v>17</v>
      </c>
      <c r="G149" s="1">
        <v>46943.0</v>
      </c>
      <c r="H149" s="1">
        <v>130.0</v>
      </c>
      <c r="I149" s="76" t="str">
        <f>IFERROR(__xludf.DUMMYFUNCTION("XLOOKUP(B149,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0)"),"http://fcon_1000.projects.nitrc.org/indi/ACPI/html/acpi_mta_1.html")</f>
        <v>http://fcon_1000.projects.nitrc.org/indi/ACPI/html/acpi_mta_1.html</v>
      </c>
      <c r="J149" s="17" t="str">
        <f t="shared" si="13"/>
        <v>MRI</v>
      </c>
    </row>
    <row r="150">
      <c r="A150" s="1" t="s">
        <v>1129</v>
      </c>
      <c r="B150" s="1" t="s">
        <v>1438</v>
      </c>
      <c r="C150" s="1" t="s">
        <v>246</v>
      </c>
      <c r="D150" s="1" t="s">
        <v>246</v>
      </c>
      <c r="E150" s="1" t="s">
        <v>1435</v>
      </c>
      <c r="F150" s="1" t="s">
        <v>17</v>
      </c>
      <c r="G150" s="1">
        <v>4984.0</v>
      </c>
      <c r="H150" s="1">
        <v>53.0</v>
      </c>
      <c r="I150" s="76" t="str">
        <f>IFERROR(__xludf.DUMMYFUNCTION("XLOOKUP(B150,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0)"),"http://fcon_1000.projects.nitrc.org/indi/ACPI/html/acpi_nyu_1.html")</f>
        <v>http://fcon_1000.projects.nitrc.org/indi/ACPI/html/acpi_nyu_1.html</v>
      </c>
      <c r="J150" s="17" t="str">
        <f t="shared" si="13"/>
        <v>MRI</v>
      </c>
    </row>
    <row r="151">
      <c r="A151" s="1" t="s">
        <v>1398</v>
      </c>
      <c r="B151" s="1" t="s">
        <v>1446</v>
      </c>
      <c r="C151" s="1" t="s">
        <v>246</v>
      </c>
      <c r="D151" s="1" t="s">
        <v>246</v>
      </c>
      <c r="E151" s="1" t="s">
        <v>1447</v>
      </c>
      <c r="F151" s="1" t="s">
        <v>17</v>
      </c>
      <c r="G151" s="1">
        <v>20100.0</v>
      </c>
      <c r="H151" s="1">
        <v>28.0</v>
      </c>
      <c r="I151" s="76" t="str">
        <f>IFERROR(__xludf.DUMMYFUNCTION("XLOOKUP(B151,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0)"),"http://fcon_1000.projects.nitrc.org/indi/pro/BeijingShortTR.html")</f>
        <v>http://fcon_1000.projects.nitrc.org/indi/pro/BeijingShortTR.html</v>
      </c>
      <c r="J151" s="17" t="str">
        <f t="shared" si="13"/>
        <v>MRI</v>
      </c>
    </row>
    <row r="152">
      <c r="A152" s="1" t="s">
        <v>1203</v>
      </c>
      <c r="B152" s="1" t="s">
        <v>1448</v>
      </c>
      <c r="C152" s="1" t="s">
        <v>246</v>
      </c>
      <c r="D152" s="1" t="s">
        <v>246</v>
      </c>
      <c r="E152" s="1" t="s">
        <v>1449</v>
      </c>
      <c r="F152" s="1" t="s">
        <v>17</v>
      </c>
      <c r="G152" s="1">
        <v>34101.0</v>
      </c>
      <c r="H152" s="1">
        <v>48.0</v>
      </c>
      <c r="I152" s="76" t="str">
        <f>IFERROR(__xludf.DUMMYFUNCTION("XLOOKUP(B152,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0)"),"http://fcon_1000.projects.nitrc.org/indi/retro/BeijingEOEC.html")</f>
        <v>http://fcon_1000.projects.nitrc.org/indi/retro/BeijingEOEC.html</v>
      </c>
      <c r="J152" s="17" t="str">
        <f t="shared" si="13"/>
        <v>MRI</v>
      </c>
    </row>
    <row r="153">
      <c r="A153" s="1" t="s">
        <v>1141</v>
      </c>
      <c r="B153" s="1" t="s">
        <v>1141</v>
      </c>
      <c r="C153" s="1" t="s">
        <v>246</v>
      </c>
      <c r="D153" s="1" t="s">
        <v>246</v>
      </c>
      <c r="E153" s="1" t="s">
        <v>31</v>
      </c>
      <c r="F153" s="1" t="s">
        <v>31</v>
      </c>
      <c r="G153" s="1">
        <v>1153586.0</v>
      </c>
      <c r="H153" s="1">
        <v>2392.0</v>
      </c>
      <c r="I153" s="76" t="str">
        <f>IFERROR(__xludf.DUMMYFUNCTION("XLOOKUP(B153,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0)"),"https://github.com/White65534/BHSD")</f>
        <v>https://github.com/White65534/BHSD</v>
      </c>
      <c r="J153" s="17" t="str">
        <f t="shared" si="13"/>
        <v>CT</v>
      </c>
    </row>
    <row r="154">
      <c r="A154" s="1" t="s">
        <v>1143</v>
      </c>
      <c r="B154" s="1" t="s">
        <v>1143</v>
      </c>
      <c r="C154" s="1" t="s">
        <v>246</v>
      </c>
      <c r="D154" s="1" t="s">
        <v>246</v>
      </c>
      <c r="E154" s="1" t="s">
        <v>1450</v>
      </c>
      <c r="F154" s="1" t="s">
        <v>17</v>
      </c>
      <c r="G154" s="1">
        <v>17547.0</v>
      </c>
      <c r="H154" s="1">
        <v>133.0</v>
      </c>
      <c r="I154" s="76" t="str">
        <f>IFERROR(__xludf.DUMMYFUNCTION("XLOOKUP(B154,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0)"),"https://bonbid-hie2023.grand-challenge.org")</f>
        <v>https://bonbid-hie2023.grand-challenge.org</v>
      </c>
      <c r="J154" s="17" t="str">
        <f t="shared" si="13"/>
        <v>MRI</v>
      </c>
    </row>
    <row r="155">
      <c r="A155" s="1" t="s">
        <v>1145</v>
      </c>
      <c r="B155" s="1" t="s">
        <v>1145</v>
      </c>
      <c r="C155" s="1" t="s">
        <v>246</v>
      </c>
      <c r="D155" s="1" t="s">
        <v>246</v>
      </c>
      <c r="E155" s="1" t="s">
        <v>1451</v>
      </c>
      <c r="F155" s="1" t="s">
        <v>17</v>
      </c>
      <c r="G155" s="1">
        <v>8323.0</v>
      </c>
      <c r="H155" s="1">
        <v>88.0</v>
      </c>
      <c r="I155" s="76" t="str">
        <f>IFERROR(__xludf.DUMMYFUNCTION("XLOOKUP(B155,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0)"),"https://bonbid-hie2024.grand-challenge.org")</f>
        <v>https://bonbid-hie2024.grand-challenge.org</v>
      </c>
      <c r="J155" s="17" t="str">
        <f t="shared" si="13"/>
        <v>MRI</v>
      </c>
    </row>
    <row r="156">
      <c r="A156" s="1" t="s">
        <v>1452</v>
      </c>
      <c r="B156" s="1" t="s">
        <v>1452</v>
      </c>
      <c r="C156" s="1" t="s">
        <v>246</v>
      </c>
      <c r="D156" s="1" t="s">
        <v>246</v>
      </c>
      <c r="E156" s="1" t="s">
        <v>17</v>
      </c>
      <c r="F156" s="1" t="s">
        <v>17</v>
      </c>
      <c r="G156" s="1">
        <v>3861.0</v>
      </c>
      <c r="H156" s="75">
        <v>3060.0</v>
      </c>
      <c r="I156" s="76" t="str">
        <f>IFERROR(__xludf.DUMMYFUNCTION("XLOOKUP(B156,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0)"),"https://www.heywhale.com/mw/dataset/61d3e5682d30dc001701f728")</f>
        <v>https://www.heywhale.com/mw/dataset/61d3e5682d30dc001701f728</v>
      </c>
      <c r="J156" s="17" t="str">
        <f t="shared" si="13"/>
        <v>MRI</v>
      </c>
    </row>
    <row r="157">
      <c r="A157" s="1" t="s">
        <v>1453</v>
      </c>
      <c r="B157" s="1" t="s">
        <v>1454</v>
      </c>
      <c r="C157" s="1" t="s">
        <v>246</v>
      </c>
      <c r="D157" s="1" t="s">
        <v>246</v>
      </c>
      <c r="E157" s="1" t="s">
        <v>1455</v>
      </c>
      <c r="F157" s="1" t="s">
        <v>17</v>
      </c>
      <c r="G157" s="1">
        <v>3264.0</v>
      </c>
      <c r="H157" s="1">
        <v>3264.0</v>
      </c>
      <c r="I157" s="76" t="str">
        <f>IFERROR(__xludf.DUMMYFUNCTION("XLOOKUP(B157,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0)"),"https://www.kaggle.com/datasets/sartajbhuvaji/brain-tumor-classification-mri")</f>
        <v>https://www.kaggle.com/datasets/sartajbhuvaji/brain-tumor-classification-mri</v>
      </c>
      <c r="J157" s="17" t="str">
        <f t="shared" si="13"/>
        <v>MRI</v>
      </c>
    </row>
    <row r="158">
      <c r="A158" s="1" t="s">
        <v>1456</v>
      </c>
      <c r="B158" s="1" t="s">
        <v>1457</v>
      </c>
      <c r="C158" s="1" t="s">
        <v>246</v>
      </c>
      <c r="D158" s="1" t="s">
        <v>246</v>
      </c>
      <c r="E158" s="1" t="s">
        <v>75</v>
      </c>
      <c r="F158" s="1" t="s">
        <v>81</v>
      </c>
      <c r="G158" s="1">
        <v>4519.0</v>
      </c>
      <c r="H158" s="1">
        <v>4600.0</v>
      </c>
      <c r="I158" s="76" t="str">
        <f>IFERROR(__xludf.DUMMYFUNCTION("XLOOKUP(B158,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0)"),"https://www.kaggle.com/datasets/preetviradiya/brian-tumor-dataset")</f>
        <v>https://www.kaggle.com/datasets/preetviradiya/brian-tumor-dataset</v>
      </c>
      <c r="J158" s="17" t="str">
        <f t="shared" si="13"/>
        <v>X-ray</v>
      </c>
    </row>
    <row r="159">
      <c r="A159" s="1" t="s">
        <v>1147</v>
      </c>
      <c r="B159" s="1" t="s">
        <v>1147</v>
      </c>
      <c r="C159" s="1" t="s">
        <v>246</v>
      </c>
      <c r="D159" s="1" t="s">
        <v>246</v>
      </c>
      <c r="E159" s="1" t="s">
        <v>1461</v>
      </c>
      <c r="F159" s="1" t="s">
        <v>17</v>
      </c>
      <c r="G159" s="1">
        <v>10465.0</v>
      </c>
      <c r="H159" s="1">
        <v>225.0</v>
      </c>
      <c r="I159" s="76" t="str">
        <f>IFERROR(__xludf.DUMMYFUNCTION("XLOOKUP(B159,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0)"),"https://datashare.ed.ac.uk/handle/10283/1957")</f>
        <v>https://datashare.ed.ac.uk/handle/10283/1957</v>
      </c>
      <c r="J159" s="17" t="str">
        <f t="shared" si="13"/>
        <v>MRI</v>
      </c>
    </row>
    <row r="160">
      <c r="A160" s="1" t="s">
        <v>1149</v>
      </c>
      <c r="B160" s="1" t="s">
        <v>1149</v>
      </c>
      <c r="C160" s="1" t="s">
        <v>246</v>
      </c>
      <c r="D160" s="1" t="s">
        <v>246</v>
      </c>
      <c r="E160" s="1" t="s">
        <v>1462</v>
      </c>
      <c r="F160" s="1" t="s">
        <v>17</v>
      </c>
      <c r="G160" s="1">
        <v>122863.0</v>
      </c>
      <c r="H160" s="75">
        <v>4500.0</v>
      </c>
      <c r="I160" s="76" t="str">
        <f>IFERROR(__xludf.DUMMYFUNCTION("XLOOKUP(B160,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0)"),"https://synapse.org/brats2023")</f>
        <v>https://synapse.org/brats2023</v>
      </c>
      <c r="J160" s="17" t="str">
        <f t="shared" si="13"/>
        <v>MRI</v>
      </c>
    </row>
    <row r="161">
      <c r="A161" s="1" t="s">
        <v>1151</v>
      </c>
      <c r="B161" s="1" t="s">
        <v>1151</v>
      </c>
      <c r="C161" s="1" t="s">
        <v>246</v>
      </c>
      <c r="D161" s="1" t="s">
        <v>246</v>
      </c>
      <c r="E161" s="1" t="s">
        <v>1462</v>
      </c>
      <c r="F161" s="1" t="s">
        <v>17</v>
      </c>
      <c r="G161" s="1">
        <v>1748071.0</v>
      </c>
      <c r="H161" s="1">
        <v>4500.0</v>
      </c>
      <c r="I161" s="76" t="str">
        <f>IFERROR(__xludf.DUMMYFUNCTION("XLOOKUP(B161,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0)"),"https://www.synapse.org/Synapse:syn53708249/wiki/626323")</f>
        <v>https://www.synapse.org/Synapse:syn53708249/wiki/626323</v>
      </c>
      <c r="J161" s="17" t="str">
        <f t="shared" si="13"/>
        <v>MRI</v>
      </c>
    </row>
    <row r="162">
      <c r="A162" s="1" t="s">
        <v>1367</v>
      </c>
      <c r="B162" s="1" t="s">
        <v>1463</v>
      </c>
      <c r="C162" s="1" t="s">
        <v>246</v>
      </c>
      <c r="D162" s="1" t="s">
        <v>246</v>
      </c>
      <c r="E162" s="1" t="s">
        <v>1435</v>
      </c>
      <c r="F162" s="1" t="s">
        <v>17</v>
      </c>
      <c r="G162" s="1">
        <v>28000.0</v>
      </c>
      <c r="H162" s="1">
        <v>42.0</v>
      </c>
      <c r="I162" s="76" t="str">
        <f>IFERROR(__xludf.DUMMYFUNCTION("XLOOKUP(B162,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0)"),"https://openfmri.org/dataset/ds000174")</f>
        <v>https://openfmri.org/dataset/ds000174</v>
      </c>
      <c r="J162" s="17" t="str">
        <f t="shared" si="13"/>
        <v>MRI</v>
      </c>
    </row>
    <row r="163">
      <c r="A163" s="1" t="s">
        <v>1173</v>
      </c>
      <c r="B163" s="1" t="s">
        <v>1173</v>
      </c>
      <c r="C163" s="1" t="s">
        <v>246</v>
      </c>
      <c r="D163" s="1" t="s">
        <v>246</v>
      </c>
      <c r="E163" s="1" t="s">
        <v>1464</v>
      </c>
      <c r="F163" s="1" t="s">
        <v>17</v>
      </c>
      <c r="G163" s="1">
        <v>20936.0</v>
      </c>
      <c r="H163" s="1">
        <v>3513.0</v>
      </c>
      <c r="I163" s="76" t="str">
        <f>IFERROR(__xludf.DUMMYFUNCTION("XLOOKUP(B163,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0)"),"http://fcon_1000.projects.nitrc.org/indi/cmi_healthy_brain_network")</f>
        <v>http://fcon_1000.projects.nitrc.org/indi/cmi_healthy_brain_network</v>
      </c>
      <c r="J163" s="17" t="str">
        <f t="shared" si="13"/>
        <v>MRI</v>
      </c>
    </row>
    <row r="164">
      <c r="A164" s="1" t="s">
        <v>1465</v>
      </c>
      <c r="B164" s="1" t="s">
        <v>1465</v>
      </c>
      <c r="C164" s="1" t="s">
        <v>246</v>
      </c>
      <c r="D164" s="1" t="s">
        <v>246</v>
      </c>
      <c r="E164" s="1" t="s">
        <v>31</v>
      </c>
      <c r="F164" s="1" t="s">
        <v>31</v>
      </c>
      <c r="G164" s="1">
        <v>51174.0</v>
      </c>
      <c r="H164" s="75">
        <v>491.0</v>
      </c>
      <c r="I164" s="76" t="str">
        <f>IFERROR(__xludf.DUMMYFUNCTION("XLOOKUP(B164,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0)"),"https://academictorrents.com/details/47e9d8aab761e75fd0a81982fa62bddf3a173831")</f>
        <v>https://academictorrents.com/details/47e9d8aab761e75fd0a81982fa62bddf3a173831</v>
      </c>
      <c r="J164" s="17" t="str">
        <f t="shared" si="13"/>
        <v>CT</v>
      </c>
    </row>
    <row r="165">
      <c r="A165" s="1" t="s">
        <v>1362</v>
      </c>
      <c r="B165" s="1" t="s">
        <v>1466</v>
      </c>
      <c r="C165" s="1" t="s">
        <v>246</v>
      </c>
      <c r="D165" s="1" t="s">
        <v>246</v>
      </c>
      <c r="E165" s="1" t="s">
        <v>1467</v>
      </c>
      <c r="F165" s="1" t="s">
        <v>17</v>
      </c>
      <c r="G165" s="1">
        <v>300542.0</v>
      </c>
      <c r="I165" s="76" t="str">
        <f>IFERROR(__xludf.DUMMYFUNCTION("XLOOKUP(B165,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0)"),"https://crossmoda2022.grand-challenge.org")</f>
        <v>https://crossmoda2022.grand-challenge.org</v>
      </c>
      <c r="J165" s="17" t="str">
        <f t="shared" si="13"/>
        <v>MRI</v>
      </c>
    </row>
    <row r="166">
      <c r="A166" s="1" t="s">
        <v>1198</v>
      </c>
      <c r="B166" s="1" t="s">
        <v>1198</v>
      </c>
      <c r="C166" s="1" t="s">
        <v>246</v>
      </c>
      <c r="D166" s="1" t="s">
        <v>246</v>
      </c>
      <c r="E166" s="1" t="s">
        <v>17</v>
      </c>
      <c r="F166" s="1" t="s">
        <v>17</v>
      </c>
      <c r="G166" s="1">
        <v>107325.0</v>
      </c>
      <c r="H166" s="1">
        <v>1042.0</v>
      </c>
      <c r="I166" s="76" t="str">
        <f>IFERROR(__xludf.DUMMYFUNCTION("XLOOKUP(B166,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0)"),"http://fcon_1000.projects.nitrc.org/indi/retro/dlbs.html")</f>
        <v>http://fcon_1000.projects.nitrc.org/indi/retro/dlbs.html</v>
      </c>
      <c r="J166" s="17" t="str">
        <f t="shared" si="13"/>
        <v>MRI</v>
      </c>
    </row>
    <row r="167">
      <c r="A167" s="1" t="s">
        <v>1205</v>
      </c>
      <c r="B167" s="1" t="s">
        <v>1205</v>
      </c>
      <c r="C167" s="1" t="s">
        <v>246</v>
      </c>
      <c r="D167" s="1" t="s">
        <v>246</v>
      </c>
      <c r="E167" s="1" t="s">
        <v>1441</v>
      </c>
      <c r="F167" s="1" t="s">
        <v>17</v>
      </c>
      <c r="G167" s="1">
        <v>229623.0</v>
      </c>
      <c r="H167" s="1">
        <v>200.0</v>
      </c>
      <c r="I167" s="76" t="str">
        <f>IFERROR(__xludf.DUMMYFUNCTION("XLOOKUP(B167,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0)"),"https://rdr.ucl.ac.uk/articles/dataset/EPISURG_a_dataset_of_postoperative_magnetic_resonance_images_MRI_for_quantitative_analysis_of_resection_neurosurgery_for_refractory_epilepsy/9996158")</f>
        <v>https://rdr.ucl.ac.uk/articles/dataset/EPISURG_a_dataset_of_postoperative_magnetic_resonance_images_MRI_for_quantitative_analysis_of_resection_neurosurgery_for_refractory_epilepsy/9996158</v>
      </c>
      <c r="J167" s="17" t="str">
        <f t="shared" si="13"/>
        <v>MRI</v>
      </c>
    </row>
    <row r="168">
      <c r="A168" s="1" t="s">
        <v>1404</v>
      </c>
      <c r="B168" s="1" t="s">
        <v>1468</v>
      </c>
      <c r="C168" s="1" t="s">
        <v>246</v>
      </c>
      <c r="D168" s="1" t="s">
        <v>246</v>
      </c>
      <c r="E168" s="1" t="s">
        <v>1469</v>
      </c>
      <c r="F168" s="1" t="s">
        <v>17</v>
      </c>
      <c r="G168" s="1">
        <v>1396103.0</v>
      </c>
      <c r="I168" s="76" t="str">
        <f>IFERROR(__xludf.DUMMYFUNCTION("XLOOKUP(B168,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0)"),"https://www.synapse.org/Synapse:syn28546456/wiki/617093")</f>
        <v>https://www.synapse.org/Synapse:syn28546456/wiki/617093</v>
      </c>
      <c r="J168" s="17" t="str">
        <f t="shared" si="13"/>
        <v>MRI</v>
      </c>
    </row>
    <row r="169">
      <c r="A169" s="1" t="s">
        <v>1207</v>
      </c>
      <c r="B169" s="1" t="s">
        <v>1472</v>
      </c>
      <c r="C169" s="1" t="s">
        <v>246</v>
      </c>
      <c r="D169" s="1" t="s">
        <v>246</v>
      </c>
      <c r="E169" s="1" t="s">
        <v>1473</v>
      </c>
      <c r="F169" s="1" t="s">
        <v>17</v>
      </c>
      <c r="G169" s="1">
        <v>11312.0</v>
      </c>
      <c r="H169" s="1">
        <v>13.0</v>
      </c>
      <c r="I169" s="76" t="str">
        <f>IFERROR(__xludf.DUMMYFUNCTION("XLOOKUP(B169,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0)"),"http://fcon_1000.projects.nitrc.org/indi/retro/find_stanford.html")</f>
        <v>http://fcon_1000.projects.nitrc.org/indi/retro/find_stanford.html</v>
      </c>
      <c r="J169" s="17" t="str">
        <f t="shared" si="13"/>
        <v>MRI</v>
      </c>
    </row>
    <row r="170">
      <c r="A170" s="1" t="s">
        <v>1216</v>
      </c>
      <c r="B170" s="1" t="s">
        <v>1216</v>
      </c>
      <c r="C170" s="1" t="s">
        <v>246</v>
      </c>
      <c r="D170" s="1" t="s">
        <v>246</v>
      </c>
      <c r="E170" s="1" t="s">
        <v>1474</v>
      </c>
      <c r="F170" s="1" t="s">
        <v>17</v>
      </c>
      <c r="G170" s="1">
        <v>289928.0</v>
      </c>
      <c r="H170" s="1">
        <v>13.0</v>
      </c>
      <c r="I170" s="76" t="str">
        <f>IFERROR(__xludf.DUMMYFUNCTION("XLOOKUP(B170,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0)"),"http://fcon_1000.projects.nitrc.org/indi/hbn_ssi")</f>
        <v>http://fcon_1000.projects.nitrc.org/indi/hbn_ssi</v>
      </c>
      <c r="J170" s="17" t="str">
        <f t="shared" si="13"/>
        <v>MRI</v>
      </c>
    </row>
    <row r="171">
      <c r="A171" s="1" t="s">
        <v>1221</v>
      </c>
      <c r="B171" s="1" t="s">
        <v>1475</v>
      </c>
      <c r="C171" s="1" t="s">
        <v>246</v>
      </c>
      <c r="D171" s="1" t="s">
        <v>246</v>
      </c>
      <c r="E171" s="1" t="s">
        <v>1476</v>
      </c>
      <c r="F171" s="1" t="s">
        <v>17</v>
      </c>
      <c r="G171" s="1">
        <v>40792.0</v>
      </c>
      <c r="H171" s="1">
        <v>45.0</v>
      </c>
      <c r="I171" s="76" t="str">
        <f>IFERROR(__xludf.DUMMYFUNCTION("XLOOKUP(B171,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0)"),"http://fcon_1000.projects.nitrc.org/indi/retro/hnu_liu_short_tr_index.html")</f>
        <v>http://fcon_1000.projects.nitrc.org/indi/retro/hnu_liu_short_tr_index.html</v>
      </c>
      <c r="J171" s="17" t="str">
        <f t="shared" si="13"/>
        <v>MRI</v>
      </c>
    </row>
    <row r="172">
      <c r="A172" s="1" t="s">
        <v>1228</v>
      </c>
      <c r="B172" s="1" t="s">
        <v>1228</v>
      </c>
      <c r="C172" s="1" t="s">
        <v>246</v>
      </c>
      <c r="D172" s="1" t="s">
        <v>246</v>
      </c>
      <c r="E172" s="1" t="s">
        <v>1441</v>
      </c>
      <c r="F172" s="1" t="s">
        <v>17</v>
      </c>
      <c r="G172" s="1">
        <v>19608.0</v>
      </c>
      <c r="H172" s="1">
        <v>18.0</v>
      </c>
      <c r="I172" s="76" t="str">
        <f>IFERROR(__xludf.DUMMYFUNCTION("XLOOKUP(B172,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0)"),"https://www.nitrc.org/projects/ibsr/")</f>
        <v>https://www.nitrc.org/projects/ibsr/</v>
      </c>
      <c r="J172" s="17" t="str">
        <f t="shared" si="13"/>
        <v>MRI</v>
      </c>
    </row>
    <row r="173">
      <c r="A173" s="1" t="s">
        <v>1383</v>
      </c>
      <c r="B173" s="1" t="s">
        <v>1383</v>
      </c>
      <c r="C173" s="1" t="s">
        <v>246</v>
      </c>
      <c r="D173" s="1" t="s">
        <v>246</v>
      </c>
      <c r="E173" s="1" t="s">
        <v>1477</v>
      </c>
      <c r="F173" s="1" t="s">
        <v>17</v>
      </c>
      <c r="G173" s="1">
        <v>71927.0</v>
      </c>
      <c r="I173" s="76" t="str">
        <f>IFERROR(__xludf.DUMMYFUNCTION("XLOOKUP(B173,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0)"),"https://lit.fe.uni-lj.si/en/research/resources/long-MR-MS")</f>
        <v>https://lit.fe.uni-lj.si/en/research/resources/long-MR-MS</v>
      </c>
      <c r="J173" s="17" t="str">
        <f t="shared" si="13"/>
        <v>MRI</v>
      </c>
    </row>
    <row r="174">
      <c r="A174" s="1" t="s">
        <v>1250</v>
      </c>
      <c r="B174" s="1" t="s">
        <v>1250</v>
      </c>
      <c r="C174" s="1" t="s">
        <v>246</v>
      </c>
      <c r="D174" s="1" t="s">
        <v>246</v>
      </c>
      <c r="E174" s="1" t="s">
        <v>1478</v>
      </c>
      <c r="F174" s="1" t="s">
        <v>17</v>
      </c>
      <c r="G174" s="1">
        <v>137697.0</v>
      </c>
      <c r="H174" s="1">
        <v>8000.0</v>
      </c>
      <c r="I174" s="76" t="str">
        <f>IFERROR(__xludf.DUMMYFUNCTION("XLOOKUP(B174,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0)"),"https://www.massive-data.org/massive-data")</f>
        <v>https://www.massive-data.org/massive-data</v>
      </c>
      <c r="J174" s="17" t="str">
        <f t="shared" si="13"/>
        <v>MRI</v>
      </c>
    </row>
    <row r="175">
      <c r="A175" s="1" t="s">
        <v>1252</v>
      </c>
      <c r="B175" s="1" t="s">
        <v>1252</v>
      </c>
      <c r="C175" s="1" t="s">
        <v>246</v>
      </c>
      <c r="D175" s="1" t="s">
        <v>246</v>
      </c>
      <c r="E175" s="1" t="s">
        <v>1479</v>
      </c>
      <c r="F175" s="1" t="s">
        <v>17</v>
      </c>
      <c r="G175" s="1">
        <v>183517.0</v>
      </c>
      <c r="H175" s="1">
        <v>11284.0</v>
      </c>
      <c r="I175" s="76" t="str">
        <f>IFERROR(__xludf.DUMMYFUNCTION("XLOOKUP(B175,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0)"),"https://portal.conp.ca/dataset?id=projects/mica-mics")</f>
        <v>https://portal.conp.ca/dataset?id=projects/mica-mics</v>
      </c>
      <c r="J175" s="17" t="str">
        <f t="shared" si="13"/>
        <v>MRI</v>
      </c>
    </row>
    <row r="176">
      <c r="A176" s="1" t="s">
        <v>1274</v>
      </c>
      <c r="B176" s="1" t="s">
        <v>1274</v>
      </c>
      <c r="C176" s="1" t="s">
        <v>246</v>
      </c>
      <c r="D176" s="1" t="s">
        <v>246</v>
      </c>
      <c r="E176" s="1" t="s">
        <v>1441</v>
      </c>
      <c r="F176" s="1" t="s">
        <v>17</v>
      </c>
      <c r="G176" s="1">
        <v>188472.0</v>
      </c>
      <c r="I176" s="76" t="str">
        <f>IFERROR(__xludf.DUMMYFUNCTION("XLOOKUP(B176,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0)"),"https://mindboggle.info/data.html")</f>
        <v>https://mindboggle.info/data.html</v>
      </c>
      <c r="J176" s="17" t="str">
        <f t="shared" si="13"/>
        <v>MRI</v>
      </c>
    </row>
    <row r="177">
      <c r="A177" s="1" t="s">
        <v>1256</v>
      </c>
      <c r="B177" s="1" t="s">
        <v>1256</v>
      </c>
      <c r="C177" s="1" t="s">
        <v>246</v>
      </c>
      <c r="D177" s="1" t="s">
        <v>246</v>
      </c>
      <c r="E177" s="1" t="s">
        <v>1441</v>
      </c>
      <c r="F177" s="1" t="s">
        <v>17</v>
      </c>
      <c r="G177" s="1">
        <v>207400.0</v>
      </c>
      <c r="H177" s="1">
        <v>708.0</v>
      </c>
      <c r="I177" s="76" t="str">
        <f>IFERROR(__xludf.DUMMYFUNCTION("XLOOKUP(B177,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0)"),"https://www.ucl.ac.uk/drc/research-clinical-trials/minimal-interval-resonance-imaging-alzheimers-disease-miriad")</f>
        <v>https://www.ucl.ac.uk/drc/research-clinical-trials/minimal-interval-resonance-imaging-alzheimers-disease-miriad</v>
      </c>
      <c r="J177" s="17" t="str">
        <f t="shared" si="13"/>
        <v>MRI</v>
      </c>
    </row>
    <row r="178">
      <c r="A178" s="1" t="s">
        <v>1388</v>
      </c>
      <c r="B178" s="1" t="s">
        <v>1388</v>
      </c>
      <c r="C178" s="1" t="s">
        <v>246</v>
      </c>
      <c r="D178" s="1" t="s">
        <v>246</v>
      </c>
      <c r="E178" s="1" t="s">
        <v>1481</v>
      </c>
      <c r="F178" s="1" t="s">
        <v>17</v>
      </c>
      <c r="G178" s="1">
        <v>255324.0</v>
      </c>
      <c r="I178" s="76" t="str">
        <f>IFERROR(__xludf.DUMMYFUNCTION("XLOOKUP(B178,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0)"),"https://lit.fe.uni-lj.si/en/research/resources/mm-brain-MR")</f>
        <v>https://lit.fe.uni-lj.si/en/research/resources/mm-brain-MR</v>
      </c>
      <c r="J178" s="17" t="str">
        <f t="shared" si="13"/>
        <v>MRI</v>
      </c>
    </row>
    <row r="179">
      <c r="A179" s="1" t="s">
        <v>1261</v>
      </c>
      <c r="B179" s="1" t="s">
        <v>1261</v>
      </c>
      <c r="C179" s="1" t="s">
        <v>246</v>
      </c>
      <c r="D179" s="1" t="s">
        <v>246</v>
      </c>
      <c r="E179" s="1" t="s">
        <v>1482</v>
      </c>
      <c r="F179" s="1" t="s">
        <v>17</v>
      </c>
      <c r="G179" s="1">
        <v>191330.0</v>
      </c>
      <c r="H179" s="1">
        <v>21.0</v>
      </c>
      <c r="I179" s="76" t="str">
        <f>IFERROR(__xludf.DUMMYFUNCTION("XLOOKUP(B179,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0)"),"https://www.nitrc.org/projects/multimodal")</f>
        <v>https://www.nitrc.org/projects/multimodal</v>
      </c>
      <c r="J179" s="17" t="str">
        <f t="shared" si="13"/>
        <v>MRI</v>
      </c>
    </row>
    <row r="180">
      <c r="A180" s="1" t="s">
        <v>1263</v>
      </c>
      <c r="B180" s="1" t="s">
        <v>1263</v>
      </c>
      <c r="C180" s="1" t="s">
        <v>246</v>
      </c>
      <c r="D180" s="1" t="s">
        <v>246</v>
      </c>
      <c r="E180" s="1" t="s">
        <v>1483</v>
      </c>
      <c r="F180" s="1" t="s">
        <v>17</v>
      </c>
      <c r="G180" s="1">
        <v>85742.0</v>
      </c>
      <c r="H180" s="1">
        <v>25.0</v>
      </c>
      <c r="I180" s="76" t="str">
        <f>IFERROR(__xludf.DUMMYFUNCTION("XLOOKUP(B180,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0)"),"http://fcon_1000.projects.nitrc.org/indi/retro/mni_hipposeg.html")</f>
        <v>http://fcon_1000.projects.nitrc.org/indi/retro/mni_hipposeg.html</v>
      </c>
      <c r="J180" s="17" t="str">
        <f t="shared" si="13"/>
        <v>MRI</v>
      </c>
    </row>
    <row r="181">
      <c r="A181" s="1" t="s">
        <v>1392</v>
      </c>
      <c r="B181" s="1" t="s">
        <v>1487</v>
      </c>
      <c r="C181" s="1" t="s">
        <v>246</v>
      </c>
      <c r="D181" s="1" t="s">
        <v>246</v>
      </c>
      <c r="E181" s="1" t="s">
        <v>1488</v>
      </c>
      <c r="F181" s="1" t="s">
        <v>17</v>
      </c>
      <c r="G181" s="1">
        <v>308240.0</v>
      </c>
      <c r="H181" s="1">
        <v>100.0</v>
      </c>
      <c r="I181" s="76" t="str">
        <f>IFERROR(__xludf.DUMMYFUNCTION("XLOOKUP(B181,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0)"),"https://portal.fli-iam.irisa.fr/msseg-challenge")</f>
        <v>https://portal.fli-iam.irisa.fr/msseg-challenge</v>
      </c>
      <c r="J181" s="17" t="str">
        <f t="shared" si="13"/>
        <v>MRI</v>
      </c>
    </row>
    <row r="182">
      <c r="A182" s="1" t="s">
        <v>1394</v>
      </c>
      <c r="B182" s="1" t="s">
        <v>1489</v>
      </c>
      <c r="C182" s="1" t="s">
        <v>246</v>
      </c>
      <c r="D182" s="1" t="s">
        <v>246</v>
      </c>
      <c r="E182" s="1" t="s">
        <v>1490</v>
      </c>
      <c r="F182" s="1" t="s">
        <v>17</v>
      </c>
      <c r="G182" s="1">
        <v>18767.0</v>
      </c>
      <c r="I182" s="76" t="str">
        <f>IFERROR(__xludf.DUMMYFUNCTION("XLOOKUP(B182,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0)"),"https://figshare.com/articles/dataset/Multicenter_dataset_of_multishell_diffusion_magnetic_resonance_imaging_in_healthy_traveling_adults_with_identical_setting/8851955")</f>
        <v>https://figshare.com/articles/dataset/Multicenter_dataset_of_multishell_diffusion_magnetic_resonance_imaging_in_healthy_traveling_adults_with_identical_setting/8851955</v>
      </c>
      <c r="J182" s="17" t="str">
        <f t="shared" si="13"/>
        <v>MRI</v>
      </c>
    </row>
    <row r="183">
      <c r="A183" s="1" t="s">
        <v>1258</v>
      </c>
      <c r="B183" s="1" t="s">
        <v>1491</v>
      </c>
      <c r="C183" s="1" t="s">
        <v>246</v>
      </c>
      <c r="D183" s="1" t="s">
        <v>246</v>
      </c>
      <c r="E183" s="1" t="s">
        <v>1492</v>
      </c>
      <c r="F183" s="1" t="s">
        <v>17</v>
      </c>
      <c r="G183" s="1">
        <v>591796.0</v>
      </c>
      <c r="H183" s="1">
        <v>29.0</v>
      </c>
      <c r="I183" s="76" t="str">
        <f>IFERROR(__xludf.DUMMYFUNCTION("XLOOKUP(B183,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0)"),"http://fcon_1000.projects.nitrc.org/indi/pro/wchsu_li_index.html")</f>
        <v>http://fcon_1000.projects.nitrc.org/indi/pro/wchsu_li_index.html</v>
      </c>
      <c r="J183" s="17" t="str">
        <f t="shared" si="13"/>
        <v>MRI</v>
      </c>
    </row>
    <row r="184">
      <c r="A184" s="1" t="s">
        <v>1281</v>
      </c>
      <c r="B184" s="1" t="s">
        <v>1493</v>
      </c>
      <c r="C184" s="1" t="s">
        <v>246</v>
      </c>
      <c r="D184" s="1" t="s">
        <v>246</v>
      </c>
      <c r="E184" s="1" t="s">
        <v>1494</v>
      </c>
      <c r="F184" s="1" t="s">
        <v>17</v>
      </c>
      <c r="G184" s="1">
        <v>46224.0</v>
      </c>
      <c r="H184" s="1">
        <v>22.0</v>
      </c>
      <c r="I184" s="76" t="str">
        <f>IFERROR(__xludf.DUMMYFUNCTION("XLOOKUP(B184,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0)"),"http://fcon_1000.projects.nitrc.org/indi/retro/nat_view.html")</f>
        <v>http://fcon_1000.projects.nitrc.org/indi/retro/nat_view.html</v>
      </c>
      <c r="J184" s="17" t="str">
        <f t="shared" si="13"/>
        <v>MRI</v>
      </c>
    </row>
    <row r="185">
      <c r="A185" s="1" t="s">
        <v>1303</v>
      </c>
      <c r="B185" s="1" t="s">
        <v>1303</v>
      </c>
      <c r="C185" s="1" t="s">
        <v>246</v>
      </c>
      <c r="D185" s="1" t="s">
        <v>246</v>
      </c>
      <c r="E185" s="1" t="s">
        <v>1502</v>
      </c>
      <c r="F185" s="1" t="s">
        <v>17</v>
      </c>
      <c r="G185" s="1">
        <v>206682.0</v>
      </c>
      <c r="H185" s="1">
        <v>494.0</v>
      </c>
      <c r="I185" s="76" t="str">
        <f>IFERROR(__xludf.DUMMYFUNCTION("XLOOKUP(B185,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0)"),"http://fcon_1000.projects.nitrc.org/indi/retro/sald.html")</f>
        <v>http://fcon_1000.projects.nitrc.org/indi/retro/sald.html</v>
      </c>
      <c r="J185" s="17" t="str">
        <f t="shared" si="13"/>
        <v>MRI</v>
      </c>
    </row>
    <row r="186">
      <c r="A186" s="1" t="s">
        <v>1306</v>
      </c>
      <c r="B186" s="1" t="s">
        <v>1306</v>
      </c>
      <c r="C186" s="1" t="s">
        <v>246</v>
      </c>
      <c r="D186" s="1" t="s">
        <v>246</v>
      </c>
      <c r="E186" s="1" t="s">
        <v>1503</v>
      </c>
      <c r="F186" s="1" t="s">
        <v>17</v>
      </c>
      <c r="G186" s="1">
        <v>150741.0</v>
      </c>
      <c r="H186" s="1">
        <v>73.0</v>
      </c>
      <c r="I186" s="76" t="str">
        <f>IFERROR(__xludf.DUMMYFUNCTION("XLOOKUP(B186,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0)"),"http://fcon_1000.projects.nitrc.org/indi/retro/SIMON.html")</f>
        <v>http://fcon_1000.projects.nitrc.org/indi/retro/SIMON.html</v>
      </c>
      <c r="J186" s="17" t="str">
        <f t="shared" si="13"/>
        <v>MRI</v>
      </c>
    </row>
    <row r="187">
      <c r="A187" s="1" t="s">
        <v>1312</v>
      </c>
      <c r="B187" s="1" t="s">
        <v>1312</v>
      </c>
      <c r="C187" s="1" t="s">
        <v>246</v>
      </c>
      <c r="D187" s="1" t="s">
        <v>246</v>
      </c>
      <c r="E187" s="1" t="s">
        <v>1504</v>
      </c>
      <c r="F187" s="1" t="s">
        <v>17</v>
      </c>
      <c r="G187" s="1">
        <v>524154.0</v>
      </c>
      <c r="H187" s="1">
        <v>53.0</v>
      </c>
      <c r="I187" s="76" t="str">
        <f>IFERROR(__xludf.DUMMYFUNCTION("XLOOKUP(B187,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0)"),"http://fcon_1000.projects.nitrc.org/indi/retro/southwestuni_qiu_index.html")</f>
        <v>http://fcon_1000.projects.nitrc.org/indi/retro/southwestuni_qiu_index.html</v>
      </c>
      <c r="J187" s="17" t="str">
        <f t="shared" si="13"/>
        <v>MRI</v>
      </c>
    </row>
    <row r="188">
      <c r="A188" s="1" t="s">
        <v>1505</v>
      </c>
      <c r="B188" s="1" t="s">
        <v>1506</v>
      </c>
      <c r="C188" s="1" t="s">
        <v>246</v>
      </c>
      <c r="D188" s="1" t="s">
        <v>246</v>
      </c>
      <c r="E188" s="1" t="s">
        <v>31</v>
      </c>
      <c r="F188" s="1" t="s">
        <v>31</v>
      </c>
      <c r="G188" s="1">
        <v>1.0</v>
      </c>
      <c r="H188" s="1">
        <v>3.0</v>
      </c>
      <c r="I188" s="76" t="str">
        <f>IFERROR(__xludf.DUMMYFUNCTION("XLOOKUP(B188,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0)"),"https://github.com/Jianningli/SciData")</f>
        <v>https://github.com/Jianningli/SciData</v>
      </c>
      <c r="J188" s="17" t="str">
        <f t="shared" si="13"/>
        <v>CT</v>
      </c>
    </row>
    <row r="189">
      <c r="A189" s="1" t="s">
        <v>1345</v>
      </c>
      <c r="B189" s="1" t="s">
        <v>1345</v>
      </c>
      <c r="C189" s="1" t="s">
        <v>246</v>
      </c>
      <c r="D189" s="1" t="s">
        <v>246</v>
      </c>
      <c r="E189" s="1" t="s">
        <v>1507</v>
      </c>
      <c r="F189" s="1" t="s">
        <v>17</v>
      </c>
      <c r="G189" s="1">
        <v>162431.0</v>
      </c>
      <c r="H189" s="1">
        <v>106.0</v>
      </c>
      <c r="I189" s="76" t="str">
        <f>IFERROR(__xludf.DUMMYFUNCTION("XLOOKUP(B189,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0)"),"https://valdo.grand-challenge.org")</f>
        <v>https://valdo.grand-challenge.org</v>
      </c>
      <c r="J189" s="17" t="str">
        <f t="shared" si="13"/>
        <v>MRI</v>
      </c>
    </row>
    <row r="190">
      <c r="A190" s="1" t="s">
        <v>1352</v>
      </c>
      <c r="B190" s="1" t="s">
        <v>1508</v>
      </c>
      <c r="C190" s="1" t="s">
        <v>246</v>
      </c>
      <c r="D190" s="1" t="s">
        <v>246</v>
      </c>
      <c r="E190" s="1" t="s">
        <v>1509</v>
      </c>
      <c r="F190" s="1" t="s">
        <v>17</v>
      </c>
      <c r="G190" s="1">
        <v>196256.0</v>
      </c>
      <c r="H190" s="1">
        <v>207.0</v>
      </c>
      <c r="I190" s="76" t="str">
        <f>IFERROR(__xludf.DUMMYFUNCTION("XLOOKUP(B190,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0)"),"http://fcon_1000.projects.nitrc.org/indi/retro/wayne_10.html")</f>
        <v>http://fcon_1000.projects.nitrc.org/indi/retro/wayne_10.html</v>
      </c>
      <c r="J190" s="17" t="str">
        <f t="shared" si="13"/>
        <v>MRI</v>
      </c>
    </row>
    <row r="191">
      <c r="A191" s="1" t="s">
        <v>1517</v>
      </c>
      <c r="B191" s="1" t="s">
        <v>1517</v>
      </c>
      <c r="C191" s="1" t="s">
        <v>246</v>
      </c>
      <c r="D191" s="1" t="s">
        <v>684</v>
      </c>
      <c r="E191" s="1" t="s">
        <v>692</v>
      </c>
      <c r="F191" s="1" t="s">
        <v>81</v>
      </c>
      <c r="G191" s="1">
        <v>3853.0</v>
      </c>
      <c r="H191" s="1">
        <v>3903.0</v>
      </c>
      <c r="I191" s="76" t="str">
        <f>IFERROR(__xludf.DUMMYFUNCTION("XLOOKUP(B191,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0)"),"https://dentex.grand-challenge.org")</f>
        <v>https://dentex.grand-challenge.org</v>
      </c>
      <c r="J191" s="1" t="s">
        <v>75</v>
      </c>
    </row>
    <row r="192">
      <c r="A192" s="1" t="s">
        <v>1525</v>
      </c>
      <c r="B192" s="1" t="s">
        <v>1525</v>
      </c>
      <c r="C192" s="1" t="s">
        <v>246</v>
      </c>
      <c r="D192" s="1" t="s">
        <v>697</v>
      </c>
      <c r="E192" s="1" t="s">
        <v>651</v>
      </c>
      <c r="F192" s="1" t="s">
        <v>100</v>
      </c>
      <c r="G192" s="1">
        <v>5550.0</v>
      </c>
      <c r="H192" s="1">
        <v>5550.0</v>
      </c>
      <c r="I192" s="76" t="str">
        <f>IFERROR(__xludf.DUMMYFUNCTION("XLOOKUP(B192,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0)"),"https://deepblue.lib.umich.edu/data/concern/data_sets/3b591905z")</f>
        <v>https://deepblue.lib.umich.edu/data/concern/data_sets/3b591905z</v>
      </c>
      <c r="J192" s="17" t="str">
        <f t="shared" ref="J192:J197" si="14">IF(OR(F192="MRI", F192="Ultrasound", F192="Endoscopy", F192="Dermoscopy", F192="Fundus", F192="OCTA", F192="OCT"), F192, IF(OR(E192="Microscopy", E192="Histopathology", E192="Pathology", E192="CT", E192="PET", E192="X-Ray", E192="Mammography"), E192, ""))</f>
        <v>Fundus</v>
      </c>
    </row>
    <row r="193">
      <c r="A193" s="1" t="s">
        <v>1526</v>
      </c>
      <c r="B193" s="1" t="s">
        <v>1526</v>
      </c>
      <c r="C193" s="1" t="s">
        <v>246</v>
      </c>
      <c r="D193" s="1" t="s">
        <v>697</v>
      </c>
      <c r="E193" s="1" t="s">
        <v>651</v>
      </c>
      <c r="F193" s="1" t="s">
        <v>100</v>
      </c>
      <c r="G193" s="1">
        <v>100.0</v>
      </c>
      <c r="H193" s="1">
        <v>100.0</v>
      </c>
      <c r="I193" s="76" t="str">
        <f>IFERROR(__xludf.DUMMYFUNCTION("XLOOKUP(B193,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0)"),"http://webeye.ophth.uiowa.edu/ROC")</f>
        <v>http://webeye.ophth.uiowa.edu/ROC</v>
      </c>
      <c r="J193" s="17" t="str">
        <f t="shared" si="14"/>
        <v>Fundus</v>
      </c>
    </row>
    <row r="194">
      <c r="A194" s="1" t="s">
        <v>1153</v>
      </c>
      <c r="B194" s="1" t="s">
        <v>1153</v>
      </c>
      <c r="C194" s="1" t="s">
        <v>280</v>
      </c>
      <c r="D194" s="1" t="s">
        <v>280</v>
      </c>
      <c r="E194" s="1" t="s">
        <v>31</v>
      </c>
      <c r="F194" s="1" t="s">
        <v>31</v>
      </c>
      <c r="G194" s="1">
        <v>39675.0</v>
      </c>
      <c r="H194" s="1">
        <v>154.0</v>
      </c>
      <c r="I194" s="76" t="str">
        <f>IFERROR(__xludf.DUMMYFUNCTION("XLOOKUP(B194,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0)"),"https://www.synapse.org/#!Synapse:syn3193805/wiki/")</f>
        <v>https://www.synapse.org/#!Synapse:syn3193805/wiki/</v>
      </c>
      <c r="J194" s="17" t="str">
        <f t="shared" si="14"/>
        <v>CT</v>
      </c>
    </row>
    <row r="195">
      <c r="A195" s="1" t="s">
        <v>1528</v>
      </c>
      <c r="B195" s="1" t="s">
        <v>1528</v>
      </c>
      <c r="C195" s="1" t="s">
        <v>280</v>
      </c>
      <c r="D195" s="1" t="s">
        <v>739</v>
      </c>
      <c r="E195" s="1" t="s">
        <v>91</v>
      </c>
      <c r="F195" s="1" t="s">
        <v>61</v>
      </c>
      <c r="G195" s="1">
        <v>4435.0</v>
      </c>
      <c r="H195" s="75">
        <v>5170.0</v>
      </c>
      <c r="I195" s="76" t="str">
        <f>IFERROR(__xludf.DUMMYFUNCTION("XLOOKUP(B195,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0)"),"https://figshare.com/articles/dataset/EBHI-SEG/21540159/1")</f>
        <v>https://figshare.com/articles/dataset/EBHI-SEG/21540159/1</v>
      </c>
      <c r="J195" s="17" t="str">
        <f t="shared" si="14"/>
        <v>Pathology</v>
      </c>
    </row>
    <row r="196">
      <c r="A196" s="1" t="s">
        <v>1532</v>
      </c>
      <c r="B196" s="1" t="s">
        <v>1532</v>
      </c>
      <c r="C196" s="1" t="s">
        <v>280</v>
      </c>
      <c r="D196" s="1" t="s">
        <v>739</v>
      </c>
      <c r="E196" s="1" t="s">
        <v>107</v>
      </c>
      <c r="F196" s="1" t="s">
        <v>107</v>
      </c>
      <c r="G196" s="1">
        <v>29100.0</v>
      </c>
      <c r="H196" s="1">
        <v>29100.0</v>
      </c>
      <c r="I196" s="76" t="str">
        <f>IFERROR(__xludf.DUMMYFUNCTION("XLOOKUP(B196,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0)"),"https://endovissub2019-scared.grand-challenge.org/Home/")</f>
        <v>https://endovissub2019-scared.grand-challenge.org/Home/</v>
      </c>
      <c r="J196" s="17" t="str">
        <f t="shared" si="14"/>
        <v>Endoscopy</v>
      </c>
    </row>
    <row r="197">
      <c r="A197" s="1" t="s">
        <v>1534</v>
      </c>
      <c r="B197" s="1" t="s">
        <v>1535</v>
      </c>
      <c r="C197" s="1" t="s">
        <v>280</v>
      </c>
      <c r="D197" s="1" t="s">
        <v>852</v>
      </c>
      <c r="E197" s="1" t="s">
        <v>61</v>
      </c>
      <c r="F197" s="1" t="s">
        <v>61</v>
      </c>
      <c r="G197" s="1">
        <v>962.0</v>
      </c>
      <c r="H197" s="1">
        <v>962.0</v>
      </c>
      <c r="I197" s="76" t="str">
        <f>IFERROR(__xludf.DUMMYFUNCTION("XLOOKUP(B197,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0)"),"https://data.mendeley.com/datasets/zddtpgzv63/4")</f>
        <v>https://data.mendeley.com/datasets/zddtpgzv63/4</v>
      </c>
      <c r="J197" s="17" t="str">
        <f t="shared" si="14"/>
        <v>Microscopy</v>
      </c>
    </row>
    <row r="198">
      <c r="A198" s="1" t="s">
        <v>1315</v>
      </c>
      <c r="B198" s="1" t="s">
        <v>1538</v>
      </c>
      <c r="C198" s="1" t="s">
        <v>366</v>
      </c>
      <c r="D198" s="1" t="s">
        <v>1575</v>
      </c>
      <c r="E198" s="1" t="s">
        <v>1539</v>
      </c>
      <c r="F198" s="1" t="s">
        <v>61</v>
      </c>
      <c r="G198" s="1">
        <v>347018.0</v>
      </c>
      <c r="H198" s="1">
        <v>347018.0</v>
      </c>
      <c r="I198" s="76" t="str">
        <f>IFERROR(__xludf.DUMMYFUNCTION("XLOOKUP(B198,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0)"),"https://www.nature.com/articles/s41597-023-02585-2#ref-CR23")</f>
        <v>https://www.nature.com/articles/s41597-023-02585-2#ref-CR23</v>
      </c>
      <c r="J198" s="1" t="s">
        <v>91</v>
      </c>
    </row>
    <row r="199">
      <c r="A199" s="1" t="s">
        <v>1544</v>
      </c>
      <c r="B199" s="1" t="s">
        <v>1545</v>
      </c>
      <c r="C199" s="1" t="s">
        <v>366</v>
      </c>
      <c r="D199" s="1" t="s">
        <v>366</v>
      </c>
      <c r="E199" s="1" t="s">
        <v>1546</v>
      </c>
      <c r="F199" s="1" t="s">
        <v>31</v>
      </c>
      <c r="G199" s="1">
        <v>66634.0</v>
      </c>
      <c r="H199" s="1">
        <v>68.0</v>
      </c>
      <c r="I199" s="76" t="str">
        <f>IFERROR(__xludf.DUMMYFUNCTION("XLOOKUP(B199,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0)"),"https://fastpet-ld.grand-challenge.org")</f>
        <v>https://fastpet-ld.grand-challenge.org</v>
      </c>
      <c r="J199" s="1" t="s">
        <v>196</v>
      </c>
    </row>
    <row r="200">
      <c r="A200" s="1" t="s">
        <v>1209</v>
      </c>
      <c r="B200" s="1" t="s">
        <v>1547</v>
      </c>
      <c r="C200" s="1" t="s">
        <v>366</v>
      </c>
      <c r="D200" s="1" t="s">
        <v>366</v>
      </c>
      <c r="E200" s="1" t="s">
        <v>31</v>
      </c>
      <c r="F200" s="1" t="s">
        <v>31</v>
      </c>
      <c r="G200" s="1">
        <v>556.0</v>
      </c>
      <c r="H200" s="1">
        <v>2200.0</v>
      </c>
      <c r="I200" s="76" t="str">
        <f>IFERROR(__xludf.DUMMYFUNCTION("XLOOKUP(B200,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0)"),"https://flare22.grand-challenge.org")</f>
        <v>https://flare22.grand-challenge.org</v>
      </c>
      <c r="J200" s="17" t="str">
        <f>IF(OR(F200="MRI", F200="Ultrasound", F200="Endoscopy", F200="Dermoscopy", F200="Fundus", F200="OCTA", F200="OCT"), F200, IF(OR(E200="Microscopy", E200="Histopathology", E200="Pathology", E200="CT", E200="PET", E200="X-Ray", E200="Mammography"), E200, ""))</f>
        <v>CT</v>
      </c>
    </row>
    <row r="201">
      <c r="A201" s="1" t="s">
        <v>1549</v>
      </c>
      <c r="B201" s="1" t="s">
        <v>1550</v>
      </c>
      <c r="C201" s="1" t="s">
        <v>366</v>
      </c>
      <c r="D201" s="1" t="s">
        <v>366</v>
      </c>
      <c r="E201" s="1" t="s">
        <v>1551</v>
      </c>
      <c r="F201" s="1" t="s">
        <v>61</v>
      </c>
      <c r="G201" s="1">
        <v>441.0</v>
      </c>
      <c r="H201" s="1">
        <v>441.0</v>
      </c>
      <c r="I201" s="76" t="str">
        <f>IFERROR(__xludf.DUMMYFUNCTION("XLOOKUP(B201,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0)"),"https://lyon19.grand-challenge.org")</f>
        <v>https://lyon19.grand-challenge.org</v>
      </c>
      <c r="J201" s="1" t="s">
        <v>147</v>
      </c>
    </row>
    <row r="202">
      <c r="A202" s="1" t="s">
        <v>1552</v>
      </c>
      <c r="B202" s="1" t="s">
        <v>1553</v>
      </c>
      <c r="C202" s="1" t="s">
        <v>366</v>
      </c>
      <c r="D202" s="1" t="s">
        <v>366</v>
      </c>
      <c r="E202" s="1" t="s">
        <v>54</v>
      </c>
      <c r="F202" s="1" t="s">
        <v>54</v>
      </c>
      <c r="G202" s="1">
        <v>8481.0</v>
      </c>
      <c r="H202" s="1">
        <v>3917.0</v>
      </c>
      <c r="I202" s="76" t="str">
        <f>IFERROR(__xludf.DUMMYFUNCTION("XLOOKUP(B202,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0)"),"https://data.mendeley.com/datasets/3jykz7wz8d")</f>
        <v>https://data.mendeley.com/datasets/3jykz7wz8d</v>
      </c>
      <c r="J202" s="17" t="str">
        <f t="shared" ref="J202:J204" si="15">IF(OR(F202="MRI", F202="Ultrasound", F202="Endoscopy", F202="Dermoscopy", F202="Fundus", F202="OCTA", F202="OCT"), F202, IF(OR(E202="Microscopy", E202="Histopathology", E202="Pathology", E202="CT", E202="PET", E202="X-Ray", E202="Mammography"), E202, ""))</f>
        <v>Ultrasound</v>
      </c>
    </row>
    <row r="203">
      <c r="A203" s="1" t="s">
        <v>1201</v>
      </c>
      <c r="B203" s="1" t="s">
        <v>1201</v>
      </c>
      <c r="C203" s="1" t="s">
        <v>744</v>
      </c>
      <c r="D203" s="1" t="s">
        <v>744</v>
      </c>
      <c r="E203" s="1" t="s">
        <v>1554</v>
      </c>
      <c r="F203" s="1" t="s">
        <v>17</v>
      </c>
      <c r="G203" s="1">
        <v>36439.0</v>
      </c>
      <c r="H203" s="1">
        <v>150.0</v>
      </c>
      <c r="I203" s="76" t="str">
        <f>IFERROR(__xludf.DUMMYFUNCTION("XLOOKUP(B203,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0)"),"https://emidec.com/")</f>
        <v>https://emidec.com/</v>
      </c>
      <c r="J203" s="17" t="str">
        <f t="shared" si="15"/>
        <v>MRI</v>
      </c>
    </row>
    <row r="204">
      <c r="A204" s="1" t="s">
        <v>1175</v>
      </c>
      <c r="B204" s="1" t="s">
        <v>1175</v>
      </c>
      <c r="C204" s="1" t="s">
        <v>744</v>
      </c>
      <c r="D204" s="1" t="s">
        <v>744</v>
      </c>
      <c r="E204" s="1" t="s">
        <v>17</v>
      </c>
      <c r="F204" s="1" t="s">
        <v>17</v>
      </c>
      <c r="G204" s="1">
        <v>108472.0</v>
      </c>
      <c r="H204" s="1">
        <v>180.0</v>
      </c>
      <c r="I204" s="76" t="str">
        <f>IFERROR(__xludf.DUMMYFUNCTION("XLOOKUP(B204,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0)"),"https://www.synapse.org/#!Synapse:syn28503327/wiki/617823")</f>
        <v>https://www.synapse.org/#!Synapse:syn28503327/wiki/617823</v>
      </c>
      <c r="J204" s="17" t="str">
        <f t="shared" si="15"/>
        <v>MRI</v>
      </c>
    </row>
    <row r="205">
      <c r="A205" s="1" t="s">
        <v>1555</v>
      </c>
      <c r="B205" s="1" t="s">
        <v>1556</v>
      </c>
      <c r="C205" s="1" t="s">
        <v>744</v>
      </c>
      <c r="D205" s="1" t="s">
        <v>941</v>
      </c>
      <c r="E205" s="1" t="s">
        <v>1557</v>
      </c>
      <c r="F205" s="1" t="s">
        <v>61</v>
      </c>
      <c r="G205" s="1">
        <v>12281.0</v>
      </c>
      <c r="H205" s="75">
        <v>12500.0</v>
      </c>
      <c r="I205" s="76" t="str">
        <f>IFERROR(__xludf.DUMMYFUNCTION("XLOOKUP(B205,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0)"),"https://www.kaggle.com/datasets/paultimothymooney/blood-cells")</f>
        <v>https://www.kaggle.com/datasets/paultimothymooney/blood-cells</v>
      </c>
      <c r="J205" s="1" t="s">
        <v>61</v>
      </c>
    </row>
    <row r="206">
      <c r="A206" s="1" t="s">
        <v>1168</v>
      </c>
      <c r="B206" s="1" t="s">
        <v>1168</v>
      </c>
      <c r="C206" s="1" t="s">
        <v>744</v>
      </c>
      <c r="D206" s="1" t="s">
        <v>941</v>
      </c>
      <c r="E206" s="1" t="s">
        <v>1558</v>
      </c>
      <c r="F206" s="1" t="s">
        <v>17</v>
      </c>
      <c r="G206" s="1">
        <v>37615.0</v>
      </c>
      <c r="I206" s="76" t="str">
        <f>IFERROR(__xludf.DUMMYFUNCTION("XLOOKUP(B206,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0)"),"https://figshare.com/articles/dataset/CDEMRIS_fibrosis_scar_challenge_data_2012/4214532")</f>
        <v>https://figshare.com/articles/dataset/CDEMRIS_fibrosis_scar_challenge_data_2012/4214532</v>
      </c>
      <c r="J206" s="17" t="str">
        <f t="shared" ref="J206:J212" si="16">IF(OR(F206="MRI", F206="Ultrasound", F206="Endoscopy", F206="Dermoscopy", F206="Fundus", F206="OCTA", F206="OCT"), F206, IF(OR(E206="Microscopy", E206="Histopathology", E206="Pathology", E206="CT", E206="PET", E206="X-Ray", E206="Mammography"), E206, ""))</f>
        <v>MRI</v>
      </c>
    </row>
    <row r="207">
      <c r="A207" s="1" t="s">
        <v>1242</v>
      </c>
      <c r="B207" s="1" t="s">
        <v>1242</v>
      </c>
      <c r="C207" s="1" t="s">
        <v>744</v>
      </c>
      <c r="D207" s="1" t="s">
        <v>941</v>
      </c>
      <c r="E207" s="1" t="s">
        <v>1562</v>
      </c>
      <c r="F207" s="1" t="s">
        <v>17</v>
      </c>
      <c r="G207" s="1">
        <v>9456.0</v>
      </c>
      <c r="H207" s="1">
        <v>30.0</v>
      </c>
      <c r="I207" s="76" t="str">
        <f>IFERROR(__xludf.DUMMYFUNCTION("XLOOKUP(B207,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0)"),"https://figshare.com/articles/figure/Left_ventricular_LV_scar_dataset/4214622")</f>
        <v>https://figshare.com/articles/figure/Left_ventricular_LV_scar_dataset/4214622</v>
      </c>
      <c r="J207" s="17" t="str">
        <f t="shared" si="16"/>
        <v>MRI</v>
      </c>
    </row>
    <row r="208">
      <c r="A208" s="1" t="s">
        <v>1276</v>
      </c>
      <c r="B208" s="1" t="s">
        <v>1563</v>
      </c>
      <c r="C208" s="1" t="s">
        <v>744</v>
      </c>
      <c r="D208" s="1" t="s">
        <v>941</v>
      </c>
      <c r="E208" s="1" t="s">
        <v>1558</v>
      </c>
      <c r="F208" s="1" t="s">
        <v>17</v>
      </c>
      <c r="G208" s="1">
        <v>334546.0</v>
      </c>
      <c r="H208" s="1">
        <v>48.0</v>
      </c>
      <c r="I208" s="76" t="str">
        <f>IFERROR(__xludf.DUMMYFUNCTION("XLOOKUP(B208,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0)"),"https://www.ub.edu/mnms-2")</f>
        <v>https://www.ub.edu/mnms-2</v>
      </c>
      <c r="J208" s="17" t="str">
        <f t="shared" si="16"/>
        <v>MRI</v>
      </c>
    </row>
    <row r="209">
      <c r="A209" s="1" t="s">
        <v>1569</v>
      </c>
      <c r="B209" s="1" t="s">
        <v>1569</v>
      </c>
      <c r="C209" s="1" t="s">
        <v>744</v>
      </c>
      <c r="D209" s="1" t="s">
        <v>941</v>
      </c>
      <c r="E209" s="1" t="s">
        <v>1570</v>
      </c>
      <c r="F209" s="1" t="s">
        <v>17</v>
      </c>
      <c r="G209" s="1">
        <v>51518.0</v>
      </c>
      <c r="H209" s="1">
        <v>45.0</v>
      </c>
      <c r="I209" s="76" t="str">
        <f>IFERROR(__xludf.DUMMYFUNCTION("XLOOKUP(B209,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0)"),"https://www.cardiacatlas.org/sunnybrook-cardiac-data")</f>
        <v>https://www.cardiacatlas.org/sunnybrook-cardiac-data</v>
      </c>
      <c r="J209" s="17" t="str">
        <f t="shared" si="16"/>
        <v>MRI</v>
      </c>
    </row>
    <row r="210">
      <c r="A210" s="1" t="s">
        <v>1571</v>
      </c>
      <c r="B210" s="1" t="s">
        <v>1572</v>
      </c>
      <c r="C210" s="1" t="s">
        <v>744</v>
      </c>
      <c r="D210" s="1" t="s">
        <v>941</v>
      </c>
      <c r="E210" s="1" t="s">
        <v>17</v>
      </c>
      <c r="F210" s="1" t="s">
        <v>17</v>
      </c>
      <c r="G210" s="1">
        <v>441042.0</v>
      </c>
      <c r="H210" s="1">
        <v>1211.0</v>
      </c>
      <c r="I210" s="76" t="str">
        <f>IFERROR(__xludf.DUMMYFUNCTION("XLOOKUP(B210,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0)"),"https://www.kaggle.com/competitions/second-annual-data-science-bowl")</f>
        <v>https://www.kaggle.com/competitions/second-annual-data-science-bowl</v>
      </c>
      <c r="J210" s="17" t="str">
        <f t="shared" si="16"/>
        <v>MRI</v>
      </c>
    </row>
    <row r="211">
      <c r="A211" s="1" t="s">
        <v>1310</v>
      </c>
      <c r="B211" s="1" t="s">
        <v>1310</v>
      </c>
      <c r="C211" s="1" t="s">
        <v>744</v>
      </c>
      <c r="D211" s="1" t="s">
        <v>941</v>
      </c>
      <c r="E211" s="1" t="s">
        <v>31</v>
      </c>
      <c r="F211" s="1" t="s">
        <v>31</v>
      </c>
      <c r="G211" s="1">
        <v>7082.0</v>
      </c>
      <c r="H211" s="1">
        <v>20.0</v>
      </c>
      <c r="I211" s="76" t="str">
        <f>IFERROR(__xludf.DUMMYFUNCTION("XLOOKUP(B211,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0)"),"https://www.doc.ic.ac.uk/~rkarim/la_lv_framework/wall/index.html")</f>
        <v>https://www.doc.ic.ac.uk/~rkarim/la_lv_framework/wall/index.html</v>
      </c>
      <c r="J211" s="17" t="str">
        <f t="shared" si="16"/>
        <v>CT</v>
      </c>
    </row>
    <row r="212">
      <c r="A212" s="1" t="s">
        <v>1573</v>
      </c>
      <c r="B212" s="1" t="s">
        <v>1574</v>
      </c>
      <c r="C212" s="1" t="s">
        <v>61</v>
      </c>
      <c r="D212" s="1" t="s">
        <v>1575</v>
      </c>
      <c r="E212" s="1" t="s">
        <v>147</v>
      </c>
      <c r="F212" s="1" t="s">
        <v>61</v>
      </c>
      <c r="G212" s="1">
        <v>7013.0</v>
      </c>
      <c r="H212" s="1">
        <v>7013.0</v>
      </c>
      <c r="I212" s="76" t="str">
        <f>IFERROR(__xludf.DUMMYFUNCTION("XLOOKUP(B212,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0)"),"https://mde-lab.aegean.gr/index.php/downloads/")</f>
        <v>https://mde-lab.aegean.gr/index.php/downloads/</v>
      </c>
      <c r="J212" s="17" t="str">
        <f t="shared" si="16"/>
        <v>Histopathology</v>
      </c>
    </row>
    <row r="213">
      <c r="A213" s="1" t="s">
        <v>1576</v>
      </c>
      <c r="B213" s="1" t="s">
        <v>1577</v>
      </c>
      <c r="C213" s="1" t="s">
        <v>61</v>
      </c>
      <c r="D213" s="1" t="s">
        <v>1376</v>
      </c>
      <c r="E213" s="1" t="s">
        <v>1578</v>
      </c>
      <c r="F213" s="1" t="s">
        <v>61</v>
      </c>
      <c r="G213" s="1">
        <v>374.0</v>
      </c>
      <c r="H213" s="1">
        <v>374.0</v>
      </c>
      <c r="I213" s="76" t="str">
        <f>IFERROR(__xludf.DUMMYFUNCTION("XLOOKUP(B213,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0)"),"https://www.kaggle.com/datasets/andrewmvd/malignant-lymphoma-classification")</f>
        <v>https://www.kaggle.com/datasets/andrewmvd/malignant-lymphoma-classification</v>
      </c>
      <c r="J213" s="1" t="s">
        <v>91</v>
      </c>
    </row>
    <row r="214">
      <c r="A214" s="1" t="s">
        <v>1579</v>
      </c>
      <c r="B214" s="1" t="s">
        <v>1579</v>
      </c>
      <c r="C214" s="1" t="s">
        <v>61</v>
      </c>
      <c r="D214" s="1" t="s">
        <v>1580</v>
      </c>
      <c r="E214" s="1" t="s">
        <v>1581</v>
      </c>
      <c r="F214" s="1" t="s">
        <v>61</v>
      </c>
      <c r="G214" s="1">
        <v>48.0</v>
      </c>
      <c r="H214" s="1">
        <v>48.0</v>
      </c>
      <c r="I214" s="76" t="str">
        <f>IFERROR(__xludf.DUMMYFUNCTION("XLOOKUP(B214,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0)"),"https://cs.adelaide.edu.au/~carneiro/isbi14_challenge/index.html")</f>
        <v>https://cs.adelaide.edu.au/~carneiro/isbi14_challenge/index.html</v>
      </c>
      <c r="J214" s="1" t="s">
        <v>61</v>
      </c>
    </row>
    <row r="215">
      <c r="A215" s="1" t="s">
        <v>1582</v>
      </c>
      <c r="B215" s="1" t="s">
        <v>1582</v>
      </c>
      <c r="C215" s="1" t="s">
        <v>61</v>
      </c>
      <c r="D215" s="1" t="s">
        <v>1118</v>
      </c>
      <c r="E215" s="1" t="s">
        <v>61</v>
      </c>
      <c r="F215" s="1" t="s">
        <v>61</v>
      </c>
      <c r="G215" s="1">
        <v>2057.0</v>
      </c>
      <c r="H215" s="1">
        <v>2057.0</v>
      </c>
      <c r="I215" s="76" t="str">
        <f>IFERROR(__xludf.DUMMYFUNCTION("XLOOKUP(B215,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0)"),"https://figshare.com/s/d6fb591f1beb4f8efa6f")</f>
        <v>https://figshare.com/s/d6fb591f1beb4f8efa6f</v>
      </c>
      <c r="J215" s="17" t="str">
        <f t="shared" ref="J215:J216" si="17">IF(OR(F215="MRI", F215="Ultrasound", F215="Endoscopy", F215="Dermoscopy", F215="Fundus", F215="OCTA", F215="OCT"), F215, IF(OR(E215="Microscopy", E215="Histopathology", E215="Pathology", E215="CT", E215="PET", E215="X-Ray", E215="Mammography"), E215, ""))</f>
        <v>Microscopy</v>
      </c>
    </row>
    <row r="216">
      <c r="A216" s="1" t="s">
        <v>1583</v>
      </c>
      <c r="B216" s="1" t="s">
        <v>1583</v>
      </c>
      <c r="C216" s="1" t="s">
        <v>61</v>
      </c>
      <c r="D216" s="1" t="s">
        <v>1584</v>
      </c>
      <c r="E216" s="1" t="s">
        <v>91</v>
      </c>
      <c r="F216" s="1" t="s">
        <v>61</v>
      </c>
      <c r="G216" s="1">
        <v>330.0</v>
      </c>
      <c r="H216" s="1">
        <v>330.0</v>
      </c>
      <c r="I216" s="76" t="str">
        <f>IFERROR(__xludf.DUMMYFUNCTION("XLOOKUP(B216,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0)"),"https://www.kaggle.com/datasets/sani84/glasmiccai2015-gland-segmentation")</f>
        <v>https://www.kaggle.com/datasets/sani84/glasmiccai2015-gland-segmentation</v>
      </c>
      <c r="J216" s="17" t="str">
        <f t="shared" si="17"/>
        <v>Pathology</v>
      </c>
    </row>
    <row r="217">
      <c r="A217" s="1" t="s">
        <v>1585</v>
      </c>
      <c r="B217" s="1" t="s">
        <v>1586</v>
      </c>
      <c r="C217" s="1" t="s">
        <v>61</v>
      </c>
      <c r="D217" s="1" t="s">
        <v>1587</v>
      </c>
      <c r="E217" s="1" t="s">
        <v>1588</v>
      </c>
      <c r="F217" s="1" t="s">
        <v>61</v>
      </c>
      <c r="G217" s="1">
        <v>216.0</v>
      </c>
      <c r="H217" s="1">
        <v>216.0</v>
      </c>
      <c r="I217" s="76" t="str">
        <f>IFERROR(__xludf.DUMMYFUNCTION("XLOOKUP(B217,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0)"),"https://data.mendeley.com/datasets/tt3yj2pf38/3")</f>
        <v>https://data.mendeley.com/datasets/tt3yj2pf38/3</v>
      </c>
      <c r="J217" s="1" t="s">
        <v>61</v>
      </c>
    </row>
    <row r="218">
      <c r="A218" s="1" t="s">
        <v>1589</v>
      </c>
      <c r="B218" s="1" t="s">
        <v>1589</v>
      </c>
      <c r="C218" s="1" t="s">
        <v>61</v>
      </c>
      <c r="D218" s="1" t="s">
        <v>1575</v>
      </c>
      <c r="E218" s="1" t="s">
        <v>530</v>
      </c>
      <c r="F218" s="1" t="s">
        <v>61</v>
      </c>
      <c r="G218" s="1">
        <v>44.0</v>
      </c>
      <c r="H218" s="1">
        <v>44.0</v>
      </c>
      <c r="I218" s="76" t="str">
        <f>IFERROR(__xludf.DUMMYFUNCTION("XLOOKUP(B218,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0)"),"https://monuseg.grand-challenge.org/Home/")</f>
        <v>https://monuseg.grand-challenge.org/Home/</v>
      </c>
      <c r="J218" s="1" t="s">
        <v>91</v>
      </c>
    </row>
    <row r="219">
      <c r="A219" s="1" t="s">
        <v>1590</v>
      </c>
      <c r="B219" s="1" t="s">
        <v>1591</v>
      </c>
      <c r="C219" s="1" t="s">
        <v>61</v>
      </c>
      <c r="D219" s="1" t="s">
        <v>301</v>
      </c>
      <c r="E219" s="1" t="s">
        <v>1588</v>
      </c>
      <c r="F219" s="1" t="s">
        <v>61</v>
      </c>
      <c r="G219" s="1">
        <v>540.0</v>
      </c>
      <c r="H219" s="1">
        <v>540.0</v>
      </c>
      <c r="I219" s="76" t="str">
        <f>IFERROR(__xludf.DUMMYFUNCTION("XLOOKUP(B219,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0)"),"https://iciar2018-challenge.grand-challenge.org/Dataset/")</f>
        <v>https://iciar2018-challenge.grand-challenge.org/Dataset/</v>
      </c>
      <c r="J219" s="1" t="s">
        <v>61</v>
      </c>
    </row>
    <row r="220">
      <c r="A220" s="1" t="s">
        <v>1390</v>
      </c>
      <c r="B220" s="1" t="s">
        <v>1599</v>
      </c>
      <c r="C220" s="1" t="s">
        <v>366</v>
      </c>
      <c r="D220" s="1" t="s">
        <v>366</v>
      </c>
      <c r="E220" s="1" t="s">
        <v>17</v>
      </c>
      <c r="F220" s="1" t="s">
        <v>17</v>
      </c>
      <c r="G220" s="1">
        <v>124153.0</v>
      </c>
      <c r="I220" s="76" t="str">
        <f>IFERROR(__xludf.DUMMYFUNCTION("XLOOKUP(B220,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0)"),"https://github.com/dama-lab/mouse-brain-atlas")</f>
        <v>https://github.com/dama-lab/mouse-brain-atlas</v>
      </c>
      <c r="J220" s="17" t="str">
        <f>IF(OR(F220="MRI", F220="Ultrasound", F220="Endoscopy", F220="Dermoscopy", F220="Fundus", F220="OCTA", F220="OCT"), F220, IF(OR(E220="Microscopy", E220="Histopathology", E220="Pathology", E220="CT", E220="PET", E220="X-Ray", E220="Mammography"), E220, ""))</f>
        <v>MRI</v>
      </c>
    </row>
    <row r="221">
      <c r="A221" s="1" t="s">
        <v>1600</v>
      </c>
      <c r="B221" s="1" t="s">
        <v>1600</v>
      </c>
      <c r="C221" s="1" t="s">
        <v>61</v>
      </c>
      <c r="D221" s="1" t="s">
        <v>1575</v>
      </c>
      <c r="E221" s="1" t="s">
        <v>1601</v>
      </c>
      <c r="F221" s="1" t="s">
        <v>61</v>
      </c>
      <c r="G221" s="1">
        <v>15114.0</v>
      </c>
      <c r="H221" s="1">
        <v>15114.0</v>
      </c>
      <c r="I221" s="76" t="str">
        <f>IFERROR(__xludf.DUMMYFUNCTION("XLOOKUP(B221,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0)"),"https://www.kaggle.com/datasets/andrewmvd/leukemia-classification")</f>
        <v>https://www.kaggle.com/datasets/andrewmvd/leukemia-classification</v>
      </c>
      <c r="J221" s="1" t="s">
        <v>61</v>
      </c>
    </row>
    <row r="222">
      <c r="A222" s="1" t="s">
        <v>1603</v>
      </c>
      <c r="B222" s="1" t="s">
        <v>1603</v>
      </c>
      <c r="C222" s="1" t="s">
        <v>61</v>
      </c>
      <c r="D222" s="1" t="s">
        <v>301</v>
      </c>
      <c r="E222" s="1" t="s">
        <v>147</v>
      </c>
      <c r="F222" s="1" t="s">
        <v>61</v>
      </c>
      <c r="G222" s="1">
        <v>245.0</v>
      </c>
      <c r="H222" s="1">
        <v>245.0</v>
      </c>
      <c r="I222" s="76" t="str">
        <f>IFERROR(__xludf.DUMMYFUNCTION("XLOOKUP(B222,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0)"),"https://anhir.grand-challenge.org/")</f>
        <v>https://anhir.grand-challenge.org/</v>
      </c>
      <c r="J222" s="17" t="str">
        <f t="shared" ref="J222:J224" si="18">IF(OR(F222="MRI", F222="Ultrasound", F222="Endoscopy", F222="Dermoscopy", F222="Fundus", F222="OCTA", F222="OCT"), F222, IF(OR(E222="Microscopy", E222="Histopathology", E222="Pathology", E222="CT", E222="PET", E222="X-Ray", E222="Mammography"), E222, ""))</f>
        <v>Histopathology</v>
      </c>
    </row>
    <row r="223">
      <c r="A223" s="1" t="s">
        <v>1604</v>
      </c>
      <c r="B223" s="1" t="s">
        <v>1604</v>
      </c>
      <c r="C223" s="1" t="s">
        <v>61</v>
      </c>
      <c r="D223" s="1" t="s">
        <v>1376</v>
      </c>
      <c r="E223" s="1" t="s">
        <v>147</v>
      </c>
      <c r="F223" s="1" t="s">
        <v>61</v>
      </c>
      <c r="G223" s="1">
        <v>2040.0</v>
      </c>
      <c r="H223" s="1">
        <v>2040.0</v>
      </c>
      <c r="I223" s="76" t="str">
        <f>IFERROR(__xludf.DUMMYFUNCTION("XLOOKUP(B223,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0)"),"https://mitoem.grand-challenge.org/")</f>
        <v>https://mitoem.grand-challenge.org/</v>
      </c>
      <c r="J223" s="17" t="str">
        <f t="shared" si="18"/>
        <v>Histopathology</v>
      </c>
    </row>
    <row r="224">
      <c r="A224" s="1" t="s">
        <v>1609</v>
      </c>
      <c r="B224" s="1" t="s">
        <v>1609</v>
      </c>
      <c r="C224" s="1" t="s">
        <v>61</v>
      </c>
      <c r="D224" s="1" t="s">
        <v>1575</v>
      </c>
      <c r="E224" s="1" t="s">
        <v>61</v>
      </c>
      <c r="F224" s="1" t="s">
        <v>61</v>
      </c>
      <c r="G224" s="1">
        <v>7579.0</v>
      </c>
      <c r="H224" s="1">
        <v>7579.0</v>
      </c>
      <c r="I224" s="76" t="str">
        <f>IFERROR(__xludf.DUMMYFUNCTION("XLOOKUP(B224,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0)"),"https://warwick.ac.uk/fac/cross_fac/tia/data/arch")</f>
        <v>https://warwick.ac.uk/fac/cross_fac/tia/data/arch</v>
      </c>
      <c r="J224" s="17" t="str">
        <f t="shared" si="18"/>
        <v>Microscopy</v>
      </c>
    </row>
    <row r="225">
      <c r="A225" s="1" t="s">
        <v>1610</v>
      </c>
      <c r="B225" s="1" t="s">
        <v>1611</v>
      </c>
      <c r="C225" s="1" t="s">
        <v>61</v>
      </c>
      <c r="D225" s="1" t="s">
        <v>1376</v>
      </c>
      <c r="E225" s="1" t="s">
        <v>1612</v>
      </c>
      <c r="F225" s="1" t="s">
        <v>61</v>
      </c>
      <c r="G225" s="7">
        <v>33455.0</v>
      </c>
      <c r="H225" s="7">
        <v>33455.0</v>
      </c>
      <c r="I225" s="76" t="str">
        <f>IFERROR(__xludf.DUMMYFUNCTION("XLOOKUP(B225,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0)"),"https://lhncbc.nlm.nih.gov/LHC-research/LHC-projects/image-processing/malaria-screener.html")</f>
        <v>https://lhncbc.nlm.nih.gov/LHC-research/LHC-projects/image-processing/malaria-screener.html</v>
      </c>
      <c r="J225" s="1" t="s">
        <v>61</v>
      </c>
    </row>
    <row r="226">
      <c r="A226" s="1" t="s">
        <v>1613</v>
      </c>
      <c r="B226" s="1" t="s">
        <v>1613</v>
      </c>
      <c r="C226" s="1" t="s">
        <v>61</v>
      </c>
      <c r="D226" s="1" t="s">
        <v>1376</v>
      </c>
      <c r="E226" s="1" t="s">
        <v>1581</v>
      </c>
      <c r="F226" s="1" t="s">
        <v>61</v>
      </c>
      <c r="G226" s="1">
        <v>3408.0</v>
      </c>
      <c r="H226" s="1">
        <v>3408.0</v>
      </c>
      <c r="I226" s="76" t="str">
        <f>IFERROR(__xludf.DUMMYFUNCTION("XLOOKUP(B226,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0)"),"https://segpc-2021.grand-challenge.org/SegPC-2021/")</f>
        <v>https://segpc-2021.grand-challenge.org/SegPC-2021/</v>
      </c>
      <c r="J226" s="1" t="s">
        <v>61</v>
      </c>
    </row>
    <row r="227">
      <c r="A227" s="1" t="s">
        <v>1614</v>
      </c>
      <c r="B227" s="1" t="s">
        <v>1615</v>
      </c>
      <c r="C227" s="1" t="s">
        <v>61</v>
      </c>
      <c r="D227" s="1" t="s">
        <v>1616</v>
      </c>
      <c r="E227" s="1" t="s">
        <v>1617</v>
      </c>
      <c r="F227" s="1" t="s">
        <v>61</v>
      </c>
      <c r="G227" s="1">
        <v>3152.0</v>
      </c>
      <c r="H227" s="1">
        <v>3152.0</v>
      </c>
      <c r="I227" s="76" t="str">
        <f>IFERROR(__xludf.DUMMYFUNCTION("XLOOKUP(B227,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0)"),"https://wiki.cancerimagingarchive.net/pages/viewpage.action?pageId=101941770")</f>
        <v>https://wiki.cancerimagingarchive.net/pages/viewpage.action?pageId=101941770</v>
      </c>
      <c r="J227" s="1" t="s">
        <v>61</v>
      </c>
    </row>
    <row r="228">
      <c r="A228" s="1" t="s">
        <v>1618</v>
      </c>
      <c r="B228" s="1" t="s">
        <v>1618</v>
      </c>
      <c r="C228" s="1" t="s">
        <v>61</v>
      </c>
      <c r="D228" s="1" t="s">
        <v>1376</v>
      </c>
      <c r="E228" s="1" t="s">
        <v>91</v>
      </c>
      <c r="F228" s="1" t="s">
        <v>61</v>
      </c>
      <c r="G228" s="1">
        <v>201308.0</v>
      </c>
      <c r="H228" s="1">
        <v>201308.0</v>
      </c>
      <c r="I228" s="76" t="str">
        <f>IFERROR(__xludf.DUMMYFUNCTION("XLOOKUP(B228,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0)"),"https://link.springer.com/chapter/10.1007/978-3-031-44917-8_25")</f>
        <v>https://link.springer.com/chapter/10.1007/978-3-031-44917-8_25</v>
      </c>
      <c r="J228" s="17" t="str">
        <f t="shared" ref="J228:J249" si="19">IF(OR(F228="MRI", F228="Ultrasound", F228="Endoscopy", F228="Dermoscopy", F228="Fundus", F228="OCTA", F228="OCT"), F228, IF(OR(E228="Microscopy", E228="Histopathology", E228="Pathology", E228="CT", E228="PET", E228="X-Ray", E228="Mammography"), E228, ""))</f>
        <v>Pathology</v>
      </c>
    </row>
    <row r="229">
      <c r="A229" s="1" t="s">
        <v>1619</v>
      </c>
      <c r="B229" s="1" t="s">
        <v>1619</v>
      </c>
      <c r="C229" s="1" t="s">
        <v>61</v>
      </c>
      <c r="D229" s="1" t="s">
        <v>1376</v>
      </c>
      <c r="E229" s="1" t="s">
        <v>91</v>
      </c>
      <c r="F229" s="1" t="s">
        <v>61</v>
      </c>
      <c r="G229" s="1">
        <v>42590.0</v>
      </c>
      <c r="H229" s="1">
        <v>42590.0</v>
      </c>
      <c r="I229" s="76" t="str">
        <f>IFERROR(__xludf.DUMMYFUNCTION("XLOOKUP(B229,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0)"),"https://link.springer.com/chapter/10.1007/978-3-031-43987-2_61")</f>
        <v>https://link.springer.com/chapter/10.1007/978-3-031-43987-2_61</v>
      </c>
      <c r="J229" s="17" t="str">
        <f t="shared" si="19"/>
        <v>Pathology</v>
      </c>
    </row>
    <row r="230">
      <c r="A230" s="1" t="s">
        <v>1620</v>
      </c>
      <c r="B230" s="1" t="s">
        <v>1620</v>
      </c>
      <c r="C230" s="1" t="s">
        <v>61</v>
      </c>
      <c r="D230" s="1" t="s">
        <v>280</v>
      </c>
      <c r="E230" s="1" t="s">
        <v>147</v>
      </c>
      <c r="F230" s="1" t="s">
        <v>61</v>
      </c>
      <c r="G230" s="1">
        <v>9328.0</v>
      </c>
      <c r="H230" s="1">
        <v>9328.0</v>
      </c>
      <c r="I230" s="76" t="str">
        <f>IFERROR(__xludf.DUMMYFUNCTION("XLOOKUP(B230,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0)"),"https://sites.google.com/view/kpis2024")</f>
        <v>https://sites.google.com/view/kpis2024</v>
      </c>
      <c r="J230" s="17" t="str">
        <f t="shared" si="19"/>
        <v>Histopathology</v>
      </c>
    </row>
    <row r="231">
      <c r="A231" s="46" t="s">
        <v>1350</v>
      </c>
      <c r="B231" s="46" t="s">
        <v>1350</v>
      </c>
      <c r="C231" s="46" t="s">
        <v>977</v>
      </c>
      <c r="D231" s="46" t="s">
        <v>1621</v>
      </c>
      <c r="E231" s="46" t="s">
        <v>31</v>
      </c>
      <c r="F231" s="46" t="s">
        <v>31</v>
      </c>
      <c r="G231" s="46">
        <v>3156.0</v>
      </c>
      <c r="H231" s="1">
        <v>374.0</v>
      </c>
      <c r="I231" s="76" t="str">
        <f>IFERROR(__xludf.DUMMYFUNCTION("XLOOKUP(B231,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0)"),"https://github.com/anjany/verse")</f>
        <v>https://github.com/anjany/verse</v>
      </c>
      <c r="J231" s="17" t="str">
        <f t="shared" si="19"/>
        <v>CT</v>
      </c>
    </row>
    <row r="232">
      <c r="A232" s="1" t="s">
        <v>1301</v>
      </c>
      <c r="B232" s="1" t="s">
        <v>1622</v>
      </c>
      <c r="C232" s="1" t="s">
        <v>977</v>
      </c>
      <c r="D232" s="1" t="s">
        <v>301</v>
      </c>
      <c r="E232" s="1" t="s">
        <v>31</v>
      </c>
      <c r="F232" s="1" t="s">
        <v>31</v>
      </c>
      <c r="G232" s="1">
        <v>860.0</v>
      </c>
      <c r="H232" s="1">
        <v>860.0</v>
      </c>
      <c r="I232" s="76" t="str">
        <f>IFERROR(__xludf.DUMMYFUNCTION("XLOOKUP(B232,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0)"),"https://ribfrac.grand-challenge.org/")</f>
        <v>https://ribfrac.grand-challenge.org/</v>
      </c>
      <c r="J232" s="17" t="str">
        <f t="shared" si="19"/>
        <v>CT</v>
      </c>
    </row>
    <row r="233">
      <c r="A233" s="1" t="s">
        <v>1187</v>
      </c>
      <c r="B233" s="1" t="s">
        <v>1187</v>
      </c>
      <c r="C233" s="1" t="s">
        <v>977</v>
      </c>
      <c r="D233" s="1" t="s">
        <v>1587</v>
      </c>
      <c r="E233" s="1" t="s">
        <v>31</v>
      </c>
      <c r="F233" s="1" t="s">
        <v>31</v>
      </c>
      <c r="G233" s="1">
        <v>41377.0</v>
      </c>
      <c r="H233" s="75">
        <v>1184.0</v>
      </c>
      <c r="I233" s="76" t="str">
        <f>IFERROR(__xludf.DUMMYFUNCTION("XLOOKUP(B233,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0)"),"https://github.com/MIRACLE-Center/CTPelvic1K")</f>
        <v>https://github.com/MIRACLE-Center/CTPelvic1K</v>
      </c>
      <c r="J233" s="17" t="str">
        <f t="shared" si="19"/>
        <v>CT</v>
      </c>
    </row>
    <row r="234">
      <c r="A234" s="1" t="s">
        <v>1190</v>
      </c>
      <c r="B234" s="1" t="s">
        <v>1190</v>
      </c>
      <c r="C234" s="1" t="s">
        <v>977</v>
      </c>
      <c r="D234" s="1" t="s">
        <v>1621</v>
      </c>
      <c r="E234" s="1" t="s">
        <v>31</v>
      </c>
      <c r="F234" s="1" t="s">
        <v>31</v>
      </c>
      <c r="G234" s="1">
        <v>20904.0</v>
      </c>
      <c r="H234" s="75">
        <v>1005.0</v>
      </c>
      <c r="I234" s="76" t="str">
        <f>IFERROR(__xludf.DUMMYFUNCTION("XLOOKUP(B234,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0)"),"https://github.com/MIRACLE-Center/CTSpine1K")</f>
        <v>https://github.com/MIRACLE-Center/CTSpine1K</v>
      </c>
      <c r="J234" s="17" t="str">
        <f t="shared" si="19"/>
        <v>CT</v>
      </c>
    </row>
    <row r="235">
      <c r="A235" s="1" t="s">
        <v>1317</v>
      </c>
      <c r="B235" s="1" t="s">
        <v>1317</v>
      </c>
      <c r="C235" s="1" t="s">
        <v>977</v>
      </c>
      <c r="D235" s="1" t="s">
        <v>1621</v>
      </c>
      <c r="E235" s="1" t="s">
        <v>31</v>
      </c>
      <c r="F235" s="1" t="s">
        <v>31</v>
      </c>
      <c r="G235" s="1">
        <v>214369.0</v>
      </c>
      <c r="H235" s="1">
        <v>544.0</v>
      </c>
      <c r="I235" s="76" t="str">
        <f>IFERROR(__xludf.DUMMYFUNCTION("XLOOKUP(B235,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0)"),"https://spider.grand-challenge.org/")</f>
        <v>https://spider.grand-challenge.org/</v>
      </c>
      <c r="J235" s="17" t="str">
        <f t="shared" si="19"/>
        <v>CT</v>
      </c>
    </row>
    <row r="236">
      <c r="A236" s="1" t="s">
        <v>1244</v>
      </c>
      <c r="B236" s="1" t="s">
        <v>1633</v>
      </c>
      <c r="C236" s="1" t="s">
        <v>977</v>
      </c>
      <c r="D236" s="1" t="s">
        <v>1634</v>
      </c>
      <c r="E236" s="1" t="s">
        <v>17</v>
      </c>
      <c r="F236" s="1" t="s">
        <v>17</v>
      </c>
      <c r="G236" s="1">
        <v>29107.0</v>
      </c>
      <c r="H236" s="1">
        <v>14.0</v>
      </c>
      <c r="I236" s="76" t="str">
        <f>IFERROR(__xludf.DUMMYFUNCTION("XLOOKUP(B236,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0)"),"https://www.nature.com/articles/s41597-024-03919-4?_gl=1*1b99nma*_up*MQ..&amp;gclid=CjwKCAjw1NK4BhAwEiwAVUHPUBSVE39DcGDKAwkq8XsXXSl6_OUuZnDtj1uQIYvbjU1jXTS4VUmRnBoClvAQAvD_BwE")</f>
        <v>https://www.nature.com/articles/s41597-024-03919-4?_gl=1*1b99nma*_up*MQ..&amp;gclid=CjwKCAjw1NK4BhAwEiwAVUHPUBSVE39DcGDKAwkq8XsXXSl6_OUuZnDtj1uQIYvbjU1jXTS4VUmRnBoClvAQAvD_BwE</v>
      </c>
      <c r="J236" s="17" t="str">
        <f t="shared" si="19"/>
        <v>MRI</v>
      </c>
    </row>
    <row r="237">
      <c r="A237" s="1" t="s">
        <v>1648</v>
      </c>
      <c r="B237" s="1" t="s">
        <v>1649</v>
      </c>
      <c r="C237" s="1" t="s">
        <v>977</v>
      </c>
      <c r="D237" s="1" t="s">
        <v>1405</v>
      </c>
      <c r="E237" s="1" t="s">
        <v>31</v>
      </c>
      <c r="F237" s="1" t="s">
        <v>31</v>
      </c>
      <c r="G237" s="1">
        <v>712919.0</v>
      </c>
      <c r="H237" s="75">
        <v>1400.0</v>
      </c>
      <c r="I237" s="76" t="str">
        <f>IFERROR(__xludf.DUMMYFUNCTION("XLOOKUP(B237,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0)"),"https://www.rsna.org/rsnai/ai-image-challenge/cervical-spine-fractures-ai-detection-challenge-2022")</f>
        <v>https://www.rsna.org/rsnai/ai-image-challenge/cervical-spine-fractures-ai-detection-challenge-2022</v>
      </c>
      <c r="J237" s="17" t="str">
        <f t="shared" si="19"/>
        <v>CT</v>
      </c>
    </row>
    <row r="238">
      <c r="A238" s="46" t="s">
        <v>1412</v>
      </c>
      <c r="B238" s="46" t="s">
        <v>1412</v>
      </c>
      <c r="C238" s="46" t="s">
        <v>977</v>
      </c>
      <c r="D238" s="46" t="s">
        <v>1405</v>
      </c>
      <c r="E238" s="46" t="s">
        <v>31</v>
      </c>
      <c r="F238" s="46" t="s">
        <v>31</v>
      </c>
      <c r="G238" s="46">
        <v>23249.0</v>
      </c>
      <c r="I238" s="76" t="str">
        <f>IFERROR(__xludf.DUMMYFUNCTION("XLOOKUP(B238,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0)"),"https://lit.fe.uni-lj.si/en/research/resources/xVertSeg/")</f>
        <v>https://lit.fe.uni-lj.si/en/research/resources/xVertSeg/</v>
      </c>
      <c r="J238" s="17" t="str">
        <f t="shared" si="19"/>
        <v>CT</v>
      </c>
    </row>
    <row r="239">
      <c r="A239" s="1" t="s">
        <v>1119</v>
      </c>
      <c r="B239" s="1" t="s">
        <v>1665</v>
      </c>
      <c r="C239" s="1" t="s">
        <v>120</v>
      </c>
      <c r="D239" s="1" t="s">
        <v>120</v>
      </c>
      <c r="E239" s="1" t="s">
        <v>31</v>
      </c>
      <c r="F239" s="1" t="s">
        <v>31</v>
      </c>
      <c r="G239" s="1">
        <v>26381.0</v>
      </c>
      <c r="H239" s="1">
        <v>260.0</v>
      </c>
      <c r="I239" s="76" t="str">
        <f>IFERROR(__xludf.DUMMYFUNCTION("XLOOKUP(B239,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0)"),"https://www.nature.com/articles/s41597-022-01905-2")</f>
        <v>https://www.nature.com/articles/s41597-022-01905-2</v>
      </c>
      <c r="J239" s="17" t="str">
        <f t="shared" si="19"/>
        <v>CT</v>
      </c>
    </row>
    <row r="240">
      <c r="A240" s="46" t="s">
        <v>1166</v>
      </c>
      <c r="B240" s="46" t="s">
        <v>1166</v>
      </c>
      <c r="C240" s="46" t="s">
        <v>246</v>
      </c>
      <c r="D240" s="46" t="s">
        <v>246</v>
      </c>
      <c r="E240" s="46" t="s">
        <v>1441</v>
      </c>
      <c r="F240" s="46" t="s">
        <v>17</v>
      </c>
      <c r="G240" s="46">
        <v>21711.0</v>
      </c>
      <c r="I240" s="76" t="str">
        <f>IFERROR(__xludf.DUMMYFUNCTION("XLOOKUP(B240,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0)"),"https://cause07.grand-challenge.org")</f>
        <v>https://cause07.grand-challenge.org</v>
      </c>
      <c r="J240" s="17" t="str">
        <f t="shared" si="19"/>
        <v>MRI</v>
      </c>
    </row>
    <row r="241">
      <c r="A241" s="65" t="s">
        <v>1192</v>
      </c>
      <c r="B241" s="65" t="s">
        <v>1192</v>
      </c>
      <c r="C241" s="65" t="s">
        <v>246</v>
      </c>
      <c r="D241" s="65" t="s">
        <v>246</v>
      </c>
      <c r="E241" s="65" t="s">
        <v>1705</v>
      </c>
      <c r="F241" s="65" t="s">
        <v>17</v>
      </c>
      <c r="G241" s="65">
        <v>30030.0</v>
      </c>
      <c r="H241" s="1">
        <v>67.0</v>
      </c>
      <c r="I241" s="76" t="str">
        <f>IFERROR(__xludf.DUMMYFUNCTION("XLOOKUP(B241,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0)"),"http://fcon_1000.projects.nitrc.org/indi/retro/CUNMET.html")</f>
        <v>http://fcon_1000.projects.nitrc.org/indi/retro/CUNMET.html</v>
      </c>
      <c r="J241" s="17" t="str">
        <f t="shared" si="19"/>
        <v>MRI</v>
      </c>
    </row>
    <row r="242">
      <c r="A242" s="1" t="s">
        <v>1213</v>
      </c>
      <c r="B242" s="1" t="s">
        <v>1710</v>
      </c>
      <c r="C242" s="1" t="s">
        <v>246</v>
      </c>
      <c r="D242" s="1" t="s">
        <v>246</v>
      </c>
      <c r="E242" s="1" t="s">
        <v>1711</v>
      </c>
      <c r="F242" s="1" t="s">
        <v>17</v>
      </c>
      <c r="G242" s="1">
        <v>145.0</v>
      </c>
      <c r="H242" s="1">
        <v>145.0</v>
      </c>
      <c r="I242" s="76" t="str">
        <f>IFERROR(__xludf.DUMMYFUNCTION("XLOOKUP(B242,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0)"),"http://hardi.epfl.ch/static/events/2013_ISBI")</f>
        <v>http://hardi.epfl.ch/static/events/2013_ISBI</v>
      </c>
      <c r="J242" s="17" t="str">
        <f t="shared" si="19"/>
        <v>MRI</v>
      </c>
    </row>
    <row r="243">
      <c r="A243" s="1" t="s">
        <v>1713</v>
      </c>
      <c r="B243" s="1" t="s">
        <v>1715</v>
      </c>
      <c r="C243" s="1" t="s">
        <v>301</v>
      </c>
      <c r="D243" s="1" t="s">
        <v>603</v>
      </c>
      <c r="E243" s="1" t="s">
        <v>31</v>
      </c>
      <c r="F243" s="1" t="s">
        <v>31</v>
      </c>
      <c r="G243" s="1">
        <v>3986.0</v>
      </c>
      <c r="H243" s="1">
        <v>3986.0</v>
      </c>
      <c r="I243" s="76" t="str">
        <f>IFERROR(__xludf.DUMMYFUNCTION("XLOOKUP(B243,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0)"),"https://codalab.lisn.upsaclay.fr/competitions/7065")</f>
        <v>https://codalab.lisn.upsaclay.fr/competitions/7065</v>
      </c>
      <c r="J243" s="17" t="str">
        <f t="shared" si="19"/>
        <v>CT</v>
      </c>
    </row>
    <row r="244">
      <c r="A244" s="1" t="s">
        <v>1718</v>
      </c>
      <c r="B244" s="1" t="s">
        <v>1718</v>
      </c>
      <c r="C244" s="1" t="s">
        <v>744</v>
      </c>
      <c r="D244" s="1" t="s">
        <v>941</v>
      </c>
      <c r="E244" s="1" t="s">
        <v>1719</v>
      </c>
      <c r="F244" s="1" t="s">
        <v>54</v>
      </c>
      <c r="G244" s="1">
        <v>982044.0</v>
      </c>
      <c r="H244" s="75">
        <v>12000.0</v>
      </c>
      <c r="I244" s="76" t="str">
        <f>IFERROR(__xludf.DUMMYFUNCTION("XLOOKUP(B244,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0)"),"https://stanfordaimi.azurewebsites.net/datasets/5b7fcc28-579c-4285-8b72-e4238eac7bd1")</f>
        <v>https://stanfordaimi.azurewebsites.net/datasets/5b7fcc28-579c-4285-8b72-e4238eac7bd1</v>
      </c>
      <c r="J244" s="17" t="str">
        <f t="shared" si="19"/>
        <v>Ultrasound</v>
      </c>
    </row>
    <row r="245">
      <c r="A245" s="1" t="s">
        <v>1254</v>
      </c>
      <c r="B245" s="1" t="s">
        <v>1254</v>
      </c>
      <c r="C245" s="1" t="s">
        <v>301</v>
      </c>
      <c r="D245" s="1" t="s">
        <v>301</v>
      </c>
      <c r="E245" s="1" t="s">
        <v>54</v>
      </c>
      <c r="F245" s="1" t="s">
        <v>54</v>
      </c>
      <c r="G245" s="1">
        <v>4247469.0</v>
      </c>
      <c r="H245" s="75">
        <v>206488.0</v>
      </c>
      <c r="I245" s="11" t="s">
        <v>1744</v>
      </c>
      <c r="J245" s="17" t="str">
        <f t="shared" si="19"/>
        <v>Ultrasound</v>
      </c>
    </row>
    <row r="246">
      <c r="A246" s="1" t="s">
        <v>1721</v>
      </c>
      <c r="B246" s="1" t="s">
        <v>1722</v>
      </c>
      <c r="C246" s="1" t="s">
        <v>246</v>
      </c>
      <c r="D246" s="1" t="s">
        <v>644</v>
      </c>
      <c r="E246" s="1" t="s">
        <v>54</v>
      </c>
      <c r="F246" s="1" t="s">
        <v>54</v>
      </c>
      <c r="G246" s="1">
        <v>14156.0</v>
      </c>
      <c r="H246" s="1">
        <v>3493.0</v>
      </c>
      <c r="I246" s="76" t="str">
        <f>IFERROR(__xludf.DUMMYFUNCTION("XLOOKUP(B246,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0)"),"https://github.com/haifangong/TRFE-Net-for-thyroid-nodule-segmentation")</f>
        <v>https://github.com/haifangong/TRFE-Net-for-thyroid-nodule-segmentation</v>
      </c>
      <c r="J246" s="17" t="str">
        <f t="shared" si="19"/>
        <v>Ultrasound</v>
      </c>
    </row>
    <row r="247">
      <c r="A247" s="1" t="s">
        <v>1725</v>
      </c>
      <c r="B247" s="1" t="s">
        <v>1726</v>
      </c>
      <c r="C247" s="1" t="s">
        <v>246</v>
      </c>
      <c r="D247" s="1" t="s">
        <v>644</v>
      </c>
      <c r="E247" s="1" t="s">
        <v>54</v>
      </c>
      <c r="F247" s="1" t="s">
        <v>54</v>
      </c>
      <c r="G247" s="1">
        <v>480.0</v>
      </c>
      <c r="H247" s="1">
        <v>134.0</v>
      </c>
      <c r="I247" s="11" t="s">
        <v>1747</v>
      </c>
      <c r="J247" s="17" t="str">
        <f t="shared" si="19"/>
        <v>Ultrasound</v>
      </c>
    </row>
    <row r="248">
      <c r="A248" s="1" t="s">
        <v>1728</v>
      </c>
      <c r="B248" s="1" t="s">
        <v>1748</v>
      </c>
      <c r="C248" s="1" t="s">
        <v>366</v>
      </c>
      <c r="D248" s="1" t="s">
        <v>366</v>
      </c>
      <c r="E248" s="1" t="s">
        <v>147</v>
      </c>
      <c r="F248" s="1" t="s">
        <v>61</v>
      </c>
      <c r="G248" s="1">
        <v>5311.0</v>
      </c>
      <c r="H248" s="1">
        <v>5311.0</v>
      </c>
      <c r="I248" s="76" t="str">
        <f>IFERROR(__xludf.DUMMYFUNCTION("XLOOKUP(B248,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0)"),"https://www.kaggle.com/datasets/ipateam/nuinsseg")</f>
        <v>https://www.kaggle.com/datasets/ipateam/nuinsseg</v>
      </c>
      <c r="J248" s="17" t="str">
        <f t="shared" si="19"/>
        <v>Histopathology</v>
      </c>
    </row>
    <row r="249">
      <c r="A249" s="1" t="s">
        <v>1732</v>
      </c>
      <c r="B249" s="1" t="s">
        <v>1733</v>
      </c>
      <c r="C249" s="1" t="s">
        <v>246</v>
      </c>
      <c r="D249" s="1" t="s">
        <v>657</v>
      </c>
      <c r="E249" s="1" t="s">
        <v>651</v>
      </c>
      <c r="F249" s="1" t="s">
        <v>100</v>
      </c>
      <c r="G249" s="1">
        <v>2308.0</v>
      </c>
      <c r="H249" s="1">
        <v>2308.0</v>
      </c>
      <c r="I249" s="76" t="str">
        <f>IFERROR(__xludf.DUMMYFUNCTION("XLOOKUP(B249,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0)"),"https://data.mendeley.com/datasets/pc4mb3h8hz/1")</f>
        <v>https://data.mendeley.com/datasets/pc4mb3h8hz/1</v>
      </c>
      <c r="J249" s="17" t="str">
        <f t="shared" si="19"/>
        <v>Fundus</v>
      </c>
    </row>
    <row r="250">
      <c r="A250" s="1" t="s">
        <v>1736</v>
      </c>
      <c r="B250" s="1" t="s">
        <v>1737</v>
      </c>
      <c r="C250" s="1" t="s">
        <v>301</v>
      </c>
      <c r="D250" s="1" t="s">
        <v>603</v>
      </c>
      <c r="E250" s="1" t="s">
        <v>633</v>
      </c>
      <c r="F250" s="1" t="s">
        <v>81</v>
      </c>
      <c r="G250" s="1">
        <v>800.0</v>
      </c>
      <c r="H250" s="1">
        <v>800.0</v>
      </c>
      <c r="I250" s="76" t="str">
        <f>IFERROR(__xludf.DUMMYFUNCTION("XLOOKUP(B250,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0)"),"https://www.kaggle.com/datasets/kmader/pulmonary-chest-xray-abnormalities")</f>
        <v>https://www.kaggle.com/datasets/kmader/pulmonary-chest-xray-abnormalities</v>
      </c>
      <c r="J250" s="1" t="s">
        <v>75</v>
      </c>
    </row>
    <row r="251">
      <c r="A251" s="1" t="s">
        <v>1738</v>
      </c>
      <c r="B251" s="1" t="s">
        <v>1053</v>
      </c>
      <c r="C251" s="1" t="s">
        <v>301</v>
      </c>
      <c r="D251" s="1" t="s">
        <v>603</v>
      </c>
      <c r="E251" s="1" t="s">
        <v>31</v>
      </c>
      <c r="F251" s="1" t="s">
        <v>31</v>
      </c>
      <c r="G251" s="1">
        <v>1097.0</v>
      </c>
      <c r="H251" s="1">
        <v>1190.0</v>
      </c>
      <c r="I251" s="76" t="str">
        <f>IFERROR(__xludf.DUMMYFUNCTION("XLOOKUP(B251,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0)"),"https://www.kaggle.com/datasets/hamdallak/the-iqothnccd-lung-cancer-dataset")</f>
        <v>https://www.kaggle.com/datasets/hamdallak/the-iqothnccd-lung-cancer-dataset</v>
      </c>
      <c r="J251" s="17" t="str">
        <f t="shared" ref="J251:J265" si="20">IF(OR(F251="MRI", F251="Ultrasound", F251="Endoscopy", F251="Dermoscopy", F251="Fundus", F251="OCTA", F251="OCT"), F251, IF(OR(E251="Microscopy", E251="Histopathology", E251="Pathology", E251="CT", E251="PET", E251="X-Ray", E251="Mammography"), E251, ""))</f>
        <v>CT</v>
      </c>
    </row>
    <row r="252">
      <c r="A252" s="1" t="s">
        <v>1360</v>
      </c>
      <c r="B252" s="1" t="s">
        <v>1753</v>
      </c>
      <c r="C252" s="1" t="s">
        <v>246</v>
      </c>
      <c r="D252" s="1" t="s">
        <v>246</v>
      </c>
      <c r="E252" s="1" t="s">
        <v>17</v>
      </c>
      <c r="F252" s="1" t="s">
        <v>17</v>
      </c>
      <c r="G252" s="1">
        <v>125705.0</v>
      </c>
      <c r="I252" s="76" t="str">
        <f>IFERROR(__xludf.DUMMYFUNCTION("XLOOKUP(B252,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0)"),"https://crossmoda.grand-challenge.org/")</f>
        <v>https://crossmoda.grand-challenge.org/</v>
      </c>
      <c r="J252" s="17" t="str">
        <f t="shared" si="20"/>
        <v>MRI</v>
      </c>
    </row>
    <row r="253">
      <c r="A253" s="1" t="s">
        <v>1163</v>
      </c>
      <c r="B253" s="1" t="s">
        <v>1163</v>
      </c>
      <c r="C253" s="1" t="s">
        <v>744</v>
      </c>
      <c r="D253" s="1" t="s">
        <v>941</v>
      </c>
      <c r="E253" s="1" t="s">
        <v>1739</v>
      </c>
      <c r="F253" s="1" t="s">
        <v>54</v>
      </c>
      <c r="G253" s="1">
        <v>798381.0</v>
      </c>
      <c r="H253" s="1">
        <v>500.0</v>
      </c>
      <c r="I253" s="76" t="str">
        <f>IFERROR(__xludf.DUMMYFUNCTION("XLOOKUP(B253,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0)"),"https://camus.creatis.insa-lyon.fr/challenge")</f>
        <v>https://camus.creatis.insa-lyon.fr/challenge</v>
      </c>
      <c r="J253" s="17" t="str">
        <f t="shared" si="20"/>
        <v>Ultrasound</v>
      </c>
    </row>
    <row r="254">
      <c r="A254" s="1" t="s">
        <v>1740</v>
      </c>
      <c r="B254" s="1" t="s">
        <v>1740</v>
      </c>
      <c r="C254" s="1" t="s">
        <v>744</v>
      </c>
      <c r="D254" s="1" t="s">
        <v>941</v>
      </c>
      <c r="E254" s="1" t="s">
        <v>1719</v>
      </c>
      <c r="F254" s="1" t="s">
        <v>54</v>
      </c>
      <c r="G254" s="1">
        <v>399543.0</v>
      </c>
      <c r="H254" s="75">
        <v>7643.0</v>
      </c>
      <c r="I254" s="76" t="str">
        <f>IFERROR(__xludf.DUMMYFUNCTION("XLOOKUP(B254,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0)"),"https://echonet.github.io/pediatric")</f>
        <v>https://echonet.github.io/pediatric</v>
      </c>
      <c r="J254" s="17" t="str">
        <f t="shared" si="20"/>
        <v>Ultrasound</v>
      </c>
    </row>
    <row r="255">
      <c r="A255" s="1" t="s">
        <v>1279</v>
      </c>
      <c r="B255" s="1" t="s">
        <v>1279</v>
      </c>
      <c r="C255" s="1" t="s">
        <v>246</v>
      </c>
      <c r="D255" s="1" t="s">
        <v>246</v>
      </c>
      <c r="E255" s="1" t="s">
        <v>1741</v>
      </c>
      <c r="F255" s="1" t="s">
        <v>17</v>
      </c>
      <c r="G255" s="1">
        <v>465788.0</v>
      </c>
      <c r="H255" s="1">
        <v>27.0</v>
      </c>
      <c r="I255" s="76" t="str">
        <f>IFERROR(__xludf.DUMMYFUNCTION("XLOOKUP(B255,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0)"),"http://fcon_1000.projects.nitrc.org/indi/retro/Narratives.html")</f>
        <v>http://fcon_1000.projects.nitrc.org/indi/retro/Narratives.html</v>
      </c>
      <c r="J255" s="17" t="str">
        <f t="shared" si="20"/>
        <v>MRI</v>
      </c>
    </row>
    <row r="256">
      <c r="A256" s="1" t="s">
        <v>1236</v>
      </c>
      <c r="B256" s="1" t="s">
        <v>1754</v>
      </c>
      <c r="C256" s="1" t="s">
        <v>246</v>
      </c>
      <c r="D256" s="1" t="s">
        <v>246</v>
      </c>
      <c r="E256" s="1" t="s">
        <v>1755</v>
      </c>
      <c r="F256" s="1" t="s">
        <v>17</v>
      </c>
      <c r="G256" s="1">
        <v>352248.0</v>
      </c>
      <c r="H256" s="1">
        <v>188.0</v>
      </c>
      <c r="I256" s="76" t="str">
        <f>IFERROR(__xludf.DUMMYFUNCTION("XLOOKUP(B256,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0)"),"https://openneuro.org/datasets/ds001894")</f>
        <v>https://openneuro.org/datasets/ds001894</v>
      </c>
      <c r="J256" s="17" t="str">
        <f t="shared" si="20"/>
        <v>MRI</v>
      </c>
    </row>
    <row r="257">
      <c r="A257" s="1" t="s">
        <v>1234</v>
      </c>
      <c r="B257" s="1" t="s">
        <v>1756</v>
      </c>
      <c r="C257" s="1" t="s">
        <v>246</v>
      </c>
      <c r="D257" s="1" t="s">
        <v>246</v>
      </c>
      <c r="E257" s="1" t="s">
        <v>1757</v>
      </c>
      <c r="F257" s="1" t="s">
        <v>17</v>
      </c>
      <c r="G257" s="1">
        <v>251315.0</v>
      </c>
      <c r="H257" s="1">
        <v>133.0</v>
      </c>
      <c r="I257" s="76" t="str">
        <f>IFERROR(__xludf.DUMMYFUNCTION("XLOOKUP(B257,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0)"),"https://openneuro.org/datasets/ds001486")</f>
        <v>https://openneuro.org/datasets/ds001486</v>
      </c>
      <c r="J257" s="17" t="str">
        <f t="shared" si="20"/>
        <v>MRI</v>
      </c>
    </row>
    <row r="258">
      <c r="A258" s="1" t="s">
        <v>1170</v>
      </c>
      <c r="B258" s="1" t="s">
        <v>1170</v>
      </c>
      <c r="C258" s="1" t="s">
        <v>246</v>
      </c>
      <c r="D258" s="1" t="s">
        <v>246</v>
      </c>
      <c r="E258" s="1" t="s">
        <v>17</v>
      </c>
      <c r="F258" s="1" t="s">
        <v>17</v>
      </c>
      <c r="G258" s="1">
        <v>3482.0</v>
      </c>
      <c r="H258" s="1">
        <v>7.0</v>
      </c>
      <c r="I258" s="76" t="str">
        <f>IFERROR(__xludf.DUMMYFUNCTION("XLOOKUP(B258,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0)"),"https://openneuro.org/datasets/ds002207/versions/1.0.0")</f>
        <v>https://openneuro.org/datasets/ds002207/versions/1.0.0</v>
      </c>
      <c r="J258" s="17" t="str">
        <f t="shared" si="20"/>
        <v>MRI</v>
      </c>
    </row>
    <row r="259">
      <c r="A259" s="1" t="s">
        <v>1270</v>
      </c>
      <c r="B259" s="1" t="s">
        <v>1270</v>
      </c>
      <c r="C259" s="1" t="s">
        <v>246</v>
      </c>
      <c r="D259" s="1" t="s">
        <v>246</v>
      </c>
      <c r="E259" s="1" t="s">
        <v>1757</v>
      </c>
      <c r="F259" s="1" t="s">
        <v>17</v>
      </c>
      <c r="G259" s="1">
        <v>179314.0</v>
      </c>
      <c r="H259" s="1">
        <v>10.0</v>
      </c>
      <c r="I259" s="76" t="str">
        <f>IFERROR(__xludf.DUMMYFUNCTION("XLOOKUP(B259,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0)"),"https://openneuro.org/datasets/ds000224")</f>
        <v>https://openneuro.org/datasets/ds000224</v>
      </c>
      <c r="J259" s="17" t="str">
        <f t="shared" si="20"/>
        <v>MRI</v>
      </c>
    </row>
    <row r="260">
      <c r="A260" s="1" t="s">
        <v>1155</v>
      </c>
      <c r="B260" s="1" t="s">
        <v>1758</v>
      </c>
      <c r="C260" s="1" t="s">
        <v>246</v>
      </c>
      <c r="D260" s="1" t="s">
        <v>640</v>
      </c>
      <c r="E260" s="1" t="s">
        <v>17</v>
      </c>
      <c r="F260" s="1" t="s">
        <v>17</v>
      </c>
      <c r="G260" s="1">
        <v>1900902.0</v>
      </c>
      <c r="I260" s="76" t="str">
        <f>IFERROR(__xludf.DUMMYFUNCTION("XLOOKUP(B260,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0)"),"https://www.synapse.org/#!Synapse:syn51156910/wiki/622556")</f>
        <v>https://www.synapse.org/#!Synapse:syn51156910/wiki/622556</v>
      </c>
      <c r="J260" s="17" t="str">
        <f t="shared" si="20"/>
        <v>MRI</v>
      </c>
    </row>
    <row r="261">
      <c r="A261" s="1" t="s">
        <v>1319</v>
      </c>
      <c r="B261" s="1" t="s">
        <v>1319</v>
      </c>
      <c r="C261" s="1" t="s">
        <v>301</v>
      </c>
      <c r="D261" s="1" t="s">
        <v>603</v>
      </c>
      <c r="E261" s="1" t="s">
        <v>31</v>
      </c>
      <c r="F261" s="1" t="s">
        <v>31</v>
      </c>
      <c r="G261" s="1">
        <v>1456340.0</v>
      </c>
      <c r="H261" s="1">
        <v>10000.0</v>
      </c>
      <c r="I261" s="76" t="str">
        <f>IFERROR(__xludf.DUMMYFUNCTION("XLOOKUP(B261,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0)"),"https://stoic2021.grand-challenge.org")</f>
        <v>https://stoic2021.grand-challenge.org</v>
      </c>
      <c r="J261" s="17" t="str">
        <f t="shared" si="20"/>
        <v>CT</v>
      </c>
    </row>
    <row r="262">
      <c r="A262" s="1" t="s">
        <v>1377</v>
      </c>
      <c r="B262" s="1" t="s">
        <v>246</v>
      </c>
      <c r="C262" s="1" t="s">
        <v>640</v>
      </c>
      <c r="D262" s="1" t="s">
        <v>17</v>
      </c>
      <c r="E262" s="1" t="s">
        <v>17</v>
      </c>
      <c r="F262" s="1" t="s">
        <v>17</v>
      </c>
      <c r="G262" s="1">
        <v>131665.0</v>
      </c>
      <c r="H262" s="1"/>
      <c r="I262" s="11" t="s">
        <v>1760</v>
      </c>
      <c r="J262" s="17" t="str">
        <f t="shared" si="20"/>
        <v>MRI</v>
      </c>
    </row>
    <row r="263">
      <c r="A263" s="1" t="s">
        <v>1239</v>
      </c>
      <c r="B263" s="1" t="s">
        <v>1239</v>
      </c>
      <c r="C263" s="1" t="s">
        <v>301</v>
      </c>
      <c r="D263" s="1" t="s">
        <v>603</v>
      </c>
      <c r="E263" s="1" t="s">
        <v>31</v>
      </c>
      <c r="F263" s="1" t="s">
        <v>31</v>
      </c>
      <c r="G263" s="1">
        <v>39103.0</v>
      </c>
      <c r="H263" s="1">
        <v>55.0</v>
      </c>
      <c r="I263" s="76" t="str">
        <f>IFERROR(__xludf.DUMMYFUNCTION("XLOOKUP(B263,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0)"),"https://lola11.grand-challenge.org/")</f>
        <v>https://lola11.grand-challenge.org/</v>
      </c>
      <c r="J263" s="17" t="str">
        <f t="shared" si="20"/>
        <v>CT</v>
      </c>
    </row>
    <row r="264">
      <c r="A264" s="1" t="s">
        <v>1385</v>
      </c>
      <c r="B264" s="1" t="s">
        <v>1385</v>
      </c>
      <c r="C264" s="1" t="s">
        <v>977</v>
      </c>
      <c r="D264" s="1" t="s">
        <v>1405</v>
      </c>
      <c r="E264" s="1" t="s">
        <v>31</v>
      </c>
      <c r="F264" s="1" t="s">
        <v>31</v>
      </c>
      <c r="G264" s="1">
        <v>9956.0</v>
      </c>
      <c r="I264" s="76" t="str">
        <f>IFERROR(__xludf.DUMMYFUNCTION("XLOOKUP(B264,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0)"),"https://lit.fe.uni-lj.si/en/research/resources/lumbar-CT-vertebrae")</f>
        <v>https://lit.fe.uni-lj.si/en/research/resources/lumbar-CT-vertebrae</v>
      </c>
      <c r="J264" s="17" t="str">
        <f t="shared" si="20"/>
        <v>CT</v>
      </c>
    </row>
    <row r="265">
      <c r="A265" s="1" t="s">
        <v>1759</v>
      </c>
      <c r="B265" s="1" t="s">
        <v>1759</v>
      </c>
      <c r="C265" s="1" t="s">
        <v>61</v>
      </c>
      <c r="D265" s="1" t="s">
        <v>1761</v>
      </c>
      <c r="E265" s="1" t="s">
        <v>91</v>
      </c>
      <c r="F265" s="1" t="s">
        <v>61</v>
      </c>
      <c r="G265" s="1">
        <v>5051.0</v>
      </c>
      <c r="H265" s="1">
        <v>5086.0</v>
      </c>
      <c r="I265" s="76" t="str">
        <f>IFERROR(__xludf.DUMMYFUNCTION("XLOOKUP(B265,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0)"),"https://www.bracs.icar.cnr.it/")</f>
        <v>https://www.bracs.icar.cnr.it/</v>
      </c>
      <c r="J265" s="17" t="str">
        <f t="shared" si="20"/>
        <v>Pathology</v>
      </c>
    </row>
    <row r="266">
      <c r="A266" s="1" t="s">
        <v>1357</v>
      </c>
      <c r="B266" s="1" t="s">
        <v>1762</v>
      </c>
      <c r="C266" s="1" t="s">
        <v>120</v>
      </c>
      <c r="D266" s="1" t="s">
        <v>120</v>
      </c>
      <c r="E266" s="1" t="s">
        <v>1763</v>
      </c>
      <c r="F266" s="1" t="s">
        <v>31</v>
      </c>
      <c r="G266" s="1">
        <v>177775.0</v>
      </c>
      <c r="H266" s="1">
        <v>1119.0</v>
      </c>
      <c r="I266" s="76" t="str">
        <f>IFERROR(__xludf.DUMMYFUNCTION("XLOOKUP(B266,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0)"),"https://autopet.grand-challenge.org/")</f>
        <v>https://autopet.grand-challenge.org/</v>
      </c>
      <c r="J266" s="1" t="s">
        <v>196</v>
      </c>
    </row>
    <row r="267">
      <c r="A267" s="1" t="s">
        <v>1247</v>
      </c>
      <c r="B267" s="1" t="s">
        <v>1247</v>
      </c>
      <c r="C267" s="1" t="s">
        <v>120</v>
      </c>
      <c r="D267" s="1" t="s">
        <v>1671</v>
      </c>
      <c r="E267" s="1" t="s">
        <v>31</v>
      </c>
      <c r="F267" s="1" t="s">
        <v>31</v>
      </c>
      <c r="G267" s="1">
        <v>14565.0</v>
      </c>
      <c r="H267" s="1">
        <v>15.0</v>
      </c>
      <c r="I267" s="76" t="str">
        <f>IFERROR(__xludf.DUMMYFUNCTION("XLOOKUP(B267,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0)"),"https://huggingface.co/datasets/andreped/LyNoS")</f>
        <v>https://huggingface.co/datasets/andreped/LyNoS</v>
      </c>
      <c r="J267" s="17" t="str">
        <f t="shared" ref="J267:J269" si="21">IF(OR(F267="MRI", F267="Ultrasound", F267="Endoscopy", F267="Dermoscopy", F267="Fundus", F267="OCTA", F267="OCT"), F267, IF(OR(E267="Microscopy", E267="Histopathology", E267="Pathology", E267="CT", E267="PET", E267="X-Ray", E267="Mammography"), E267, ""))</f>
        <v>CT</v>
      </c>
    </row>
    <row r="268">
      <c r="A268" s="1" t="s">
        <v>1184</v>
      </c>
      <c r="B268" s="1" t="s">
        <v>1184</v>
      </c>
      <c r="C268" s="1" t="s">
        <v>120</v>
      </c>
      <c r="D268" s="1" t="s">
        <v>120</v>
      </c>
      <c r="E268" s="1" t="s">
        <v>31</v>
      </c>
      <c r="F268" s="1" t="s">
        <v>31</v>
      </c>
      <c r="G268" s="1">
        <v>95396.0</v>
      </c>
      <c r="I268" s="76" t="str">
        <f>IFERROR(__xludf.DUMMYFUNCTION("XLOOKUP(B268,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0)"),"https://github.com/bbrister/ctOrganSegmentation")</f>
        <v>https://github.com/bbrister/ctOrganSegmentation</v>
      </c>
      <c r="J268" s="17" t="str">
        <f t="shared" si="21"/>
        <v>CT</v>
      </c>
    </row>
    <row r="269">
      <c r="A269" s="1" t="s">
        <v>1308</v>
      </c>
      <c r="B269" s="1" t="s">
        <v>1308</v>
      </c>
      <c r="C269" s="1" t="s">
        <v>977</v>
      </c>
      <c r="D269" s="1" t="s">
        <v>994</v>
      </c>
      <c r="E269" s="1" t="s">
        <v>17</v>
      </c>
      <c r="F269" s="1" t="s">
        <v>17</v>
      </c>
      <c r="G269" s="1">
        <v>83421.0</v>
      </c>
      <c r="H269" s="1">
        <v>155.0</v>
      </c>
      <c r="I269" s="76" t="str">
        <f>IFERROR(__xludf.DUMMYFUNCTION("XLOOKUP(B269,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0)"),"https://github.com/StanfordMIMI/skm-tea")</f>
        <v>https://github.com/StanfordMIMI/skm-tea</v>
      </c>
      <c r="J269" s="17" t="str">
        <f t="shared" si="21"/>
        <v>MRI</v>
      </c>
    </row>
    <row r="270">
      <c r="A270" s="81" t="s">
        <v>1764</v>
      </c>
      <c r="B270" s="1" t="s">
        <v>1765</v>
      </c>
      <c r="C270" s="1" t="s">
        <v>366</v>
      </c>
      <c r="D270" s="1" t="s">
        <v>366</v>
      </c>
      <c r="E270" s="1" t="s">
        <v>836</v>
      </c>
      <c r="F270" s="46" t="s">
        <v>61</v>
      </c>
      <c r="G270" s="46">
        <v>21.0</v>
      </c>
      <c r="H270" s="46">
        <v>21.0</v>
      </c>
      <c r="I270" s="76" t="str">
        <f>IFERROR(__xludf.DUMMYFUNCTION("XLOOKUP(B270,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0)"),"https://github.com/DeepMicroscopy/MITOS_WSI_CMC")</f>
        <v>https://github.com/DeepMicroscopy/MITOS_WSI_CMC</v>
      </c>
      <c r="J270" s="1" t="s">
        <v>147</v>
      </c>
    </row>
    <row r="271">
      <c r="A271" s="1" t="s">
        <v>1343</v>
      </c>
      <c r="B271" s="1" t="s">
        <v>1766</v>
      </c>
      <c r="C271" s="1" t="s">
        <v>246</v>
      </c>
      <c r="D271" s="1" t="s">
        <v>246</v>
      </c>
      <c r="E271" s="1" t="s">
        <v>1767</v>
      </c>
      <c r="F271" s="1" t="s">
        <v>17</v>
      </c>
      <c r="G271" s="1">
        <v>4839.0</v>
      </c>
      <c r="H271" s="1">
        <v>360.0</v>
      </c>
      <c r="I271" s="76" t="str">
        <f>IFERROR(__xludf.DUMMYFUNCTION("XLOOKUP(B271,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0)"),"http://fcon_1000.projects.nitrc.org/indi/pro/unam_barrios_hypnosis_index.html")</f>
        <v>http://fcon_1000.projects.nitrc.org/indi/pro/unam_barrios_hypnosis_index.html</v>
      </c>
      <c r="J271" s="17" t="str">
        <f t="shared" ref="J271:J279" si="22">IF(OR(F271="MRI", F271="Ultrasound", F271="Endoscopy", F271="Dermoscopy", F271="Fundus", F271="OCTA", F271="OCT"), F271, IF(OR(E271="Microscopy", E271="Histopathology", E271="Pathology", E271="CT", E271="PET", E271="X-Ray", E271="Mammography"), E271, ""))</f>
        <v>MRI</v>
      </c>
    </row>
    <row r="272">
      <c r="A272" s="46" t="s">
        <v>1339</v>
      </c>
      <c r="B272" s="1" t="s">
        <v>1768</v>
      </c>
      <c r="C272" s="1" t="s">
        <v>246</v>
      </c>
      <c r="D272" s="1" t="s">
        <v>246</v>
      </c>
      <c r="E272" s="1" t="s">
        <v>1769</v>
      </c>
      <c r="F272" s="46" t="s">
        <v>17</v>
      </c>
      <c r="G272" s="46">
        <v>2243688.0</v>
      </c>
      <c r="H272" s="1">
        <v>10000.0</v>
      </c>
      <c r="I272" s="76" t="str">
        <f>IFERROR(__xludf.DUMMYFUNCTION("XLOOKUP(B272,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0)"),"https://trackrad2025.grand-challenge.org")</f>
        <v>https://trackrad2025.grand-challenge.org</v>
      </c>
      <c r="J272" s="17" t="str">
        <f t="shared" si="22"/>
        <v>MRI</v>
      </c>
    </row>
    <row r="273">
      <c r="A273" s="1" t="s">
        <v>1401</v>
      </c>
      <c r="B273" s="1" t="s">
        <v>1770</v>
      </c>
      <c r="C273" s="1" t="s">
        <v>246</v>
      </c>
      <c r="D273" s="1" t="s">
        <v>246</v>
      </c>
      <c r="E273" s="1" t="s">
        <v>1771</v>
      </c>
      <c r="F273" s="1" t="s">
        <v>17</v>
      </c>
      <c r="G273" s="1">
        <v>590255.0</v>
      </c>
      <c r="I273" s="76" t="str">
        <f>IFERROR(__xludf.DUMMYFUNCTION("XLOOKUP(B273,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0)"),"https://www.studyforrest.org")</f>
        <v>https://www.studyforrest.org</v>
      </c>
      <c r="J273" s="17" t="str">
        <f t="shared" si="22"/>
        <v>MRI</v>
      </c>
    </row>
    <row r="274">
      <c r="A274" s="1" t="s">
        <v>1294</v>
      </c>
      <c r="B274" s="1" t="s">
        <v>1772</v>
      </c>
      <c r="C274" s="1" t="s">
        <v>246</v>
      </c>
      <c r="D274" s="1" t="s">
        <v>246</v>
      </c>
      <c r="E274" s="1" t="s">
        <v>1773</v>
      </c>
      <c r="F274" s="1" t="s">
        <v>17</v>
      </c>
      <c r="G274" s="1">
        <v>29102.0</v>
      </c>
      <c r="H274" s="1">
        <v>83.0</v>
      </c>
      <c r="I274" s="76" t="str">
        <f>IFERROR(__xludf.DUMMYFUNCTION("XLOOKUP(B274,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0)"),"http://fcon_1000.projects.nitrc.org/indi/retro/parkinsons.html")</f>
        <v>http://fcon_1000.projects.nitrc.org/indi/retro/parkinsons.html</v>
      </c>
      <c r="J274" s="17" t="str">
        <f t="shared" si="22"/>
        <v>MRI</v>
      </c>
    </row>
    <row r="275">
      <c r="A275" s="1" t="s">
        <v>1288</v>
      </c>
      <c r="B275" s="1" t="s">
        <v>1288</v>
      </c>
      <c r="C275" s="1" t="s">
        <v>246</v>
      </c>
      <c r="D275" s="1" t="s">
        <v>246</v>
      </c>
      <c r="E275" s="1" t="s">
        <v>1774</v>
      </c>
      <c r="F275" s="1" t="s">
        <v>17</v>
      </c>
      <c r="G275" s="1">
        <v>2059610.0</v>
      </c>
      <c r="H275" s="1">
        <v>717.0</v>
      </c>
      <c r="I275" s="76" t="str">
        <f>IFERROR(__xludf.DUMMYFUNCTION("XLOOKUP(B275,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0)"),"http://fcon_1000.projects.nitrc.org/indi/indiPRIME.html")</f>
        <v>http://fcon_1000.projects.nitrc.org/indi/indiPRIME.html</v>
      </c>
      <c r="J275" s="17" t="str">
        <f t="shared" si="22"/>
        <v>MRI</v>
      </c>
    </row>
    <row r="276">
      <c r="A276" s="1" t="s">
        <v>1137</v>
      </c>
      <c r="B276" s="1" t="s">
        <v>1137</v>
      </c>
      <c r="C276" s="1" t="s">
        <v>246</v>
      </c>
      <c r="D276" s="1" t="s">
        <v>246</v>
      </c>
      <c r="E276" s="1" t="s">
        <v>17</v>
      </c>
      <c r="F276" s="1" t="s">
        <v>17</v>
      </c>
      <c r="G276" s="1">
        <v>4282332.0</v>
      </c>
      <c r="H276" s="1">
        <v>1370.0</v>
      </c>
      <c r="I276" s="76" t="str">
        <f>IFERROR(__xludf.DUMMYFUNCTION("XLOOKUP(B276,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0)"),"https://nilab-uva.github.io/AOMIC.github.io")</f>
        <v>https://nilab-uva.github.io/AOMIC.github.io</v>
      </c>
      <c r="J276" s="17" t="str">
        <f t="shared" si="22"/>
        <v>MRI</v>
      </c>
    </row>
    <row r="277">
      <c r="A277" s="1" t="s">
        <v>1226</v>
      </c>
      <c r="B277" s="1" t="s">
        <v>1775</v>
      </c>
      <c r="C277" s="1" t="s">
        <v>246</v>
      </c>
      <c r="D277" s="1" t="s">
        <v>246</v>
      </c>
      <c r="E277" s="1" t="s">
        <v>1441</v>
      </c>
      <c r="F277" s="1" t="s">
        <v>17</v>
      </c>
      <c r="G277" s="1">
        <v>1080645.0</v>
      </c>
      <c r="H277" s="1">
        <v>1381.0</v>
      </c>
      <c r="I277" s="76" t="str">
        <f>IFERROR(__xludf.DUMMYFUNCTION("XLOOKUP(B277,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0)"),"https://codalab.lisn.upsaclay.fr/competitions/7583")</f>
        <v>https://codalab.lisn.upsaclay.fr/competitions/7583</v>
      </c>
      <c r="J277" s="17" t="str">
        <f t="shared" si="22"/>
        <v>MRI</v>
      </c>
    </row>
    <row r="278">
      <c r="A278" s="1" t="s">
        <v>1160</v>
      </c>
      <c r="B278" s="1" t="s">
        <v>1160</v>
      </c>
      <c r="C278" s="1" t="s">
        <v>246</v>
      </c>
      <c r="D278" s="1" t="s">
        <v>246</v>
      </c>
      <c r="E278" s="1" t="s">
        <v>1455</v>
      </c>
      <c r="F278" s="1" t="s">
        <v>17</v>
      </c>
      <c r="G278" s="1">
        <v>140748.0</v>
      </c>
      <c r="H278" s="1">
        <v>156.0</v>
      </c>
      <c r="I278" s="76" t="str">
        <f>IFERROR(__xludf.DUMMYFUNCTION("XLOOKUP(B278,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0)"),"https://aimi.stanford.edu/brainmetshare")</f>
        <v>https://aimi.stanford.edu/brainmetshare</v>
      </c>
      <c r="J278" s="17" t="str">
        <f t="shared" si="22"/>
        <v>MRI</v>
      </c>
    </row>
    <row r="279">
      <c r="A279" s="1" t="s">
        <v>1194</v>
      </c>
      <c r="B279" s="1" t="s">
        <v>1778</v>
      </c>
      <c r="C279" s="1" t="s">
        <v>246</v>
      </c>
      <c r="D279" s="1" t="s">
        <v>246</v>
      </c>
      <c r="E279" s="1" t="s">
        <v>1461</v>
      </c>
      <c r="F279" s="65" t="s">
        <v>17</v>
      </c>
      <c r="G279" s="65">
        <v>255736.0</v>
      </c>
      <c r="H279" s="1">
        <v>359.0</v>
      </c>
      <c r="I279" s="11" t="s">
        <v>1779</v>
      </c>
      <c r="J279" s="17" t="str">
        <f t="shared" si="22"/>
        <v>MRI</v>
      </c>
    </row>
    <row r="280">
      <c r="A280" s="1" t="s">
        <v>1780</v>
      </c>
      <c r="B280" s="1" t="s">
        <v>1781</v>
      </c>
      <c r="C280" s="1" t="s">
        <v>246</v>
      </c>
      <c r="D280" s="1" t="s">
        <v>246</v>
      </c>
      <c r="E280" s="1" t="s">
        <v>1782</v>
      </c>
      <c r="F280" s="1" t="s">
        <v>61</v>
      </c>
      <c r="G280" s="1">
        <v>200.0</v>
      </c>
      <c r="H280" s="1">
        <v>200.0</v>
      </c>
      <c r="I280" s="76" t="str">
        <f>IFERROR(__xludf.DUMMYFUNCTION("XLOOKUP(B280,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0)"),"https://www.cancerimagingarchive.net/collection/cptac-gbm")</f>
        <v>https://www.cancerimagingarchive.net/collection/cptac-gbm</v>
      </c>
      <c r="J280" s="1" t="s">
        <v>147</v>
      </c>
    </row>
    <row r="281">
      <c r="A281" s="1" t="s">
        <v>1266</v>
      </c>
      <c r="B281" s="1" t="s">
        <v>1266</v>
      </c>
      <c r="C281" s="1" t="s">
        <v>246</v>
      </c>
      <c r="D281" s="1" t="s">
        <v>246</v>
      </c>
      <c r="E281" s="1" t="s">
        <v>1783</v>
      </c>
      <c r="F281" s="1" t="s">
        <v>17</v>
      </c>
      <c r="G281" s="1">
        <v>85441.0</v>
      </c>
      <c r="I281" s="76" t="str">
        <f>IFERROR(__xludf.DUMMYFUNCTION("XLOOKUP(B281,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0)"),"https://mrbrains18.isi.uu.nl/")</f>
        <v>https://mrbrains18.isi.uu.nl/</v>
      </c>
      <c r="J281" s="17" t="str">
        <f t="shared" ref="J281:J282" si="23">IF(OR(F281="MRI", F281="Ultrasound", F281="Endoscopy", F281="Dermoscopy", F281="Fundus", F281="OCTA", F281="OCT"), F281, IF(OR(E281="Microscopy", E281="Histopathology", E281="Pathology", E281="CT", E281="PET", E281="X-Ray", E281="Mammography"), E281, ""))</f>
        <v>MRI</v>
      </c>
    </row>
    <row r="282">
      <c r="A282" s="1" t="s">
        <v>1365</v>
      </c>
      <c r="B282" s="1" t="s">
        <v>1784</v>
      </c>
      <c r="C282" s="1" t="s">
        <v>246</v>
      </c>
      <c r="D282" s="1" t="s">
        <v>246</v>
      </c>
      <c r="E282" s="1" t="s">
        <v>1785</v>
      </c>
      <c r="F282" s="1" t="s">
        <v>17</v>
      </c>
      <c r="G282" s="1">
        <v>1391783.0</v>
      </c>
      <c r="H282" s="1">
        <v>228.0</v>
      </c>
      <c r="I282" s="76" t="str">
        <f>IFERROR(__xludf.DUMMYFUNCTION("XLOOKUP(B282,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0)"),"http://fcon_1000.projects.nitrc.org/indi/retro/MPI_LEMON.html")</f>
        <v>http://fcon_1000.projects.nitrc.org/indi/retro/MPI_LEMON.html</v>
      </c>
      <c r="J282" s="17" t="str">
        <f t="shared" si="23"/>
        <v>MRI</v>
      </c>
    </row>
    <row r="283">
      <c r="A283" s="82" t="s">
        <v>1131</v>
      </c>
      <c r="B283" s="1" t="s">
        <v>1786</v>
      </c>
      <c r="C283" s="1" t="s">
        <v>301</v>
      </c>
      <c r="D283" s="1" t="s">
        <v>544</v>
      </c>
      <c r="E283" s="1" t="s">
        <v>1546</v>
      </c>
      <c r="F283" s="65" t="s">
        <v>31</v>
      </c>
      <c r="G283" s="77">
        <v>2410775.0</v>
      </c>
      <c r="H283" s="75">
        <v>688598.0</v>
      </c>
      <c r="I283" s="76" t="str">
        <f>IFERROR(__xludf.DUMMYFUNCTION("XLOOKUP(B283,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0)"),"https://www.cancerimagingarchive.net/collection/acrin-flt-breast")</f>
        <v>https://www.cancerimagingarchive.net/collection/acrin-flt-breast</v>
      </c>
      <c r="J283" s="1" t="s">
        <v>196</v>
      </c>
    </row>
    <row r="284">
      <c r="A284" s="82" t="s">
        <v>1789</v>
      </c>
      <c r="B284" s="1" t="s">
        <v>1789</v>
      </c>
      <c r="C284" s="1" t="s">
        <v>301</v>
      </c>
      <c r="D284" s="1" t="s">
        <v>603</v>
      </c>
      <c r="E284" s="1" t="s">
        <v>1790</v>
      </c>
      <c r="F284" s="66" t="s">
        <v>81</v>
      </c>
      <c r="G284" s="77">
        <v>192.0</v>
      </c>
      <c r="H284" s="77">
        <v>192.0</v>
      </c>
      <c r="I284" s="76" t="str">
        <f>IFERROR(__xludf.DUMMYFUNCTION("XLOOKUP(B284,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0)"),"https://brixia.github.io")</f>
        <v>https://brixia.github.io</v>
      </c>
      <c r="J284" s="1" t="s">
        <v>75</v>
      </c>
    </row>
    <row r="285">
      <c r="A285" s="82" t="s">
        <v>1791</v>
      </c>
      <c r="B285" s="1" t="s">
        <v>1792</v>
      </c>
      <c r="C285" s="1" t="s">
        <v>301</v>
      </c>
      <c r="D285" s="1" t="s">
        <v>603</v>
      </c>
      <c r="E285" s="1" t="s">
        <v>1793</v>
      </c>
      <c r="F285" s="66" t="s">
        <v>81</v>
      </c>
      <c r="G285" s="77">
        <v>933.0</v>
      </c>
      <c r="H285" s="77">
        <v>933.0</v>
      </c>
      <c r="I285" s="76" t="str">
        <f>IFERROR(__xludf.DUMMYFUNCTION("XLOOKUP(B285,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0)"),"https://github.com/ieee8023/covid-chestxray-dataset")</f>
        <v>https://github.com/ieee8023/covid-chestxray-dataset</v>
      </c>
      <c r="J285" s="1" t="s">
        <v>75</v>
      </c>
    </row>
    <row r="286">
      <c r="A286" s="82" t="s">
        <v>1794</v>
      </c>
      <c r="B286" s="1" t="s">
        <v>1795</v>
      </c>
      <c r="C286" s="1" t="s">
        <v>744</v>
      </c>
      <c r="D286" s="1" t="s">
        <v>941</v>
      </c>
      <c r="E286" s="1" t="s">
        <v>1796</v>
      </c>
      <c r="F286" s="66" t="s">
        <v>100</v>
      </c>
      <c r="G286" s="77">
        <v>40.0</v>
      </c>
      <c r="H286" s="77">
        <v>40.0</v>
      </c>
      <c r="I286" s="76" t="str">
        <f>IFERROR(__xludf.DUMMYFUNCTION("XLOOKUP(B286,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0)"),"https://www.kaggle.com/c/sai-vessel-segmentation2")</f>
        <v>https://www.kaggle.com/c/sai-vessel-segmentation2</v>
      </c>
      <c r="J286" s="17" t="str">
        <f>IF(OR(F286="MRI", F286="Ultrasound", F286="Endoscopy", F286="Dermoscopy", F286="Fundus", F286="OCTA", F286="OCT"), F286, IF(OR(E286="Microscopy", E286="Histopathology", E286="Pathology", E286="CT", E286="PET", E286="X-Ray", E286="Mammography"), E286, ""))</f>
        <v>Fundus</v>
      </c>
    </row>
    <row r="287">
      <c r="A287" s="82" t="s">
        <v>1799</v>
      </c>
      <c r="B287" s="1" t="s">
        <v>1800</v>
      </c>
      <c r="C287" s="1" t="s">
        <v>366</v>
      </c>
      <c r="D287" s="1" t="s">
        <v>366</v>
      </c>
      <c r="E287" s="1" t="s">
        <v>1801</v>
      </c>
      <c r="F287" s="66" t="s">
        <v>81</v>
      </c>
      <c r="G287" s="77">
        <v>5856.0</v>
      </c>
      <c r="H287" s="77">
        <v>5856.0</v>
      </c>
      <c r="I287" s="76" t="str">
        <f>IFERROR(__xludf.DUMMYFUNCTION("XLOOKUP(B287,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0)"),"https://data.mendeley.com/datasets/rscbjbr9sj/2")</f>
        <v>https://data.mendeley.com/datasets/rscbjbr9sj/2</v>
      </c>
      <c r="J287" s="1" t="s">
        <v>75</v>
      </c>
    </row>
    <row r="288">
      <c r="A288" s="82" t="s">
        <v>1179</v>
      </c>
      <c r="B288" s="1" t="s">
        <v>1179</v>
      </c>
      <c r="C288" s="1" t="s">
        <v>366</v>
      </c>
      <c r="D288" s="1" t="s">
        <v>366</v>
      </c>
      <c r="E288" s="1" t="s">
        <v>1802</v>
      </c>
      <c r="F288" s="65" t="s">
        <v>31</v>
      </c>
      <c r="G288" s="77">
        <v>32892.0</v>
      </c>
      <c r="H288" s="77">
        <v>32892.0</v>
      </c>
      <c r="I288" s="76" t="str">
        <f>IFERROR(__xludf.DUMMYFUNCTION("XLOOKUP(B288,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0)"),"https://www.cancerimagingarchive.net/collection/cptac-sar")</f>
        <v>https://www.cancerimagingarchive.net/collection/cptac-sar</v>
      </c>
      <c r="J288" s="1" t="s">
        <v>31</v>
      </c>
    </row>
    <row r="289">
      <c r="A289" s="1" t="s">
        <v>1370</v>
      </c>
      <c r="B289" s="1" t="s">
        <v>1803</v>
      </c>
      <c r="C289" s="1" t="s">
        <v>246</v>
      </c>
      <c r="D289" s="1" t="s">
        <v>246</v>
      </c>
      <c r="E289" s="1" t="s">
        <v>17</v>
      </c>
      <c r="F289" s="1" t="s">
        <v>17</v>
      </c>
      <c r="G289" s="1">
        <v>3841263.0</v>
      </c>
      <c r="H289" s="39">
        <v>50000.0</v>
      </c>
      <c r="I289" s="16" t="s">
        <v>1804</v>
      </c>
      <c r="J289" s="17" t="str">
        <f t="shared" ref="J289:J300" si="24">IF(OR(F289="MRI", F289="Ultrasound", F289="Endoscopy", F289="Dermoscopy", F289="Fundus", F289="OCTA", F289="OCT"), F289, IF(OR(E289="Microscopy", E289="Histopathology", E289="Pathology", E289="CT", E289="PET", E289="X-Ray", E289="Mammography"), E289, ""))</f>
        <v>MRI</v>
      </c>
    </row>
    <row r="290">
      <c r="A290" s="1" t="s">
        <v>1177</v>
      </c>
      <c r="B290" s="1" t="s">
        <v>1177</v>
      </c>
      <c r="C290" s="1" t="s">
        <v>301</v>
      </c>
      <c r="D290" s="1" t="s">
        <v>603</v>
      </c>
      <c r="E290" s="1" t="s">
        <v>31</v>
      </c>
      <c r="F290" s="1" t="s">
        <v>31</v>
      </c>
      <c r="G290" s="1">
        <v>13071.0</v>
      </c>
      <c r="H290" s="1">
        <v>295.0</v>
      </c>
      <c r="I290" s="76" t="str">
        <f>IFERROR(__xludf.DUMMYFUNCTION("XLOOKUP(B290,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0)"),"https://covid-segmentation.grand-challenge.org")</f>
        <v>https://covid-segmentation.grand-challenge.org</v>
      </c>
      <c r="J290" s="17" t="str">
        <f t="shared" si="24"/>
        <v>CT</v>
      </c>
    </row>
    <row r="291">
      <c r="A291" s="1" t="s">
        <v>1268</v>
      </c>
      <c r="B291" s="1" t="s">
        <v>1268</v>
      </c>
      <c r="C291" s="1" t="s">
        <v>246</v>
      </c>
      <c r="D291" s="1" t="s">
        <v>246</v>
      </c>
      <c r="E291" s="1" t="s">
        <v>17</v>
      </c>
      <c r="F291" s="1" t="s">
        <v>17</v>
      </c>
      <c r="G291" s="1">
        <v>26028.0</v>
      </c>
      <c r="I291" s="76" t="str">
        <f>IFERROR(__xludf.DUMMYFUNCTION("XLOOKUP(B291,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0)"),"https://mrbrains13.isi.uu.nl/index.html")</f>
        <v>https://mrbrains13.isi.uu.nl/index.html</v>
      </c>
      <c r="J291" s="17" t="str">
        <f t="shared" si="24"/>
        <v>MRI</v>
      </c>
    </row>
    <row r="292">
      <c r="A292" s="1" t="s">
        <v>1805</v>
      </c>
      <c r="B292" s="1" t="s">
        <v>1805</v>
      </c>
      <c r="C292" s="1" t="s">
        <v>246</v>
      </c>
      <c r="D292" s="1" t="s">
        <v>640</v>
      </c>
      <c r="E292" s="1" t="s">
        <v>31</v>
      </c>
      <c r="F292" s="1" t="s">
        <v>31</v>
      </c>
      <c r="G292" s="1">
        <v>139115.0</v>
      </c>
      <c r="I292" s="76" t="str">
        <f>IFERROR(__xludf.DUMMYFUNCTION("XLOOKUP(B292,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0)"),"https://toothfairy.grand-challenge.org/toothfairy/")</f>
        <v>https://toothfairy.grand-challenge.org/toothfairy/</v>
      </c>
      <c r="J292" s="17" t="str">
        <f t="shared" si="24"/>
        <v>CT</v>
      </c>
    </row>
    <row r="293">
      <c r="A293" s="1" t="s">
        <v>1321</v>
      </c>
      <c r="B293" s="1" t="s">
        <v>1806</v>
      </c>
      <c r="C293" s="1" t="s">
        <v>246</v>
      </c>
      <c r="D293" s="1" t="s">
        <v>644</v>
      </c>
      <c r="E293" s="1" t="s">
        <v>31</v>
      </c>
      <c r="F293" s="1" t="s">
        <v>31</v>
      </c>
      <c r="G293" s="1">
        <v>45116.0</v>
      </c>
      <c r="H293" s="1">
        <v>120.0</v>
      </c>
      <c r="I293" s="76" t="str">
        <f>IFERROR(__xludf.DUMMYFUNCTION("XLOOKUP(B293,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0)"),"https://segrap2023.grand-challenge.org/")</f>
        <v>https://segrap2023.grand-challenge.org/</v>
      </c>
      <c r="J293" s="17" t="str">
        <f t="shared" si="24"/>
        <v>CT</v>
      </c>
    </row>
    <row r="294">
      <c r="A294" s="1" t="s">
        <v>1807</v>
      </c>
      <c r="B294" s="1" t="s">
        <v>1808</v>
      </c>
      <c r="C294" s="1" t="s">
        <v>246</v>
      </c>
      <c r="D294" s="1" t="s">
        <v>657</v>
      </c>
      <c r="E294" s="1" t="s">
        <v>100</v>
      </c>
      <c r="F294" s="1" t="s">
        <v>100</v>
      </c>
      <c r="G294" s="1">
        <v>2549.0</v>
      </c>
      <c r="H294" s="1">
        <v>2549.0</v>
      </c>
      <c r="I294" s="76" t="str">
        <f>IFERROR(__xludf.DUMMYFUNCTION("XLOOKUP(B294,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0)"),"https://ipg.fer.hr/ipg/resources/image_database")</f>
        <v>https://ipg.fer.hr/ipg/resources/image_database</v>
      </c>
      <c r="J294" s="17" t="str">
        <f t="shared" si="24"/>
        <v>Fundus</v>
      </c>
    </row>
    <row r="295">
      <c r="A295" s="1" t="s">
        <v>1809</v>
      </c>
      <c r="B295" s="1" t="s">
        <v>1810</v>
      </c>
      <c r="C295" s="1" t="s">
        <v>280</v>
      </c>
      <c r="D295" s="1" t="s">
        <v>107</v>
      </c>
      <c r="E295" s="1" t="s">
        <v>107</v>
      </c>
      <c r="F295" s="1" t="s">
        <v>107</v>
      </c>
      <c r="G295" s="1">
        <v>190733.0</v>
      </c>
      <c r="H295" s="1">
        <v>160.0</v>
      </c>
      <c r="I295" s="76" t="str">
        <f>IFERROR(__xludf.DUMMYFUNCTION("XLOOKUP(B295,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0)"),"https://github.com/dashishi/LDPolypVideo-Benchmark")</f>
        <v>https://github.com/dashishi/LDPolypVideo-Benchmark</v>
      </c>
      <c r="J295" s="17" t="str">
        <f t="shared" si="24"/>
        <v>Endoscopy</v>
      </c>
    </row>
    <row r="296">
      <c r="J296" s="17" t="str">
        <f t="shared" si="24"/>
        <v/>
      </c>
    </row>
    <row r="297">
      <c r="J297" s="17" t="str">
        <f t="shared" si="24"/>
        <v/>
      </c>
    </row>
    <row r="298">
      <c r="J298" s="17" t="str">
        <f t="shared" si="24"/>
        <v/>
      </c>
    </row>
    <row r="299">
      <c r="J299" s="17" t="str">
        <f t="shared" si="24"/>
        <v/>
      </c>
    </row>
    <row r="300">
      <c r="J300" s="17" t="str">
        <f t="shared" si="24"/>
        <v/>
      </c>
    </row>
    <row r="301">
      <c r="A301" s="22" t="s">
        <v>251</v>
      </c>
      <c r="B301" s="1" t="str">
        <f>IFERROR(__xludf.DUMMYFUNCTION("XLOOKUP($A301,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0)"),"LDCT-and-Projection-data")</f>
        <v>LDCT-and-Projection-data</v>
      </c>
      <c r="C301" s="1" t="str">
        <f>IFERROR(__xludf.DUMMYFUNCTION("XLOOKUP($B301,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0)"),"Skin")</f>
        <v>Skin</v>
      </c>
      <c r="D301" s="1" t="str">
        <f>IFERROR(__xludf.DUMMYFUNCTION("XLOOKUP($B301,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0)"),"Skin")</f>
        <v>Skin</v>
      </c>
      <c r="E301" s="1" t="str">
        <f>IFERROR(__xludf.DUMMYFUNCTION("XLOOKUP($B301,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0)"),"CT &amp; Projection")</f>
        <v>CT &amp; Projection</v>
      </c>
      <c r="F301" s="22" t="s">
        <v>31</v>
      </c>
      <c r="G301" s="23">
        <v>8044937.0</v>
      </c>
      <c r="H301" s="1">
        <v>1.3013532E7</v>
      </c>
      <c r="I301" s="76" t="str">
        <f>IFERROR(__xludf.DUMMYFUNCTION("XLOOKUP(B301,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0)"),"https://www.cancerimagingarchive.net/collection/ldct-and-projection-data")</f>
        <v>https://www.cancerimagingarchive.net/collection/ldct-and-projection-data</v>
      </c>
      <c r="J301" s="1" t="s">
        <v>31</v>
      </c>
    </row>
    <row r="302">
      <c r="A302" s="14" t="s">
        <v>262</v>
      </c>
      <c r="B302" s="1" t="s">
        <v>262</v>
      </c>
      <c r="C302" s="1" t="str">
        <f>IFERROR(__xludf.DUMMYFUNCTION("XLOOKUP($B302,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0)"),"Brain")</f>
        <v>Brain</v>
      </c>
      <c r="D302" s="1" t="str">
        <f>IFERROR(__xludf.DUMMYFUNCTION("XLOOKUP($B302,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0)"),"Brain")</f>
        <v>Brain</v>
      </c>
      <c r="E302" s="1" t="str">
        <f>IFERROR(__xludf.DUMMYFUNCTION("XLOOKUP($B302,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0)"),"MRI")</f>
        <v>MRI</v>
      </c>
      <c r="F302" s="14" t="s">
        <v>17</v>
      </c>
      <c r="G302" s="25">
        <v>2323927.0</v>
      </c>
      <c r="H302" s="75">
        <v>12030.0</v>
      </c>
      <c r="I302" s="76" t="str">
        <f>IFERROR(__xludf.DUMMYFUNCTION("XLOOKUP(B302,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0)"),"https://www.cancerimagingarchive.net/collection/ucsf-pdgm/")</f>
        <v>https://www.cancerimagingarchive.net/collection/ucsf-pdgm/</v>
      </c>
      <c r="J302" s="17" t="str">
        <f t="shared" ref="J302:J308" si="25">IF(OR(F302="MRI", F302="Ultrasound", F302="Endoscopy", F302="Dermoscopy", F302="Fundus", F302="OCTA", F302="OCT"), F302, IF(OR(E302="Microscopy", E302="Histopathology", E302="Pathology", E302="CT", E302="PET", E302="X-Ray", E302="Mammography"), E302, ""))</f>
        <v>MRI</v>
      </c>
    </row>
    <row r="303">
      <c r="A303" s="2" t="s">
        <v>105</v>
      </c>
      <c r="B303" s="2" t="s">
        <v>105</v>
      </c>
      <c r="C303" s="1" t="s">
        <v>280</v>
      </c>
      <c r="D303" s="1" t="s">
        <v>107</v>
      </c>
      <c r="E303" s="6" t="s">
        <v>107</v>
      </c>
      <c r="F303" s="6" t="s">
        <v>107</v>
      </c>
      <c r="G303" s="7">
        <v>1831457.0</v>
      </c>
      <c r="H303" s="75">
        <v>33000.0</v>
      </c>
      <c r="I303" s="11" t="s">
        <v>1811</v>
      </c>
      <c r="J303" s="17" t="str">
        <f t="shared" si="25"/>
        <v>Endoscopy</v>
      </c>
    </row>
    <row r="304">
      <c r="A304" s="22" t="s">
        <v>236</v>
      </c>
      <c r="B304" s="1" t="s">
        <v>1812</v>
      </c>
      <c r="C304" s="1" t="str">
        <f>IFERROR(__xludf.DUMMYFUNCTION("XLOOKUP($B304,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0)"),"Chest")</f>
        <v>Chest</v>
      </c>
      <c r="D304" s="1" t="str">
        <f>IFERROR(__xludf.DUMMYFUNCTION("XLOOKUP($B304,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0)"),"Lungs")</f>
        <v>Lungs</v>
      </c>
      <c r="E304" s="1" t="str">
        <f>IFERROR(__xludf.DUMMYFUNCTION("XLOOKUP($B304,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0)"),"CT")</f>
        <v>CT</v>
      </c>
      <c r="F304" s="27" t="s">
        <v>31</v>
      </c>
      <c r="G304" s="28">
        <v>1468751.0</v>
      </c>
      <c r="H304" s="75">
        <v>1468751.0</v>
      </c>
      <c r="I304" s="76" t="str">
        <f>IFERROR(__xludf.DUMMYFUNCTION("XLOOKUP(B304,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0)"),"https://www.cancerimagingarchive.net/collection/phantom-fda")</f>
        <v>https://www.cancerimagingarchive.net/collection/phantom-fda</v>
      </c>
      <c r="J304" s="17" t="str">
        <f t="shared" si="25"/>
        <v>CT</v>
      </c>
    </row>
    <row r="305">
      <c r="A305" s="22" t="s">
        <v>277</v>
      </c>
      <c r="B305" s="1" t="str">
        <f>IFERROR(__xludf.DUMMYFUNCTION("XLOOKUP($A305,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0)"),"MPILMBB")</f>
        <v>MPILMBB</v>
      </c>
      <c r="C305" s="1" t="str">
        <f>IFERROR(__xludf.DUMMYFUNCTION("XLOOKUP($B305,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0)"),"Brain")</f>
        <v>Brain</v>
      </c>
      <c r="D305" s="1" t="str">
        <f>IFERROR(__xludf.DUMMYFUNCTION("XLOOKUP($B305,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0)"),"Brain")</f>
        <v>Brain</v>
      </c>
      <c r="E305" s="1" t="str">
        <f>IFERROR(__xludf.DUMMYFUNCTION("XLOOKUP($B305,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0)"),"MRI (T1 MP2RAGE, T2, FLAIR, SWI, DWI, resting-state fMRI)")</f>
        <v>MRI (T1 MP2RAGE, T2, FLAIR, SWI, DWI, resting-state fMRI)</v>
      </c>
      <c r="F305" s="22" t="s">
        <v>17</v>
      </c>
      <c r="G305" s="30">
        <v>1391255.0</v>
      </c>
      <c r="H305" s="1">
        <v>12000.0</v>
      </c>
      <c r="I305" s="76" t="str">
        <f>IFERROR(__xludf.DUMMYFUNCTION("XLOOKUP(B305,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0)"),"https://openneuro.org/datasets/ds000221")</f>
        <v>https://openneuro.org/datasets/ds000221</v>
      </c>
      <c r="J305" s="17" t="str">
        <f t="shared" si="25"/>
        <v>MRI</v>
      </c>
    </row>
    <row r="306">
      <c r="A306" s="14" t="s">
        <v>288</v>
      </c>
      <c r="B306" s="1" t="str">
        <f>IFERROR(__xludf.DUMMYFUNCTION("XLOOKUP($A306,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0)"),"Advanced-MRI-Breast-Lesions")</f>
        <v>Advanced-MRI-Breast-Lesions</v>
      </c>
      <c r="C306" s="1" t="str">
        <f>IFERROR(__xludf.DUMMYFUNCTION("XLOOKUP($B306,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0)"),"Chest")</f>
        <v>Chest</v>
      </c>
      <c r="D306" s="1" t="str">
        <f>IFERROR(__xludf.DUMMYFUNCTION("XLOOKUP($B306,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0)"),"Breast")</f>
        <v>Breast</v>
      </c>
      <c r="E306" s="1" t="str">
        <f>IFERROR(__xludf.DUMMYFUNCTION("XLOOKUP($B306,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0)"),"MRI (DCE)")</f>
        <v>MRI (DCE)</v>
      </c>
      <c r="F306" s="14" t="s">
        <v>17</v>
      </c>
      <c r="G306" s="25">
        <v>1259589.0</v>
      </c>
      <c r="H306" s="75">
        <v>1259688.0</v>
      </c>
      <c r="I306" s="76" t="str">
        <f>IFERROR(__xludf.DUMMYFUNCTION("XLOOKUP(B306,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0)"),"https://www.cancerimagingarchive.net/collection/advanced-mri-breast-lesions")</f>
        <v>https://www.cancerimagingarchive.net/collection/advanced-mri-breast-lesions</v>
      </c>
      <c r="J306" s="17" t="str">
        <f t="shared" si="25"/>
        <v>MRI</v>
      </c>
    </row>
    <row r="307">
      <c r="A307" s="14" t="s">
        <v>297</v>
      </c>
      <c r="B307" s="1" t="str">
        <f>IFERROR(__xludf.DUMMYFUNCTION("XLOOKUP($A307,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0)"),"The National CT Colonography Trial (ACRIN 6664)")</f>
        <v>The National CT Colonography Trial (ACRIN 6664)</v>
      </c>
      <c r="C307" s="1" t="str">
        <f>IFERROR(__xludf.DUMMYFUNCTION("XLOOKUP($B307,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0)"),"Abdomen")</f>
        <v>Abdomen</v>
      </c>
      <c r="D307" s="1" t="str">
        <f>IFERROR(__xludf.DUMMYFUNCTION("XLOOKUP($B307,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0)"),"Bowel")</f>
        <v>Bowel</v>
      </c>
      <c r="E307" s="1" t="str">
        <f>IFERROR(__xludf.DUMMYFUNCTION("XLOOKUP($B307,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0)"),"CT")</f>
        <v>CT</v>
      </c>
      <c r="F307" s="14" t="s">
        <v>31</v>
      </c>
      <c r="G307" s="25">
        <v>939871.0</v>
      </c>
      <c r="H307" s="75">
        <v>941771.0</v>
      </c>
      <c r="I307" s="76" t="str">
        <f>IFERROR(__xludf.DUMMYFUNCTION("XLOOKUP(B307,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0)"),"https://www.cancerimagingarchive.net/collection/ct-colonography")</f>
        <v>https://www.cancerimagingarchive.net/collection/ct-colonography</v>
      </c>
      <c r="J307" s="17" t="str">
        <f t="shared" si="25"/>
        <v>CT</v>
      </c>
    </row>
    <row r="308">
      <c r="A308" s="4" t="s">
        <v>131</v>
      </c>
      <c r="B308" s="79" t="s">
        <v>131</v>
      </c>
      <c r="C308" s="1" t="str">
        <f>IFERROR(__xludf.DUMMYFUNCTION("XLOOKUP($B308,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0)"),"Heart")</f>
        <v>Heart</v>
      </c>
      <c r="D308" s="1" t="str">
        <f>IFERROR(__xludf.DUMMYFUNCTION("XLOOKUP($B308,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0)"),"Heart")</f>
        <v>Heart</v>
      </c>
      <c r="E308" s="1" t="str">
        <f>IFERROR(__xludf.DUMMYFUNCTION("XLOOKUP($B308,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0)"),"Echo Videos")</f>
        <v>Echo Videos</v>
      </c>
      <c r="F308" s="12" t="s">
        <v>54</v>
      </c>
      <c r="G308" s="7">
        <v>882309.0</v>
      </c>
      <c r="H308" s="75">
        <v>10030.0</v>
      </c>
      <c r="I308" s="76" t="str">
        <f>IFERROR(__xludf.DUMMYFUNCTION("XLOOKUP(B308,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0)"),"https://echonet.github.io/dynamic/")</f>
        <v>https://echonet.github.io/dynamic/</v>
      </c>
      <c r="J308" s="17" t="str">
        <f t="shared" si="25"/>
        <v>Ultrasound</v>
      </c>
    </row>
    <row r="309">
      <c r="A309" s="22" t="s">
        <v>1816</v>
      </c>
      <c r="B309" s="31" t="s">
        <v>47</v>
      </c>
      <c r="C309" s="1" t="s">
        <v>120</v>
      </c>
      <c r="D309" s="1" t="s">
        <v>120</v>
      </c>
      <c r="E309" s="1" t="s">
        <v>17</v>
      </c>
      <c r="F309" s="27" t="s">
        <v>50</v>
      </c>
      <c r="G309" s="32">
        <v>672675.0</v>
      </c>
      <c r="H309" s="32">
        <v>672675.0</v>
      </c>
      <c r="I309" s="16" t="s">
        <v>1817</v>
      </c>
      <c r="J309" s="1" t="s">
        <v>17</v>
      </c>
    </row>
    <row r="310">
      <c r="A310" s="14" t="s">
        <v>59</v>
      </c>
      <c r="B310" s="14" t="s">
        <v>59</v>
      </c>
      <c r="C310" s="1" t="s">
        <v>120</v>
      </c>
      <c r="D310" s="1" t="s">
        <v>120</v>
      </c>
      <c r="E310" s="1" t="s">
        <v>147</v>
      </c>
      <c r="F310" s="6" t="s">
        <v>61</v>
      </c>
      <c r="G310" s="7">
        <v>653136.0</v>
      </c>
      <c r="H310" s="75">
        <v>768826.0</v>
      </c>
      <c r="I310" s="11" t="s">
        <v>329</v>
      </c>
      <c r="J310" s="17" t="str">
        <f t="shared" ref="J310:J313" si="26">IF(OR(F310="MRI", F310="Ultrasound", F310="Endoscopy", F310="Dermoscopy", F310="Fundus", F310="OCTA", F310="OCT"), F310, IF(OR(E310="Microscopy", E310="Histopathology", E310="Pathology", E310="CT", E310="PET", E310="X-Ray", E310="Mammography"), E310, ""))</f>
        <v>Histopathology</v>
      </c>
    </row>
    <row r="311">
      <c r="A311" s="4" t="s">
        <v>116</v>
      </c>
      <c r="B311" s="4" t="s">
        <v>116</v>
      </c>
      <c r="C311" s="1" t="s">
        <v>366</v>
      </c>
      <c r="D311" s="1" t="s">
        <v>366</v>
      </c>
      <c r="E311" s="1" t="s">
        <v>1818</v>
      </c>
      <c r="F311" s="19" t="s">
        <v>64</v>
      </c>
      <c r="G311" s="7">
        <v>537969.0</v>
      </c>
      <c r="H311" s="7">
        <v>537969.0</v>
      </c>
      <c r="I311" s="11" t="s">
        <v>1819</v>
      </c>
      <c r="J311" s="17" t="str">
        <f t="shared" si="26"/>
        <v>Dermoscopy</v>
      </c>
    </row>
    <row r="312">
      <c r="A312" s="2" t="s">
        <v>28</v>
      </c>
      <c r="B312" s="1" t="s">
        <v>1820</v>
      </c>
      <c r="C312" s="1" t="str">
        <f>IFERROR(__xludf.DUMMYFUNCTION("XLOOKUP($B312,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0)"),"Whole Body")</f>
        <v>Whole Body</v>
      </c>
      <c r="D312" s="1" t="str">
        <f>IFERROR(__xludf.DUMMYFUNCTION("XLOOKUP($B312,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0)"),"Whole Body")</f>
        <v>Whole Body</v>
      </c>
      <c r="E312" s="1" t="str">
        <f>IFERROR(__xludf.DUMMYFUNCTION("XLOOKUP($B312,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0)"),"CT")</f>
        <v>CT</v>
      </c>
      <c r="F312" s="6" t="s">
        <v>31</v>
      </c>
      <c r="G312" s="7">
        <v>480056.0</v>
      </c>
      <c r="I312" s="76" t="str">
        <f>IFERROR(__xludf.DUMMYFUNCTION("XLOOKUP(B312,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0)"),"https://uls23.grand-challenge.org/")</f>
        <v>https://uls23.grand-challenge.org/</v>
      </c>
      <c r="J312" s="17" t="str">
        <f t="shared" si="26"/>
        <v>CT</v>
      </c>
    </row>
    <row r="313">
      <c r="A313" s="14" t="s">
        <v>269</v>
      </c>
      <c r="B313" s="1" t="str">
        <f>IFERROR(__xludf.DUMMYFUNCTION("XLOOKUP($A313,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0)"),"Human V4 size predicts crowding distance")</f>
        <v>Human V4 size predicts crowding distance</v>
      </c>
      <c r="C313" s="1" t="str">
        <f>IFERROR(__xludf.DUMMYFUNCTION("XLOOKUP($B313,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0)"),"Brain")</f>
        <v>Brain</v>
      </c>
      <c r="D313" s="1" t="str">
        <f>IFERROR(__xludf.DUMMYFUNCTION("XLOOKUP($B313,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0)"),"Brain")</f>
        <v>Brain</v>
      </c>
      <c r="E313" s="1" t="str">
        <f>IFERROR(__xludf.DUMMYFUNCTION("XLOOKUP($B313,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0)"),"fMRI")</f>
        <v>fMRI</v>
      </c>
      <c r="F313" s="14" t="s">
        <v>17</v>
      </c>
      <c r="G313" s="7">
        <v>476353.0</v>
      </c>
      <c r="I313" s="76" t="str">
        <f>IFERROR(__xludf.DUMMYFUNCTION("XLOOKUP(B313,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0)"),"https://openneuro.org/datasets/ds005639")</f>
        <v>https://openneuro.org/datasets/ds005639</v>
      </c>
      <c r="J313" s="17" t="str">
        <f t="shared" si="26"/>
        <v>MRI</v>
      </c>
    </row>
    <row r="314">
      <c r="A314" s="22" t="s">
        <v>334</v>
      </c>
      <c r="B314" s="1" t="s">
        <v>1822</v>
      </c>
      <c r="C314" s="1" t="s">
        <v>301</v>
      </c>
      <c r="D314" s="1" t="s">
        <v>603</v>
      </c>
      <c r="E314" s="1" t="s">
        <v>1823</v>
      </c>
      <c r="F314" s="22" t="s">
        <v>31</v>
      </c>
      <c r="G314" s="36">
        <v>421654.0</v>
      </c>
      <c r="H314" s="1">
        <v>53100.0</v>
      </c>
      <c r="I314" s="76" t="str">
        <f>IFERROR(__xludf.DUMMYFUNCTION("XLOOKUP(B314,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0)"),"https://www.cancerimagingarchive.net/collection/cptac-lscc")</f>
        <v>https://www.cancerimagingarchive.net/collection/cptac-lscc</v>
      </c>
      <c r="J314" s="1" t="s">
        <v>31</v>
      </c>
    </row>
    <row r="315">
      <c r="A315" s="4" t="s">
        <v>62</v>
      </c>
      <c r="B315" s="1" t="s">
        <v>1828</v>
      </c>
      <c r="C315" s="1" t="s">
        <v>366</v>
      </c>
      <c r="D315" s="1" t="s">
        <v>366</v>
      </c>
      <c r="E315" s="1" t="s">
        <v>1818</v>
      </c>
      <c r="F315" s="6" t="s">
        <v>64</v>
      </c>
      <c r="G315" s="7">
        <v>401059.0</v>
      </c>
      <c r="H315" s="75">
        <v>401059.0</v>
      </c>
      <c r="I315" s="76" t="str">
        <f>IFERROR(__xludf.DUMMYFUNCTION("XLOOKUP(B315,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0)"),"https://challenge2024.isic-archive.com/")</f>
        <v>https://challenge2024.isic-archive.com/</v>
      </c>
      <c r="J315" s="17" t="str">
        <f t="shared" ref="J315:J321" si="27">IF(OR(F315="MRI", F315="Ultrasound", F315="Endoscopy", F315="Dermoscopy", F315="Fundus", F315="OCTA", F315="OCT"), F315, IF(OR(E315="Microscopy", E315="Histopathology", E315="Pathology", E315="CT", E315="PET", E315="X-Ray", E315="Mammography"), E315, ""))</f>
        <v>Dermoscopy</v>
      </c>
    </row>
    <row r="316">
      <c r="A316" s="14" t="s">
        <v>347</v>
      </c>
      <c r="B316" s="14" t="s">
        <v>347</v>
      </c>
      <c r="C316" s="1" t="str">
        <f>IFERROR(__xludf.DUMMYFUNCTION("XLOOKUP($B316,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0)"),"Brain")</f>
        <v>Brain</v>
      </c>
      <c r="D316" s="1" t="str">
        <f>IFERROR(__xludf.DUMMYFUNCTION("XLOOKUP($B316,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0)"),"Brain")</f>
        <v>Brain</v>
      </c>
      <c r="E316" s="1" t="str">
        <f>IFERROR(__xludf.DUMMYFUNCTION("XLOOKUP($B316,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0)"),"MRI, fMRI")</f>
        <v>MRI, fMRI</v>
      </c>
      <c r="F316" s="14" t="s">
        <v>17</v>
      </c>
      <c r="G316" s="7">
        <v>398117.0</v>
      </c>
      <c r="H316" s="1">
        <v>776.0</v>
      </c>
      <c r="I316" s="76" t="str">
        <f>IFERROR(__xludf.DUMMYFUNCTION("XLOOKUP(B316,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0)"),"http://fcon_1000.projects.nitrc.org/indi/adhd200")</f>
        <v>http://fcon_1000.projects.nitrc.org/indi/adhd200</v>
      </c>
      <c r="J316" s="17" t="str">
        <f t="shared" si="27"/>
        <v>MRI</v>
      </c>
    </row>
    <row r="317">
      <c r="A317" s="2" t="s">
        <v>76</v>
      </c>
      <c r="B317" s="1" t="s">
        <v>160</v>
      </c>
      <c r="C317" s="1" t="str">
        <f>IFERROR(__xludf.DUMMYFUNCTION("XLOOKUP($B317,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0)"),"Chest")</f>
        <v>Chest</v>
      </c>
      <c r="D317" s="1" t="str">
        <f>IFERROR(__xludf.DUMMYFUNCTION("XLOOKUP($B317,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0)"),"Lungs")</f>
        <v>Lungs</v>
      </c>
      <c r="E317" s="1" t="str">
        <f>IFERROR(__xludf.DUMMYFUNCTION("XLOOKUP($B317,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0)"),"X-ray")</f>
        <v>X-ray</v>
      </c>
      <c r="F317" s="6" t="s">
        <v>31</v>
      </c>
      <c r="G317" s="7">
        <v>392560.0</v>
      </c>
      <c r="H317" s="75">
        <v>9125.0</v>
      </c>
      <c r="I317" s="76" t="str">
        <f>IFERROR(__xludf.DUMMYFUNCTION("XLOOKUP(B317,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0)"),"https://physionet.org/content/vindr-pcxr")</f>
        <v>https://physionet.org/content/vindr-pcxr</v>
      </c>
      <c r="J317" s="17" t="str">
        <f t="shared" si="27"/>
        <v>X-ray</v>
      </c>
    </row>
    <row r="318">
      <c r="A318" s="31" t="s">
        <v>47</v>
      </c>
      <c r="B318" s="22" t="s">
        <v>1833</v>
      </c>
      <c r="C318" s="1" t="s">
        <v>120</v>
      </c>
      <c r="D318" s="1" t="s">
        <v>120</v>
      </c>
      <c r="E318" s="27" t="s">
        <v>54</v>
      </c>
      <c r="F318" s="27" t="s">
        <v>54</v>
      </c>
      <c r="G318" s="32">
        <v>389885.0</v>
      </c>
      <c r="H318" s="32">
        <v>389885.0</v>
      </c>
      <c r="I318" s="16" t="s">
        <v>1817</v>
      </c>
      <c r="J318" s="17" t="str">
        <f t="shared" si="27"/>
        <v>Ultrasound</v>
      </c>
    </row>
    <row r="319">
      <c r="A319" s="14" t="s">
        <v>260</v>
      </c>
      <c r="B319" s="1" t="s">
        <v>1834</v>
      </c>
      <c r="C319" s="1" t="str">
        <f>IFERROR(__xludf.DUMMYFUNCTION("XLOOKUP($B319,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0)"),"Chest")</f>
        <v>Chest</v>
      </c>
      <c r="D319" s="1" t="str">
        <f>IFERROR(__xludf.DUMMYFUNCTION("XLOOKUP($B319,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0)"),"Breast")</f>
        <v>Breast</v>
      </c>
      <c r="E319" s="1" t="str">
        <f>IFERROR(__xludf.DUMMYFUNCTION("XLOOKUP($B319,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0)"),"MRI")</f>
        <v>MRI</v>
      </c>
      <c r="F319" s="14" t="s">
        <v>17</v>
      </c>
      <c r="G319" s="7">
        <v>385093.0</v>
      </c>
      <c r="H319" s="75">
        <v>387680.0</v>
      </c>
      <c r="I319" s="76" t="str">
        <f>IFERROR(__xludf.DUMMYFUNCTION("XLOOKUP(B319,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0)"),"https://www.cancerimagingarchive.net/collection/ispy1")</f>
        <v>https://www.cancerimagingarchive.net/collection/ispy1</v>
      </c>
      <c r="J319" s="17" t="str">
        <f t="shared" si="27"/>
        <v>MRI</v>
      </c>
    </row>
    <row r="320">
      <c r="A320" s="4" t="s">
        <v>79</v>
      </c>
      <c r="B320" s="1" t="s">
        <v>1836</v>
      </c>
      <c r="C320" s="1" t="str">
        <f>IFERROR(__xludf.DUMMYFUNCTION("XLOOKUP($B320,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0)"),"Chest")</f>
        <v>Chest</v>
      </c>
      <c r="D320" s="1" t="str">
        <f>IFERROR(__xludf.DUMMYFUNCTION("XLOOKUP($B320,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0)"),"Chest")</f>
        <v>Chest</v>
      </c>
      <c r="E320" s="1" t="str">
        <f>IFERROR(__xludf.DUMMYFUNCTION("XLOOKUP($B320,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0)"),"X-ray")</f>
        <v>X-ray</v>
      </c>
      <c r="F320" s="6" t="s">
        <v>81</v>
      </c>
      <c r="G320" s="7">
        <v>377110.0</v>
      </c>
      <c r="H320" s="75">
        <v>377110.0</v>
      </c>
      <c r="I320" s="76" t="str">
        <f>IFERROR(__xludf.DUMMYFUNCTION("XLOOKUP(B320,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0)"),"https://physionet.org/content/mimic-cxr-jpg/2.1.0/")</f>
        <v>https://physionet.org/content/mimic-cxr-jpg/2.1.0/</v>
      </c>
      <c r="J320" s="17" t="str">
        <f t="shared" si="27"/>
        <v>X-ray</v>
      </c>
    </row>
    <row r="321">
      <c r="A321" s="14" t="s">
        <v>383</v>
      </c>
      <c r="B321" s="1" t="s">
        <v>383</v>
      </c>
      <c r="C321" s="1" t="str">
        <f>IFERROR(__xludf.DUMMYFUNCTION("XLOOKUP($B321,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0)"),"Brain")</f>
        <v>Brain</v>
      </c>
      <c r="D321" s="1" t="str">
        <f>IFERROR(__xludf.DUMMYFUNCTION("XLOOKUP($B321,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0)"),"Brain")</f>
        <v>Brain</v>
      </c>
      <c r="E321" s="1" t="str">
        <f>IFERROR(__xludf.DUMMYFUNCTION("XLOOKUP($B321,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0)"),"CT")</f>
        <v>CT</v>
      </c>
      <c r="F321" s="14" t="s">
        <v>31</v>
      </c>
      <c r="G321" s="25">
        <v>347204.0</v>
      </c>
      <c r="H321" s="25">
        <v>347204.0</v>
      </c>
      <c r="I321" s="76" t="str">
        <f>IFERROR(__xludf.DUMMYFUNCTION("XLOOKUP(B321,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0)"),"https://stanfordaimi.azurewebsites.net/datasets/3de8cef8-0626-4c5d-ac47-ed0fed22ac99")</f>
        <v>https://stanfordaimi.azurewebsites.net/datasets/3de8cef8-0626-4c5d-ac47-ed0fed22ac99</v>
      </c>
      <c r="J321" s="17" t="str">
        <f t="shared" si="27"/>
        <v>CT</v>
      </c>
    </row>
    <row r="322">
      <c r="A322" s="14" t="s">
        <v>372</v>
      </c>
      <c r="B322" s="1" t="str">
        <f>IFERROR(__xludf.DUMMYFUNCTION("XLOOKUP($A322,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0)"),"4D Lung")</f>
        <v>4D Lung</v>
      </c>
      <c r="C322" s="1" t="str">
        <f>IFERROR(__xludf.DUMMYFUNCTION("XLOOKUP($B322,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0)"),"Chest")</f>
        <v>Chest</v>
      </c>
      <c r="D322" s="1" t="str">
        <f>IFERROR(__xludf.DUMMYFUNCTION("XLOOKUP($B322,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0)"),"Lungs")</f>
        <v>Lungs</v>
      </c>
      <c r="E322" s="1" t="str">
        <f>IFERROR(__xludf.DUMMYFUNCTION("XLOOKUP($B322,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0)"),"CT, RTSTRUCT")</f>
        <v>CT, RTSTRUCT</v>
      </c>
      <c r="F322" s="14" t="s">
        <v>31</v>
      </c>
      <c r="G322" s="7">
        <v>346530.0</v>
      </c>
      <c r="H322" s="75">
        <v>347330.0</v>
      </c>
      <c r="I322" s="76" t="str">
        <f>IFERROR(__xludf.DUMMYFUNCTION("XLOOKUP(B322,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0)"),"https://www.cancerimagingarchive.net/collection/4d-lung")</f>
        <v>https://www.cancerimagingarchive.net/collection/4d-lung</v>
      </c>
      <c r="J322" s="1" t="s">
        <v>31</v>
      </c>
    </row>
    <row r="323">
      <c r="A323" s="22" t="s">
        <v>249</v>
      </c>
      <c r="B323" s="1" t="s">
        <v>1841</v>
      </c>
      <c r="C323" s="1" t="str">
        <f>IFERROR(__xludf.DUMMYFUNCTION("XLOOKUP($B323,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0)"),"Brain")</f>
        <v>Brain</v>
      </c>
      <c r="D323" s="1" t="str">
        <f>IFERROR(__xludf.DUMMYFUNCTION("XLOOKUP($B323,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0)"),"Brain")</f>
        <v>Brain</v>
      </c>
      <c r="E323" s="1" t="str">
        <f>IFERROR(__xludf.DUMMYFUNCTION("XLOOKUP($B323,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0)"),"T1 MRI, rs-fMRI")</f>
        <v>T1 MRI, rs-fMRI</v>
      </c>
      <c r="F323" s="22" t="s">
        <v>17</v>
      </c>
      <c r="G323" s="28">
        <v>335822.0</v>
      </c>
      <c r="H323" s="1">
        <v>957.0</v>
      </c>
      <c r="I323" s="76" t="str">
        <f>IFERROR(__xludf.DUMMYFUNCTION("XLOOKUP(B323,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0)"),"http://fcon_1000.projects.nitrc.org/indi/retro/yale_hires.html")</f>
        <v>http://fcon_1000.projects.nitrc.org/indi/retro/yale_hires.html</v>
      </c>
      <c r="J323" s="17" t="str">
        <f>IF(OR(F323="MRI", F323="Ultrasound", F323="Endoscopy", F323="Dermoscopy", F323="Fundus", F323="OCTA", F323="OCT"), F323, IF(OR(E323="Microscopy", E323="Histopathology", E323="Pathology", E323="CT", E323="PET", E323="X-Ray", E323="Mammography"), E323, ""))</f>
        <v>MRI</v>
      </c>
    </row>
    <row r="324">
      <c r="A324" s="2" t="s">
        <v>84</v>
      </c>
      <c r="B324" s="17" t="s">
        <v>84</v>
      </c>
      <c r="C324" s="1" t="str">
        <f>IFERROR(__xludf.DUMMYFUNCTION("XLOOKUP($B324,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0)"),"Microscopy")</f>
        <v>Microscopy</v>
      </c>
      <c r="D324" s="1" t="str">
        <f>IFERROR(__xludf.DUMMYFUNCTION("XLOOKUP($B324,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0)"),"Mammary gland")</f>
        <v>Mammary gland</v>
      </c>
      <c r="E324" s="1" t="str">
        <f>IFERROR(__xludf.DUMMYFUNCTION("XLOOKUP($B324,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0)"),"Pathology image")</f>
        <v>Pathology image</v>
      </c>
      <c r="F324" s="6" t="s">
        <v>61</v>
      </c>
      <c r="G324" s="7">
        <v>327680.0</v>
      </c>
      <c r="H324" s="7">
        <v>327680.0</v>
      </c>
      <c r="I324" s="76" t="str">
        <f>IFERROR(__xludf.DUMMYFUNCTION("XLOOKUP(B324,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0)"),"https://patchcamelyon.grand-challenge.org/")</f>
        <v>https://patchcamelyon.grand-challenge.org/</v>
      </c>
      <c r="J324" s="1" t="s">
        <v>91</v>
      </c>
    </row>
    <row r="325">
      <c r="A325" s="22" t="s">
        <v>407</v>
      </c>
      <c r="B325" s="1" t="s">
        <v>407</v>
      </c>
      <c r="C325" s="1" t="str">
        <f>IFERROR(__xludf.DUMMYFUNCTION("XLOOKUP($B325,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0)"),"Heart")</f>
        <v>Heart</v>
      </c>
      <c r="D325" s="1" t="str">
        <f>IFERROR(__xludf.DUMMYFUNCTION("XLOOKUP($B325,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0)"),"Heart")</f>
        <v>Heart</v>
      </c>
      <c r="E325" s="1" t="str">
        <f>IFERROR(__xludf.DUMMYFUNCTION("XLOOKUP($B325,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0)"),"Ultrasound")</f>
        <v>Ultrasound</v>
      </c>
      <c r="F325" s="22" t="s">
        <v>54</v>
      </c>
      <c r="G325" s="28">
        <v>314395.0</v>
      </c>
      <c r="I325" s="76" t="str">
        <f>IFERROR(__xludf.DUMMYFUNCTION("XLOOKUP(B325,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0)"),"https://github.com/xmed-lab/GraphEcho")</f>
        <v>https://github.com/xmed-lab/GraphEcho</v>
      </c>
      <c r="J325" s="17" t="str">
        <f t="shared" ref="J325:J329" si="28">IF(OR(F325="MRI", F325="Ultrasound", F325="Endoscopy", F325="Dermoscopy", F325="Fundus", F325="OCTA", F325="OCT"), F325, IF(OR(E325="Microscopy", E325="Histopathology", E325="Pathology", E325="CT", E325="PET", E325="X-Ray", E325="Mammography"), E325, ""))</f>
        <v>Ultrasound</v>
      </c>
    </row>
    <row r="326">
      <c r="A326" s="14" t="s">
        <v>413</v>
      </c>
      <c r="B326" s="1" t="str">
        <f>IFERROR(__xludf.DUMMYFUNCTION("XLOOKUP($A326,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0)"),"PROSTATEx")</f>
        <v>PROSTATEx</v>
      </c>
      <c r="C326" s="1" t="str">
        <f>IFERROR(__xludf.DUMMYFUNCTION("XLOOKUP($B326,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0)"),"Abdomen")</f>
        <v>Abdomen</v>
      </c>
      <c r="D326" s="1" t="str">
        <f>IFERROR(__xludf.DUMMYFUNCTION("XLOOKUP($B326,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0)"),"Male Reproductive Organs")</f>
        <v>Male Reproductive Organs</v>
      </c>
      <c r="E326" s="1" t="str">
        <f>IFERROR(__xludf.DUMMYFUNCTION("XLOOKUP($B326,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0)"),"MRI (multi-parametric)")</f>
        <v>MRI (multi-parametric)</v>
      </c>
      <c r="F326" s="14" t="s">
        <v>17</v>
      </c>
      <c r="G326" s="7">
        <v>309251.0</v>
      </c>
      <c r="H326" s="75">
        <v>309251.0</v>
      </c>
      <c r="I326" s="76" t="str">
        <f>IFERROR(__xludf.DUMMYFUNCTION("XLOOKUP(B326,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0)"),"https://www.cancerimagingarchive.net/collection/prostatex")</f>
        <v>https://www.cancerimagingarchive.net/collection/prostatex</v>
      </c>
      <c r="J326" s="17" t="str">
        <f t="shared" si="28"/>
        <v>MRI</v>
      </c>
    </row>
    <row r="327">
      <c r="A327" s="31" t="s">
        <v>47</v>
      </c>
      <c r="B327" s="22" t="s">
        <v>1843</v>
      </c>
      <c r="C327" s="1" t="s">
        <v>120</v>
      </c>
      <c r="D327" s="1" t="s">
        <v>120</v>
      </c>
      <c r="E327" s="27" t="s">
        <v>31</v>
      </c>
      <c r="F327" s="27" t="s">
        <v>31</v>
      </c>
      <c r="G327" s="32">
        <v>292353.0</v>
      </c>
      <c r="H327" s="32">
        <v>292353.0</v>
      </c>
      <c r="I327" s="11" t="s">
        <v>1817</v>
      </c>
      <c r="J327" s="17" t="str">
        <f t="shared" si="28"/>
        <v>CT</v>
      </c>
    </row>
    <row r="328">
      <c r="A328" s="14" t="s">
        <v>267</v>
      </c>
      <c r="B328" s="1" t="s">
        <v>1844</v>
      </c>
      <c r="C328" s="1" t="str">
        <f>IFERROR(__xludf.DUMMYFUNCTION("XLOOKUP($B328,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0)"),"Brain")</f>
        <v>Brain</v>
      </c>
      <c r="D328" s="1" t="str">
        <f>IFERROR(__xludf.DUMMYFUNCTION("XLOOKUP($B328,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0)"),"Brain")</f>
        <v>Brain</v>
      </c>
      <c r="E328" s="1" t="str">
        <f>IFERROR(__xludf.DUMMYFUNCTION("XLOOKUP($B328,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0)"),"MRI (mpMRI)")</f>
        <v>MRI (mpMRI)</v>
      </c>
      <c r="F328" s="14" t="s">
        <v>17</v>
      </c>
      <c r="G328" s="7">
        <v>290923.0</v>
      </c>
      <c r="I328" s="76" t="str">
        <f>IFERROR(__xludf.DUMMYFUNCTION("XLOOKUP(B328,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0)"),"https://www.rsna.org/rsnai/ai-image-challenge/brain-tumor-ai-challenge-2021")</f>
        <v>https://www.rsna.org/rsnai/ai-image-challenge/brain-tumor-ai-challenge-2021</v>
      </c>
      <c r="J328" s="17" t="str">
        <f t="shared" si="28"/>
        <v>MRI</v>
      </c>
    </row>
    <row r="329">
      <c r="A329" s="14" t="s">
        <v>254</v>
      </c>
      <c r="B329" s="1" t="str">
        <f>IFERROR(__xludf.DUMMYFUNCTION("XLOOKUP($A329,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0)"),"ISPY1-Tumor-SEG-Radiomics")</f>
        <v>ISPY1-Tumor-SEG-Radiomics</v>
      </c>
      <c r="C329" s="1" t="str">
        <f>IFERROR(__xludf.DUMMYFUNCTION("XLOOKUP($B329,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0)"),"Chest")</f>
        <v>Chest</v>
      </c>
      <c r="D329" s="1" t="str">
        <f>IFERROR(__xludf.DUMMYFUNCTION("XLOOKUP($B329,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0)"),"Chest")</f>
        <v>Chest</v>
      </c>
      <c r="E329" s="1" t="str">
        <f>IFERROR(__xludf.DUMMYFUNCTION("XLOOKUP($B329,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0)"),"MRI")</f>
        <v>MRI</v>
      </c>
      <c r="F329" s="14" t="s">
        <v>17</v>
      </c>
      <c r="G329" s="7">
        <v>281937.0</v>
      </c>
      <c r="H329" s="75">
        <v>1467.0</v>
      </c>
      <c r="I329" s="76" t="str">
        <f>IFERROR(__xludf.DUMMYFUNCTION("XLOOKUP(B329,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0)"),"https://www.cancerimagingarchive.net/analysis-result/ispy1-tumor-seg-radiomics/")</f>
        <v>https://www.cancerimagingarchive.net/analysis-result/ispy1-tumor-seg-radiomics/</v>
      </c>
      <c r="J329" s="17" t="str">
        <f t="shared" si="28"/>
        <v>MRI</v>
      </c>
    </row>
    <row r="330">
      <c r="A330" s="14" t="s">
        <v>240</v>
      </c>
      <c r="B330" s="1" t="s">
        <v>1846</v>
      </c>
      <c r="C330" s="1" t="str">
        <f>IFERROR(__xludf.DUMMYFUNCTION("XLOOKUP($B330,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0)"),"Chest")</f>
        <v>Chest</v>
      </c>
      <c r="D330" s="1" t="str">
        <f>IFERROR(__xludf.DUMMYFUNCTION("XLOOKUP($B330,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0)"),"Lungs")</f>
        <v>Lungs</v>
      </c>
      <c r="E330" s="1" t="str">
        <f>IFERROR(__xludf.DUMMYFUNCTION("XLOOKUP($B330,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0)"),"PET/CT")</f>
        <v>PET/CT</v>
      </c>
      <c r="F330" s="14" t="s">
        <v>31</v>
      </c>
      <c r="G330" s="15">
        <v>251135.0</v>
      </c>
      <c r="H330" s="75">
        <v>251135.0</v>
      </c>
      <c r="I330" s="76" t="str">
        <f>IFERROR(__xludf.DUMMYFUNCTION("XLOOKUP(B330,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0)"),"https://www.cancerimagingarchive.net/collection/lung-pet-ct-dx")</f>
        <v>https://www.cancerimagingarchive.net/collection/lung-pet-ct-dx</v>
      </c>
      <c r="J330" s="1" t="s">
        <v>196</v>
      </c>
    </row>
    <row r="331">
      <c r="A331" s="14" t="s">
        <v>282</v>
      </c>
      <c r="B331" s="1" t="str">
        <f>IFERROR(__xludf.DUMMYFUNCTION("XLOOKUP($A331,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0)"),"LIDC-IDRI")</f>
        <v>LIDC-IDRI</v>
      </c>
      <c r="C331" s="1" t="str">
        <f>IFERROR(__xludf.DUMMYFUNCTION("XLOOKUP($B331,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0)"),"Chest")</f>
        <v>Chest</v>
      </c>
      <c r="D331" s="1" t="str">
        <f>IFERROR(__xludf.DUMMYFUNCTION("XLOOKUP($B331,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0)"),"Lung")</f>
        <v>Lung</v>
      </c>
      <c r="E331" s="1" t="str">
        <f>IFERROR(__xludf.DUMMYFUNCTION("XLOOKUP($B331,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0)"),"CT")</f>
        <v>CT</v>
      </c>
      <c r="F331" s="12" t="s">
        <v>31</v>
      </c>
      <c r="G331" s="7">
        <v>244527.0</v>
      </c>
      <c r="H331" s="75">
        <v>244527.0</v>
      </c>
      <c r="I331" s="76" t="str">
        <f>IFERROR(__xludf.DUMMYFUNCTION("XLOOKUP(B331,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0)"),"https://www.cancerimagingarchive.net/collection/lidc-idri/")</f>
        <v>https://www.cancerimagingarchive.net/collection/lidc-idri/</v>
      </c>
      <c r="J331" s="17" t="str">
        <f t="shared" ref="J331:J348" si="29">IF(OR(F331="MRI", F331="Ultrasound", F331="Endoscopy", F331="Dermoscopy", F331="Fundus", F331="OCTA", F331="OCT"), F331, IF(OR(E331="Microscopy", E331="Histopathology", E331="Pathology", E331="CT", E331="PET", E331="X-Ray", E331="Mammography"), E331, ""))</f>
        <v>CT</v>
      </c>
    </row>
    <row r="332">
      <c r="A332" s="4" t="s">
        <v>87</v>
      </c>
      <c r="B332" s="1" t="s">
        <v>1847</v>
      </c>
      <c r="C332" s="1" t="str">
        <f>IFERROR(__xludf.DUMMYFUNCTION("XLOOKUP($B332,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0)"),"Chest")</f>
        <v>Chest</v>
      </c>
      <c r="D332" s="1" t="str">
        <f>IFERROR(__xludf.DUMMYFUNCTION("XLOOKUP($B332,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0)"),"Chest")</f>
        <v>Chest</v>
      </c>
      <c r="E332" s="1" t="str">
        <f>IFERROR(__xludf.DUMMYFUNCTION("XLOOKUP($B332,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0)"),"X-ray")</f>
        <v>X-ray</v>
      </c>
      <c r="F332" s="6" t="s">
        <v>81</v>
      </c>
      <c r="G332" s="7">
        <v>223414.0</v>
      </c>
      <c r="H332" s="7">
        <v>223414.0</v>
      </c>
      <c r="I332" s="76" t="str">
        <f>IFERROR(__xludf.DUMMYFUNCTION("XLOOKUP(B332,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0)"),"https://stanfordaimi.azurewebsites.net/datasets/8cbd9ed4-2eb9-4565-affc-111cf4f7ebe2")</f>
        <v>https://stanfordaimi.azurewebsites.net/datasets/8cbd9ed4-2eb9-4565-affc-111cf4f7ebe2</v>
      </c>
      <c r="J332" s="17" t="str">
        <f t="shared" si="29"/>
        <v>X-ray</v>
      </c>
    </row>
    <row r="333">
      <c r="A333" s="2" t="s">
        <v>125</v>
      </c>
      <c r="B333" s="1" t="s">
        <v>1848</v>
      </c>
      <c r="C333" s="1" t="str">
        <f>IFERROR(__xludf.DUMMYFUNCTION("XLOOKUP($B333,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0)"),"Chest")</f>
        <v>Chest</v>
      </c>
      <c r="D333" s="1" t="str">
        <f>IFERROR(__xludf.DUMMYFUNCTION("XLOOKUP($B333,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0)"),"Whole body")</f>
        <v>Whole body</v>
      </c>
      <c r="E333" s="1" t="str">
        <f>IFERROR(__xludf.DUMMYFUNCTION("XLOOKUP($B333,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0)"),"Ultrasound")</f>
        <v>Ultrasound</v>
      </c>
      <c r="F333" s="12" t="s">
        <v>54</v>
      </c>
      <c r="G333" s="7">
        <v>184741.0</v>
      </c>
      <c r="H333" s="1">
        <v>200.0</v>
      </c>
      <c r="I333" s="76" t="str">
        <f>IFERROR(__xludf.DUMMYFUNCTION("XLOOKUP(B333,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0)"),"https://tdsc-abus2023.grand-challenge.org/TDSC-ABUS2023/")</f>
        <v>https://tdsc-abus2023.grand-challenge.org/TDSC-ABUS2023/</v>
      </c>
      <c r="J333" s="17" t="str">
        <f t="shared" si="29"/>
        <v>Ultrasound</v>
      </c>
    </row>
    <row r="334">
      <c r="A334" s="2" t="s">
        <v>93</v>
      </c>
      <c r="B334" s="17" t="s">
        <v>93</v>
      </c>
      <c r="C334" s="1" t="str">
        <f>IFERROR(__xludf.DUMMYFUNCTION("XLOOKUP($B334,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0)"),"Chest")</f>
        <v>Chest</v>
      </c>
      <c r="D334" s="1" t="str">
        <f>IFERROR(__xludf.DUMMYFUNCTION("XLOOKUP($B334,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0)"),"Chest")</f>
        <v>Chest</v>
      </c>
      <c r="E334" s="1" t="str">
        <f>IFERROR(__xludf.DUMMYFUNCTION("XLOOKUP($B334,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0)"),"X-ray")</f>
        <v>X-ray</v>
      </c>
      <c r="F334" s="6" t="s">
        <v>81</v>
      </c>
      <c r="G334" s="7">
        <v>156525.0</v>
      </c>
      <c r="I334" s="76" t="str">
        <f>IFERROR(__xludf.DUMMYFUNCTION("XLOOKUP(B334,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0)"),"https://bimcv.cipf.es/bimcv-projects/padchest/")</f>
        <v>https://bimcv.cipf.es/bimcv-projects/padchest/</v>
      </c>
      <c r="J334" s="17" t="str">
        <f t="shared" si="29"/>
        <v>X-ray</v>
      </c>
    </row>
    <row r="335">
      <c r="A335" s="22" t="s">
        <v>462</v>
      </c>
      <c r="B335" s="1" t="s">
        <v>462</v>
      </c>
      <c r="C335" s="1" t="str">
        <f>IFERROR(__xludf.DUMMYFUNCTION("XLOOKUP($B335,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0)"),"Brain")</f>
        <v>Brain</v>
      </c>
      <c r="D335" s="1" t="str">
        <f>IFERROR(__xludf.DUMMYFUNCTION("XLOOKUP($B335,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0)"),"Head and neck")</f>
        <v>Head and neck</v>
      </c>
      <c r="E335" s="1" t="str">
        <f>IFERROR(__xludf.DUMMYFUNCTION("XLOOKUP($B335,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0)"),"MRI")</f>
        <v>MRI</v>
      </c>
      <c r="F335" s="22" t="s">
        <v>17</v>
      </c>
      <c r="G335" s="36">
        <v>138693.0</v>
      </c>
      <c r="H335" s="75">
        <v>37425.0</v>
      </c>
      <c r="I335" s="76" t="str">
        <f>IFERROR(__xludf.DUMMYFUNCTION("XLOOKUP(B335,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0)"),"https://www.cancerimagingarchive.net/collection/rhuh-gbm/")</f>
        <v>https://www.cancerimagingarchive.net/collection/rhuh-gbm/</v>
      </c>
      <c r="J335" s="17" t="str">
        <f t="shared" si="29"/>
        <v>MRI</v>
      </c>
    </row>
    <row r="336">
      <c r="A336" s="4" t="s">
        <v>111</v>
      </c>
      <c r="B336" s="1" t="s">
        <v>1849</v>
      </c>
      <c r="C336" s="1" t="str">
        <f>IFERROR(__xludf.DUMMYFUNCTION("XLOOKUP($B336,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0)"),"Chest")</f>
        <v>Chest</v>
      </c>
      <c r="D336" s="1" t="str">
        <f>IFERROR(__xludf.DUMMYFUNCTION("XLOOKUP($B336,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0)"),"Lungs")</f>
        <v>Lungs</v>
      </c>
      <c r="E336" s="1" t="str">
        <f>IFERROR(__xludf.DUMMYFUNCTION("XLOOKUP($B336,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0)"),"X-ray")</f>
        <v>X-ray</v>
      </c>
      <c r="F336" s="6" t="s">
        <v>81</v>
      </c>
      <c r="G336" s="7">
        <v>112120.0</v>
      </c>
      <c r="I336" s="76" t="str">
        <f>IFERROR(__xludf.DUMMYFUNCTION("XLOOKUP(B336,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0)"),"https://www.v7labs.com/open-datasets/chestx-ray14")</f>
        <v>https://www.v7labs.com/open-datasets/chestx-ray14</v>
      </c>
      <c r="J336" s="17" t="str">
        <f t="shared" si="29"/>
        <v>X-ray</v>
      </c>
    </row>
    <row r="337">
      <c r="A337" s="14" t="s">
        <v>475</v>
      </c>
      <c r="B337" s="1" t="s">
        <v>1851</v>
      </c>
      <c r="C337" s="1" t="str">
        <f>IFERROR(__xludf.DUMMYFUNCTION("XLOOKUP($B337,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0)"),"Whole Body")</f>
        <v>Whole Body</v>
      </c>
      <c r="D337" s="1" t="str">
        <f>IFERROR(__xludf.DUMMYFUNCTION("XLOOKUP($B337,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0)"),"Lymph Nodes")</f>
        <v>Lymph Nodes</v>
      </c>
      <c r="E337" s="1" t="str">
        <f>IFERROR(__xludf.DUMMYFUNCTION("XLOOKUP($B337,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0)"),"CT")</f>
        <v>CT</v>
      </c>
      <c r="F337" s="14" t="s">
        <v>31</v>
      </c>
      <c r="G337" s="25">
        <v>110003.0</v>
      </c>
      <c r="H337" s="75">
        <v>110179.0</v>
      </c>
      <c r="I337" s="76" t="str">
        <f>IFERROR(__xludf.DUMMYFUNCTION("XLOOKUP(B337,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0)"),"https://www.cancerimagingarchive.net/collection/ct-lymph-nodes")</f>
        <v>https://www.cancerimagingarchive.net/collection/ct-lymph-nodes</v>
      </c>
      <c r="J337" s="17" t="str">
        <f t="shared" si="29"/>
        <v>CT</v>
      </c>
    </row>
    <row r="338">
      <c r="A338" s="14" t="s">
        <v>315</v>
      </c>
      <c r="B338" s="1" t="str">
        <f>IFERROR(__xludf.DUMMYFUNCTION("XLOOKUP($A338,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0)"),"QIN-Breast")</f>
        <v>QIN-Breast</v>
      </c>
      <c r="C338" s="1" t="str">
        <f>IFERROR(__xludf.DUMMYFUNCTION("XLOOKUP($B338,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0)"),"Chest")</f>
        <v>Chest</v>
      </c>
      <c r="D338" s="1" t="str">
        <f>IFERROR(__xludf.DUMMYFUNCTION("XLOOKUP($B338,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0)"),"Breast")</f>
        <v>Breast</v>
      </c>
      <c r="E338" s="1" t="str">
        <f>IFERROR(__xludf.DUMMYFUNCTION("XLOOKUP($B338,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0)"),"MRI")</f>
        <v>MRI</v>
      </c>
      <c r="F338" s="14" t="s">
        <v>17</v>
      </c>
      <c r="G338" s="24">
        <v>102449.0</v>
      </c>
      <c r="H338" s="75">
        <v>102451.0</v>
      </c>
      <c r="I338" s="76" t="str">
        <f>IFERROR(__xludf.DUMMYFUNCTION("XLOOKUP(B338,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0)"),"https://www.cancerimagingarchive.net/collection/qin-breast")</f>
        <v>https://www.cancerimagingarchive.net/collection/qin-breast</v>
      </c>
      <c r="J338" s="17" t="str">
        <f t="shared" si="29"/>
        <v>MRI</v>
      </c>
    </row>
    <row r="339">
      <c r="A339" s="2" t="s">
        <v>103</v>
      </c>
      <c r="B339" s="17" t="s">
        <v>103</v>
      </c>
      <c r="C339" s="1" t="str">
        <f>IFERROR(__xludf.DUMMYFUNCTION("XLOOKUP($B339,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0)"),"Abdomen")</f>
        <v>Abdomen</v>
      </c>
      <c r="D339" s="1" t="str">
        <f>IFERROR(__xludf.DUMMYFUNCTION("XLOOKUP($B339,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0)"),"Colon")</f>
        <v>Colon</v>
      </c>
      <c r="E339" s="1" t="str">
        <f>IFERROR(__xludf.DUMMYFUNCTION("XLOOKUP($B339,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0)"),"Pathology")</f>
        <v>Pathology</v>
      </c>
      <c r="F339" s="6" t="s">
        <v>61</v>
      </c>
      <c r="G339" s="7">
        <v>100000.0</v>
      </c>
      <c r="H339" s="7">
        <v>100000.0</v>
      </c>
      <c r="I339" s="76" t="str">
        <f>IFERROR(__xludf.DUMMYFUNCTION("XLOOKUP(B339,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0)"),"https://zenodo.org/records/1214456")</f>
        <v>https://zenodo.org/records/1214456</v>
      </c>
      <c r="J339" s="17" t="str">
        <f t="shared" si="29"/>
        <v>Pathology</v>
      </c>
    </row>
    <row r="340">
      <c r="A340" s="14" t="s">
        <v>265</v>
      </c>
      <c r="B340" s="1" t="s">
        <v>1853</v>
      </c>
      <c r="C340" s="1" t="str">
        <f>IFERROR(__xludf.DUMMYFUNCTION("XLOOKUP($B340,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0)"),"Brain")</f>
        <v>Brain</v>
      </c>
      <c r="D340" s="1" t="str">
        <f>IFERROR(__xludf.DUMMYFUNCTION("XLOOKUP($B340,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0)"),"Brain")</f>
        <v>Brain</v>
      </c>
      <c r="E340" s="1" t="str">
        <f>IFERROR(__xludf.DUMMYFUNCTION("XLOOKUP($B340,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0)"),"MRI (T1, T2)")</f>
        <v>MRI (T1, T2)</v>
      </c>
      <c r="F340" s="14" t="s">
        <v>17</v>
      </c>
      <c r="G340" s="7">
        <v>93892.0</v>
      </c>
      <c r="H340" s="1">
        <v>245.0</v>
      </c>
      <c r="I340" s="76" t="str">
        <f>IFERROR(__xludf.DUMMYFUNCTION("XLOOKUP(B340,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0)"),"https://www.cancerimagingarchive.net/collection/dfci-bch-bwh-peds-hgg")</f>
        <v>https://www.cancerimagingarchive.net/collection/dfci-bch-bwh-peds-hgg</v>
      </c>
      <c r="J340" s="17" t="str">
        <f t="shared" si="29"/>
        <v>MRI</v>
      </c>
    </row>
    <row r="341">
      <c r="A341" s="22" t="s">
        <v>498</v>
      </c>
      <c r="B341" s="1" t="s">
        <v>1854</v>
      </c>
      <c r="C341" s="1" t="str">
        <f>IFERROR(__xludf.DUMMYFUNCTION("XLOOKUP($B341,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0)"),"Brain")</f>
        <v>Brain</v>
      </c>
      <c r="D341" s="1" t="str">
        <f>IFERROR(__xludf.DUMMYFUNCTION("XLOOKUP($B341,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0)"),"Brain")</f>
        <v>Brain</v>
      </c>
      <c r="E341" s="1" t="str">
        <f>IFERROR(__xludf.DUMMYFUNCTION("XLOOKUP($B341,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0)"),"fMRI")</f>
        <v>fMRI</v>
      </c>
      <c r="F341" s="22" t="s">
        <v>17</v>
      </c>
      <c r="G341" s="36">
        <v>92824.0</v>
      </c>
      <c r="H341" s="1">
        <v>1024.0</v>
      </c>
      <c r="I341" s="76" t="str">
        <f>IFERROR(__xludf.DUMMYFUNCTION("XLOOKUP(B341,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0)"),"https://academictorrents.com/details/5fc2f273123336ee34b9ea635ef8440377a42888")</f>
        <v>https://academictorrents.com/details/5fc2f273123336ee34b9ea635ef8440377a42888</v>
      </c>
      <c r="J341" s="17" t="str">
        <f t="shared" si="29"/>
        <v>MRI</v>
      </c>
    </row>
    <row r="342">
      <c r="A342" s="22" t="s">
        <v>271</v>
      </c>
      <c r="B342" s="1" t="str">
        <f>IFERROR(__xludf.DUMMYFUNCTION("XLOOKUP($A342,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0)"),"Cross-Sectional Multidomain Lexical Processing")</f>
        <v>Cross-Sectional Multidomain Lexical Processing</v>
      </c>
      <c r="C342" s="1" t="str">
        <f>IFERROR(__xludf.DUMMYFUNCTION("XLOOKUP($B342,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0)"),"Brain")</f>
        <v>Brain</v>
      </c>
      <c r="D342" s="1" t="str">
        <f>IFERROR(__xludf.DUMMYFUNCTION("XLOOKUP($B342,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0)"),"Brain")</f>
        <v>Brain</v>
      </c>
      <c r="E342" s="1" t="str">
        <f>IFERROR(__xludf.DUMMYFUNCTION("XLOOKUP($B342,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0)"),"fMRI, Structural MRI")</f>
        <v>fMRI, Structural MRI</v>
      </c>
      <c r="F342" s="22" t="s">
        <v>17</v>
      </c>
      <c r="G342" s="28">
        <v>90175.0</v>
      </c>
      <c r="H342" s="1">
        <v>91.0</v>
      </c>
      <c r="I342" s="76" t="str">
        <f>IFERROR(__xludf.DUMMYFUNCTION("XLOOKUP(B342,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0)"),"https://openneuro.org/datasets/ds002236/versions/1.1.1")</f>
        <v>https://openneuro.org/datasets/ds002236/versions/1.1.1</v>
      </c>
      <c r="J342" s="17" t="str">
        <f t="shared" si="29"/>
        <v>MRI</v>
      </c>
    </row>
    <row r="343">
      <c r="A343" s="4" t="s">
        <v>96</v>
      </c>
      <c r="B343" s="1" t="s">
        <v>706</v>
      </c>
      <c r="C343" s="1" t="str">
        <f>IFERROR(__xludf.DUMMYFUNCTION("XLOOKUP($B343,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0)"),"Brain")</f>
        <v>Brain</v>
      </c>
      <c r="D343" s="1" t="str">
        <f>IFERROR(__xludf.DUMMYFUNCTION("XLOOKUP($B343,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0)"),"Eyes")</f>
        <v>Eyes</v>
      </c>
      <c r="E343" s="1" t="str">
        <f>IFERROR(__xludf.DUMMYFUNCTION("XLOOKUP($B343,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0)"),"Fundus photograph")</f>
        <v>Fundus photograph</v>
      </c>
      <c r="F343" s="12" t="s">
        <v>100</v>
      </c>
      <c r="G343" s="7">
        <v>88712.0</v>
      </c>
      <c r="H343" s="7">
        <v>88712.0</v>
      </c>
      <c r="I343" s="76" t="str">
        <f>IFERROR(__xludf.DUMMYFUNCTION("XLOOKUP(B343,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0)"),"https://www.kaggle.com/c/diabetic-retinopathy-detection/overview")</f>
        <v>https://www.kaggle.com/c/diabetic-retinopathy-detection/overview</v>
      </c>
      <c r="J343" s="17" t="str">
        <f t="shared" si="29"/>
        <v>Fundus</v>
      </c>
    </row>
    <row r="344">
      <c r="A344" s="14" t="s">
        <v>364</v>
      </c>
      <c r="B344" s="1" t="s">
        <v>1856</v>
      </c>
      <c r="C344" s="1" t="str">
        <f>IFERROR(__xludf.DUMMYFUNCTION("XLOOKUP($B344,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0)"),"Chest")</f>
        <v>Chest</v>
      </c>
      <c r="D344" s="1" t="str">
        <f>IFERROR(__xludf.DUMMYFUNCTION("XLOOKUP($B344,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0)"),"Lungs")</f>
        <v>Lungs</v>
      </c>
      <c r="E344" s="1" t="str">
        <f>IFERROR(__xludf.DUMMYFUNCTION("XLOOKUP($B344,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0)"),"CT")</f>
        <v>CT</v>
      </c>
      <c r="F344" s="14" t="s">
        <v>31</v>
      </c>
      <c r="G344" s="25">
        <v>81186.0</v>
      </c>
      <c r="H344" s="75">
        <v>81548.0</v>
      </c>
      <c r="I344" s="76" t="str">
        <f>IFERROR(__xludf.DUMMYFUNCTION("XLOOKUP(B344,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0)"),"https://www.cancerimagingarchive.net/collection/rider-lung-ct")</f>
        <v>https://www.cancerimagingarchive.net/collection/rider-lung-ct</v>
      </c>
      <c r="J344" s="17" t="str">
        <f t="shared" si="29"/>
        <v>CT</v>
      </c>
    </row>
    <row r="345">
      <c r="A345" s="22" t="s">
        <v>516</v>
      </c>
      <c r="B345" s="22" t="s">
        <v>516</v>
      </c>
      <c r="C345" s="1" t="str">
        <f>IFERROR(__xludf.DUMMYFUNCTION("XLOOKUP($B345,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0)"),"Brain")</f>
        <v>Brain</v>
      </c>
      <c r="D345" s="1" t="str">
        <f>IFERROR(__xludf.DUMMYFUNCTION("XLOOKUP($B345,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0)"),"Brain")</f>
        <v>Brain</v>
      </c>
      <c r="E345" s="1" t="str">
        <f>IFERROR(__xludf.DUMMYFUNCTION("XLOOKUP($B345,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0)"),"MRI, fMRI")</f>
        <v>MRI, fMRI</v>
      </c>
      <c r="F345" s="22" t="s">
        <v>17</v>
      </c>
      <c r="G345" s="36">
        <v>70877.0</v>
      </c>
      <c r="I345" s="76" t="str">
        <f>IFERROR(__xludf.DUMMYFUNCTION("XLOOKUP(B345,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0)"),"http://fcon_1000.projects.nitrc.org/indi/abide")</f>
        <v>http://fcon_1000.projects.nitrc.org/indi/abide</v>
      </c>
      <c r="J345" s="17" t="str">
        <f t="shared" si="29"/>
        <v>MRI</v>
      </c>
    </row>
    <row r="346">
      <c r="A346" s="14" t="s">
        <v>502</v>
      </c>
      <c r="B346" s="1" t="s">
        <v>502</v>
      </c>
      <c r="C346" s="1" t="str">
        <f>IFERROR(__xludf.DUMMYFUNCTION("XLOOKUP($B346,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0)"),"Brain")</f>
        <v>Brain</v>
      </c>
      <c r="D346" s="1" t="str">
        <f>IFERROR(__xludf.DUMMYFUNCTION("XLOOKUP($B346,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0)"),"Head and neck")</f>
        <v>Head and neck</v>
      </c>
      <c r="E346" s="1" t="str">
        <f>IFERROR(__xludf.DUMMYFUNCTION("XLOOKUP($B346,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0)"),"MRI")</f>
        <v>MRI</v>
      </c>
      <c r="F346" s="14" t="s">
        <v>17</v>
      </c>
      <c r="G346" s="25">
        <v>61029.0</v>
      </c>
      <c r="H346" s="1">
        <v>333.0</v>
      </c>
      <c r="I346" s="76" t="str">
        <f>IFERROR(__xludf.DUMMYFUNCTION("XLOOKUP(B346,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0)"),"https://www.cancerimagingarchive.net/analysis-result/ivygap-radiomics/")</f>
        <v>https://www.cancerimagingarchive.net/analysis-result/ivygap-radiomics/</v>
      </c>
      <c r="J346" s="17" t="str">
        <f t="shared" si="29"/>
        <v>MRI</v>
      </c>
    </row>
    <row r="347">
      <c r="A347" s="14" t="s">
        <v>460</v>
      </c>
      <c r="B347" s="1" t="s">
        <v>460</v>
      </c>
      <c r="C347" s="1" t="str">
        <f>IFERROR(__xludf.DUMMYFUNCTION("XLOOKUP($B347,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0)"),"Heart")</f>
        <v>Heart</v>
      </c>
      <c r="D347" s="1" t="str">
        <f>IFERROR(__xludf.DUMMYFUNCTION("XLOOKUP($B347,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0)"),"Heart and Blood Vessels")</f>
        <v>Heart and Blood Vessels</v>
      </c>
      <c r="E347" s="1" t="str">
        <f>IFERROR(__xludf.DUMMYFUNCTION("XLOOKUP($B347,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0)"),"CT")</f>
        <v>CT</v>
      </c>
      <c r="F347" s="14" t="s">
        <v>31</v>
      </c>
      <c r="G347" s="25">
        <v>54527.0</v>
      </c>
      <c r="H347" s="75">
        <v>54982.0</v>
      </c>
      <c r="I347" s="76" t="str">
        <f>IFERROR(__xludf.DUMMYFUNCTION("XLOOKUP(B347,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0)"),"https://stanfordaimi.azurewebsites.net/datasets/e8ca74dc-8dd4-4340-815a-60b41f6cb2aa")</f>
        <v>https://stanfordaimi.azurewebsites.net/datasets/e8ca74dc-8dd4-4340-815a-60b41f6cb2aa</v>
      </c>
      <c r="J347" s="17" t="str">
        <f t="shared" si="29"/>
        <v>CT</v>
      </c>
    </row>
    <row r="348">
      <c r="A348" s="14" t="s">
        <v>242</v>
      </c>
      <c r="B348" s="14" t="s">
        <v>1861</v>
      </c>
      <c r="C348" s="1" t="str">
        <f>IFERROR(__xludf.DUMMYFUNCTION("XLOOKUP($B348,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0)"),"Chest")</f>
        <v>Chest</v>
      </c>
      <c r="D348" s="1" t="str">
        <f>IFERROR(__xludf.DUMMYFUNCTION("XLOOKUP($B348,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0)"),"Lungs")</f>
        <v>Lungs</v>
      </c>
      <c r="E348" s="1" t="str">
        <f>IFERROR(__xludf.DUMMYFUNCTION("XLOOKUP($B348,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0)"),"CT")</f>
        <v>CT</v>
      </c>
      <c r="F348" s="14" t="s">
        <v>31</v>
      </c>
      <c r="G348" s="7">
        <v>51230.0</v>
      </c>
      <c r="H348" s="1">
        <v>422.0</v>
      </c>
      <c r="I348" s="11" t="s">
        <v>1863</v>
      </c>
      <c r="J348" s="17" t="str">
        <f t="shared" si="29"/>
        <v>CT</v>
      </c>
    </row>
    <row r="349">
      <c r="A349" s="14" t="s">
        <v>374</v>
      </c>
      <c r="B349" s="1" t="s">
        <v>374</v>
      </c>
      <c r="C349" s="1" t="str">
        <f>IFERROR(__xludf.DUMMYFUNCTION("XLOOKUP($B349,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0)"),"Chest")</f>
        <v>Chest</v>
      </c>
      <c r="D349" s="1" t="str">
        <f>IFERROR(__xludf.DUMMYFUNCTION("XLOOKUP($B349,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0)"),"Lungs")</f>
        <v>Lungs</v>
      </c>
      <c r="E349" s="1" t="str">
        <f>IFERROR(__xludf.DUMMYFUNCTION("XLOOKUP($B349,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0)"),"CT; PET; Nuclear medicine")</f>
        <v>CT; PET; Nuclear medicine</v>
      </c>
      <c r="F349" s="14" t="s">
        <v>31</v>
      </c>
      <c r="G349" s="25">
        <v>48931.0</v>
      </c>
      <c r="H349" s="75">
        <v>48931.0</v>
      </c>
      <c r="I349" s="76" t="str">
        <f>IFERROR(__xludf.DUMMYFUNCTION("XLOOKUP(B349,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0)"),"https://www.cancerimagingarchive.net/collection/tcga-luad")</f>
        <v>https://www.cancerimagingarchive.net/collection/tcga-luad</v>
      </c>
      <c r="J349" s="1" t="s">
        <v>31</v>
      </c>
    </row>
    <row r="350">
      <c r="A350" s="2" t="s">
        <v>113</v>
      </c>
      <c r="B350" s="17" t="s">
        <v>113</v>
      </c>
      <c r="C350" s="1" t="str">
        <f>IFERROR(__xludf.DUMMYFUNCTION("XLOOKUP($B350,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0)"),"Abdomen")</f>
        <v>Abdomen</v>
      </c>
      <c r="D350" s="1" t="s">
        <v>739</v>
      </c>
      <c r="E350" s="1" t="str">
        <f>IFERROR(__xludf.DUMMYFUNCTION("XLOOKUP($B350,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0)"),"Endoscopy")</f>
        <v>Endoscopy</v>
      </c>
      <c r="F350" s="6" t="s">
        <v>107</v>
      </c>
      <c r="G350" s="7">
        <v>47238.0</v>
      </c>
      <c r="H350" s="75">
        <v>47238.0</v>
      </c>
      <c r="I350" s="76" t="str">
        <f>IFERROR(__xludf.DUMMYFUNCTION("XLOOKUP(B350,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0)"),"https://datasets.simula.no/kvasir-capsule/")</f>
        <v>https://datasets.simula.no/kvasir-capsule/</v>
      </c>
      <c r="J350" s="17" t="str">
        <f t="shared" ref="J350:J359" si="30">IF(OR(F350="MRI", F350="Ultrasound", F350="Endoscopy", F350="Dermoscopy", F350="Fundus", F350="OCTA", F350="OCT"), F350, IF(OR(E350="Microscopy", E350="Histopathology", E350="Pathology", E350="CT", E350="PET", E350="X-Ray", E350="Mammography"), E350, ""))</f>
        <v>Endoscopy</v>
      </c>
    </row>
    <row r="351">
      <c r="A351" s="14" t="s">
        <v>258</v>
      </c>
      <c r="B351" s="1" t="s">
        <v>1874</v>
      </c>
      <c r="C351" s="1" t="str">
        <f>IFERROR(__xludf.DUMMYFUNCTION("XLOOKUP($B351,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0)"),"Brain")</f>
        <v>Brain</v>
      </c>
      <c r="D351" s="1" t="str">
        <f>IFERROR(__xludf.DUMMYFUNCTION("XLOOKUP($B351,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0)"),"Ears, Nose, Teeth, and Throat")</f>
        <v>Ears, Nose, Teeth, and Throat</v>
      </c>
      <c r="E351" s="1" t="str">
        <f>IFERROR(__xludf.DUMMYFUNCTION("XLOOKUP($B351,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0)"),"MRI")</f>
        <v>MRI</v>
      </c>
      <c r="F351" s="14" t="s">
        <v>17</v>
      </c>
      <c r="G351" s="24">
        <v>47130.0</v>
      </c>
      <c r="H351" s="75">
        <v>48582.0</v>
      </c>
      <c r="I351" s="76" t="str">
        <f>IFERROR(__xludf.DUMMYFUNCTION("XLOOKUP(B351,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0)"),"https://www.cancerimagingarchive.net/collection/vestibular-schwannoma-seg")</f>
        <v>https://www.cancerimagingarchive.net/collection/vestibular-schwannoma-seg</v>
      </c>
      <c r="J351" s="17" t="str">
        <f t="shared" si="30"/>
        <v>MRI</v>
      </c>
    </row>
    <row r="352">
      <c r="A352" s="14" t="s">
        <v>522</v>
      </c>
      <c r="B352" s="1" t="str">
        <f>IFERROR(__xludf.DUMMYFUNCTION("XLOOKUP($A352,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0)"),"Maclaren test-retest brain volume")</f>
        <v>Maclaren test-retest brain volume</v>
      </c>
      <c r="C352" s="1" t="str">
        <f>IFERROR(__xludf.DUMMYFUNCTION("XLOOKUP($B352,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0)"),"Brain")</f>
        <v>Brain</v>
      </c>
      <c r="D352" s="1" t="str">
        <f>IFERROR(__xludf.DUMMYFUNCTION("XLOOKUP($B352,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0)"),"Brain")</f>
        <v>Brain</v>
      </c>
      <c r="E352" s="1" t="str">
        <f>IFERROR(__xludf.DUMMYFUNCTION("XLOOKUP($B352,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0)"),"Structural MRI (T1)")</f>
        <v>Structural MRI (T1)</v>
      </c>
      <c r="F352" s="14" t="s">
        <v>17</v>
      </c>
      <c r="G352" s="7">
        <v>39814.0</v>
      </c>
      <c r="H352" s="1">
        <v>120.0</v>
      </c>
      <c r="I352" s="76" t="str">
        <f>IFERROR(__xludf.DUMMYFUNCTION("XLOOKUP(B352,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0)"),"https://openneuro.org/datasets/ds000239")</f>
        <v>https://openneuro.org/datasets/ds000239</v>
      </c>
      <c r="J352" s="17" t="str">
        <f t="shared" si="30"/>
        <v>MRI</v>
      </c>
    </row>
    <row r="353">
      <c r="A353" s="31" t="s">
        <v>37</v>
      </c>
      <c r="B353" s="31" t="s">
        <v>37</v>
      </c>
      <c r="C353" s="1" t="str">
        <f>IFERROR(__xludf.DUMMYFUNCTION("XLOOKUP($B353,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0)"),"Brain")</f>
        <v>Brain</v>
      </c>
      <c r="D353" s="1" t="str">
        <f>IFERROR(__xludf.DUMMYFUNCTION("XLOOKUP($B353,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0)"),"Brain")</f>
        <v>Brain</v>
      </c>
      <c r="E353" s="1" t="str">
        <f>IFERROR(__xludf.DUMMYFUNCTION("XLOOKUP($B353,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0)"),"Structural MRI (T1w, T2w), diffusion MRI, fMRI")</f>
        <v>Structural MRI (T1w, T2w), diffusion MRI, fMRI</v>
      </c>
      <c r="F353" s="27" t="s">
        <v>17</v>
      </c>
      <c r="G353" s="28">
        <v>39191.0</v>
      </c>
      <c r="I353" s="76" t="str">
        <f>IFERROR(__xludf.DUMMYFUNCTION("XLOOKUP(B353,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0)"),"http://www.humanconnectomeproject.org")</f>
        <v>http://www.humanconnectomeproject.org</v>
      </c>
      <c r="J353" s="17" t="str">
        <f t="shared" si="30"/>
        <v>MRI</v>
      </c>
    </row>
    <row r="354">
      <c r="A354" s="14" t="s">
        <v>409</v>
      </c>
      <c r="B354" s="1" t="str">
        <f>IFERROR(__xludf.DUMMYFUNCTION("XLOOKUP($A354,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0)"),"QIN-PROSTATE-Repeatability")</f>
        <v>QIN-PROSTATE-Repeatability</v>
      </c>
      <c r="C354" s="1" t="str">
        <f>IFERROR(__xludf.DUMMYFUNCTION("XLOOKUP($B354,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0)"),"Abdomen")</f>
        <v>Abdomen</v>
      </c>
      <c r="D354" s="1" t="str">
        <f>IFERROR(__xludf.DUMMYFUNCTION("XLOOKUP($B354,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0)"),"Abdomen")</f>
        <v>Abdomen</v>
      </c>
      <c r="E354" s="1" t="str">
        <f>IFERROR(__xludf.DUMMYFUNCTION("XLOOKUP($B354,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0)"),"MRI")</f>
        <v>MRI</v>
      </c>
      <c r="F354" s="14" t="s">
        <v>17</v>
      </c>
      <c r="G354" s="25">
        <v>38320.0</v>
      </c>
      <c r="H354" s="75">
        <v>38500.0</v>
      </c>
      <c r="I354" s="76" t="str">
        <f>IFERROR(__xludf.DUMMYFUNCTION("XLOOKUP(B354,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0)"),"https://www.cancerimagingarchive.net/collection/qin-prostate-repeatability/")</f>
        <v>https://www.cancerimagingarchive.net/collection/qin-prostate-repeatability/</v>
      </c>
      <c r="J354" s="17" t="str">
        <f t="shared" si="30"/>
        <v>MRI</v>
      </c>
    </row>
    <row r="355">
      <c r="A355" s="14" t="s">
        <v>452</v>
      </c>
      <c r="B355" s="14" t="s">
        <v>452</v>
      </c>
      <c r="C355" s="1" t="str">
        <f>IFERROR(__xludf.DUMMYFUNCTION("XLOOKUP($B355,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0)"),"Skin")</f>
        <v>Skin</v>
      </c>
      <c r="D355" s="1" t="str">
        <f>IFERROR(__xludf.DUMMYFUNCTION("XLOOKUP($B355,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0)"),"Skin")</f>
        <v>Skin</v>
      </c>
      <c r="E355" s="1" t="str">
        <f>IFERROR(__xludf.DUMMYFUNCTION("XLOOKUP($B355,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0)"),"MRI")</f>
        <v>MRI</v>
      </c>
      <c r="F355" s="14" t="s">
        <v>17</v>
      </c>
      <c r="G355" s="25">
        <v>37110.0</v>
      </c>
      <c r="H355" s="75">
        <v>37110.0</v>
      </c>
      <c r="I355" s="76" t="str">
        <f>IFERROR(__xludf.DUMMYFUNCTION("XLOOKUP(B355,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0)"),"https://www.cancerimagingarchive.net/collection/mouse-astrocytoma")</f>
        <v>https://www.cancerimagingarchive.net/collection/mouse-astrocytoma</v>
      </c>
      <c r="J355" s="17" t="str">
        <f t="shared" si="30"/>
        <v>MRI</v>
      </c>
    </row>
    <row r="356">
      <c r="A356" s="14" t="s">
        <v>436</v>
      </c>
      <c r="B356" s="1" t="str">
        <f>IFERROR(__xludf.DUMMYFUNCTION("XLOOKUP($A356,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0)"),"PROSTATE-DIAGNOSIS")</f>
        <v>PROSTATE-DIAGNOSIS</v>
      </c>
      <c r="C356" s="1" t="str">
        <f>IFERROR(__xludf.DUMMYFUNCTION("XLOOKUP($B356,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0)"),"Abdomen")</f>
        <v>Abdomen</v>
      </c>
      <c r="D356" s="1" t="str">
        <f>IFERROR(__xludf.DUMMYFUNCTION("XLOOKUP($B356,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0)"),"Male Reproductive Organs")</f>
        <v>Male Reproductive Organs</v>
      </c>
      <c r="E356" s="1" t="str">
        <f>IFERROR(__xludf.DUMMYFUNCTION("XLOOKUP($B356,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0)"),"MRI (T1, T2, DCE)")</f>
        <v>MRI (T1, T2, DCE)</v>
      </c>
      <c r="F356" s="14" t="s">
        <v>17</v>
      </c>
      <c r="G356" s="7">
        <v>32530.0</v>
      </c>
      <c r="H356" s="75">
        <v>30903.0</v>
      </c>
      <c r="I356" s="76" t="str">
        <f>IFERROR(__xludf.DUMMYFUNCTION("XLOOKUP(B356,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0)"),"https://www.cancerimagingarchive.net/collection/prostate-diagnosis")</f>
        <v>https://www.cancerimagingarchive.net/collection/prostate-diagnosis</v>
      </c>
      <c r="J356" s="17" t="str">
        <f t="shared" si="30"/>
        <v>MRI</v>
      </c>
    </row>
    <row r="357">
      <c r="A357" s="14" t="s">
        <v>345</v>
      </c>
      <c r="B357" s="14" t="s">
        <v>345</v>
      </c>
      <c r="C357" s="1" t="str">
        <f>IFERROR(__xludf.DUMMYFUNCTION("XLOOKUP($B357,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0)"),"Chest")</f>
        <v>Chest</v>
      </c>
      <c r="D357" s="1" t="str">
        <f>IFERROR(__xludf.DUMMYFUNCTION("XLOOKUP($B357,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0)"),"Lungs")</f>
        <v>Lungs</v>
      </c>
      <c r="E357" s="1" t="str">
        <f>IFERROR(__xludf.DUMMYFUNCTION("XLOOKUP($B357,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0)"),"CT")</f>
        <v>CT</v>
      </c>
      <c r="F357" s="14" t="s">
        <v>31</v>
      </c>
      <c r="G357" s="25">
        <v>31856.0</v>
      </c>
      <c r="H357" s="75">
        <v>31856.0</v>
      </c>
      <c r="I357" s="76" t="str">
        <f>IFERROR(__xludf.DUMMYFUNCTION("XLOOKUP(B357,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0)"),"https://www.cancerimagingarchive.net/collection/midrc-ricord-1a")</f>
        <v>https://www.cancerimagingarchive.net/collection/midrc-ricord-1a</v>
      </c>
      <c r="J357" s="17" t="str">
        <f t="shared" si="30"/>
        <v>CT</v>
      </c>
    </row>
    <row r="358">
      <c r="A358" s="14" t="s">
        <v>317</v>
      </c>
      <c r="B358" s="1" t="str">
        <f>IFERROR(__xludf.DUMMYFUNCTION("XLOOKUP($A358,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0)"),"QIN-Breast-02")</f>
        <v>QIN-Breast-02</v>
      </c>
      <c r="C358" s="1" t="str">
        <f>IFERROR(__xludf.DUMMYFUNCTION("XLOOKUP($B358,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0)"),"Chest")</f>
        <v>Chest</v>
      </c>
      <c r="D358" s="1" t="str">
        <f>IFERROR(__xludf.DUMMYFUNCTION("XLOOKUP($B358,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0)"),"Breast")</f>
        <v>Breast</v>
      </c>
      <c r="E358" s="1" t="str">
        <f>IFERROR(__xludf.DUMMYFUNCTION("XLOOKUP($B358,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0)"),"MRI")</f>
        <v>MRI</v>
      </c>
      <c r="F358" s="14" t="s">
        <v>17</v>
      </c>
      <c r="G358" s="7">
        <v>31790.0</v>
      </c>
      <c r="H358" s="75">
        <v>31790.0</v>
      </c>
      <c r="I358" s="76" t="str">
        <f>IFERROR(__xludf.DUMMYFUNCTION("XLOOKUP(B358,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0)"),"https://www.cancerimagingarchive.net/collection/qin-breast-02")</f>
        <v>https://www.cancerimagingarchive.net/collection/qin-breast-02</v>
      </c>
      <c r="J358" s="17" t="str">
        <f t="shared" si="30"/>
        <v>MRI</v>
      </c>
    </row>
    <row r="359">
      <c r="A359" s="2" t="s">
        <v>172</v>
      </c>
      <c r="B359" s="1" t="str">
        <f>IFERROR(__xludf.DUMMYFUNCTION("XLOOKUP($A359,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0)"),"SARAS-ESAD")</f>
        <v>SARAS-ESAD</v>
      </c>
      <c r="C359" s="1" t="str">
        <f>IFERROR(__xludf.DUMMYFUNCTION("XLOOKUP($B359,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0)"),"Abdomen")</f>
        <v>Abdomen</v>
      </c>
      <c r="D359" s="1" t="str">
        <f>IFERROR(__xludf.DUMMYFUNCTION("XLOOKUP($B359,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0)"),"Abdominal cavity")</f>
        <v>Abdominal cavity</v>
      </c>
      <c r="E359" s="1" t="str">
        <f>IFERROR(__xludf.DUMMYFUNCTION("XLOOKUP($B359,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0)"),"Endoscopy")</f>
        <v>Endoscopy</v>
      </c>
      <c r="F359" s="6" t="s">
        <v>107</v>
      </c>
      <c r="G359" s="7">
        <v>29887.0</v>
      </c>
      <c r="H359" s="75">
        <v>33398.0</v>
      </c>
      <c r="I359" s="76" t="str">
        <f>IFERROR(__xludf.DUMMYFUNCTION("XLOOKUP(B359,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0)"),"https://saras-esad.grand-challenge.org")</f>
        <v>https://saras-esad.grand-challenge.org</v>
      </c>
      <c r="J359" s="17" t="str">
        <f t="shared" si="30"/>
        <v>Endoscopy</v>
      </c>
    </row>
    <row r="360">
      <c r="A360" s="2" t="s">
        <v>1</v>
      </c>
      <c r="B360" s="2" t="s">
        <v>1</v>
      </c>
      <c r="C360" s="1" t="str">
        <f>IFERROR(__xludf.DUMMYFUNCTION("XLOOKUP($B360,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0)"),"Microscopy")</f>
        <v>Microscopy</v>
      </c>
      <c r="D360" s="1" t="str">
        <f>IFERROR(__xludf.DUMMYFUNCTION("XLOOKUP($B360,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0)"),"Tissue")</f>
        <v>Tissue</v>
      </c>
      <c r="E360" s="1" t="str">
        <f>IFERROR(__xludf.DUMMYFUNCTION("XLOOKUP($B360,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0)"),"Tissue pathology")</f>
        <v>Tissue pathology</v>
      </c>
      <c r="F360" s="6" t="s">
        <v>61</v>
      </c>
      <c r="G360" s="7">
        <v>25000.0</v>
      </c>
      <c r="H360" s="75">
        <v>25000.0</v>
      </c>
      <c r="I360" s="76" t="str">
        <f>IFERROR(__xludf.DUMMYFUNCTION("XLOOKUP(B360,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0)"),"https://github.com/tampapath/lung_colon_image_set")</f>
        <v>https://github.com/tampapath/lung_colon_image_set</v>
      </c>
      <c r="J360" s="1" t="s">
        <v>91</v>
      </c>
    </row>
    <row r="361">
      <c r="A361" s="14" t="s">
        <v>456</v>
      </c>
      <c r="B361" s="14" t="s">
        <v>456</v>
      </c>
      <c r="C361" s="1" t="str">
        <f>IFERROR(__xludf.DUMMYFUNCTION("XLOOKUP($B361,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0)"),"Skin")</f>
        <v>Skin</v>
      </c>
      <c r="D361" s="1" t="str">
        <f>IFERROR(__xludf.DUMMYFUNCTION("XLOOKUP($B361,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0)"),"Skin")</f>
        <v>Skin</v>
      </c>
      <c r="E361" s="1" t="str">
        <f>IFERROR(__xludf.DUMMYFUNCTION("XLOOKUP($B361,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0)"),"MRI")</f>
        <v>MRI</v>
      </c>
      <c r="F361" s="14" t="s">
        <v>17</v>
      </c>
      <c r="G361" s="25">
        <v>23487.0</v>
      </c>
      <c r="H361" s="75">
        <v>23487.0</v>
      </c>
      <c r="I361" s="76" t="str">
        <f>IFERROR(__xludf.DUMMYFUNCTION("XLOOKUP(B361,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0)"),"https://www.cancerimagingarchive.net/collection/mouse-mammary")</f>
        <v>https://www.cancerimagingarchive.net/collection/mouse-mammary</v>
      </c>
      <c r="J361" s="17" t="str">
        <f t="shared" ref="J361:J388" si="31">IF(OR(F361="MRI", F361="Ultrasound", F361="Endoscopy", F361="Dermoscopy", F361="Fundus", F361="OCTA", F361="OCT"), F361, IF(OR(E361="Microscopy", E361="Histopathology", E361="Pathology", E361="CT", E361="PET", E361="X-Ray", E361="Mammography"), E361, ""))</f>
        <v>MRI</v>
      </c>
    </row>
    <row r="362">
      <c r="A362" s="14" t="s">
        <v>360</v>
      </c>
      <c r="B362" s="46" t="s">
        <v>1886</v>
      </c>
      <c r="C362" s="1" t="str">
        <f>IFERROR(__xludf.DUMMYFUNCTION("XLOOKUP($B362,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0)"),"Chest")</f>
        <v>Chest</v>
      </c>
      <c r="D362" s="1" t="str">
        <f>IFERROR(__xludf.DUMMYFUNCTION("XLOOKUP($B362,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0)"),"Lungs")</f>
        <v>Lungs</v>
      </c>
      <c r="E362" s="1" t="str">
        <f>IFERROR(__xludf.DUMMYFUNCTION("XLOOKUP($B362,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0)"),"CT")</f>
        <v>CT</v>
      </c>
      <c r="F362" s="14" t="s">
        <v>31</v>
      </c>
      <c r="G362" s="25">
        <v>22489.0</v>
      </c>
      <c r="H362" s="75">
        <v>22489.0</v>
      </c>
      <c r="I362" s="76" t="str">
        <f>IFERROR(__xludf.DUMMYFUNCTION("XLOOKUP(B362,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0)"),"https://www.cancerimagingarchive.net/collection/spie-aapm-lung-ct-challenge")</f>
        <v>https://www.cancerimagingarchive.net/collection/spie-aapm-lung-ct-challenge</v>
      </c>
      <c r="J362" s="17" t="str">
        <f t="shared" si="31"/>
        <v>CT</v>
      </c>
    </row>
    <row r="363">
      <c r="A363" s="14" t="s">
        <v>339</v>
      </c>
      <c r="B363" s="14" t="s">
        <v>339</v>
      </c>
      <c r="C363" s="1" t="str">
        <f>IFERROR(__xludf.DUMMYFUNCTION("XLOOKUP($B363,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0)"),"Chest")</f>
        <v>Chest</v>
      </c>
      <c r="D363" s="1" t="str">
        <f>IFERROR(__xludf.DUMMYFUNCTION("XLOOKUP($B363,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0)"),"Lungs")</f>
        <v>Lungs</v>
      </c>
      <c r="E363" s="1" t="str">
        <f>IFERROR(__xludf.DUMMYFUNCTION("XLOOKUP($B363,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0)"),"CT")</f>
        <v>CT</v>
      </c>
      <c r="F363" s="14" t="s">
        <v>31</v>
      </c>
      <c r="G363" s="25">
        <v>21220.0</v>
      </c>
      <c r="H363" s="75">
        <v>21220.0</v>
      </c>
      <c r="I363" s="76" t="str">
        <f>IFERROR(__xludf.DUMMYFUNCTION("XLOOKUP(B363,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0)"),"https://www.cancerimagingarchive.net/collection/midrc-ricord-1b")</f>
        <v>https://www.cancerimagingarchive.net/collection/midrc-ricord-1b</v>
      </c>
      <c r="J363" s="17" t="str">
        <f t="shared" si="31"/>
        <v>CT</v>
      </c>
    </row>
    <row r="364">
      <c r="A364" s="14" t="s">
        <v>536</v>
      </c>
      <c r="B364" s="1" t="str">
        <f>IFERROR(__xludf.DUMMYFUNCTION("XLOOKUP($A364,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0)"),"SCA2 Diffusion Tensor Imaging")</f>
        <v>SCA2 Diffusion Tensor Imaging</v>
      </c>
      <c r="C364" s="1" t="str">
        <f>IFERROR(__xludf.DUMMYFUNCTION("XLOOKUP($B364,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0)"),"Brain")</f>
        <v>Brain</v>
      </c>
      <c r="D364" s="1" t="str">
        <f>IFERROR(__xludf.DUMMYFUNCTION("XLOOKUP($B364,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0)"),"Brain")</f>
        <v>Brain</v>
      </c>
      <c r="E364" s="1" t="str">
        <f>IFERROR(__xludf.DUMMYFUNCTION("XLOOKUP($B364,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0)"),"Structural MRI (T1), Diffusion MRI")</f>
        <v>Structural MRI (T1), Diffusion MRI</v>
      </c>
      <c r="F364" s="14" t="s">
        <v>17</v>
      </c>
      <c r="G364" s="15">
        <v>20282.0</v>
      </c>
      <c r="H364" s="1">
        <v>25.0</v>
      </c>
      <c r="I364" s="76" t="str">
        <f>IFERROR(__xludf.DUMMYFUNCTION("XLOOKUP(B364,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0)"),"https://openneuro.org/datasets/ds001378/versions/00003")</f>
        <v>https://openneuro.org/datasets/ds001378/versions/00003</v>
      </c>
      <c r="J364" s="17" t="str">
        <f t="shared" si="31"/>
        <v>MRI</v>
      </c>
    </row>
    <row r="365">
      <c r="A365" s="14" t="s">
        <v>256</v>
      </c>
      <c r="B365" s="14" t="s">
        <v>256</v>
      </c>
      <c r="C365" s="1" t="s">
        <v>246</v>
      </c>
      <c r="D365" s="1" t="s">
        <v>246</v>
      </c>
      <c r="E365" s="14" t="s">
        <v>17</v>
      </c>
      <c r="F365" s="14" t="s">
        <v>17</v>
      </c>
      <c r="G365" s="7">
        <v>18985.0</v>
      </c>
      <c r="H365" s="7">
        <v>18985.0</v>
      </c>
      <c r="I365" s="17">
        <f>IFERROR(__xludf.DUMMYFUNCTION("XLOOKUP(B365,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0)"),0.0)</f>
        <v>0</v>
      </c>
      <c r="J365" s="17" t="str">
        <f t="shared" si="31"/>
        <v>MRI</v>
      </c>
    </row>
    <row r="366">
      <c r="A366" s="14" t="s">
        <v>427</v>
      </c>
      <c r="B366" s="1" t="str">
        <f>IFERROR(__xludf.DUMMYFUNCTION("XLOOKUP($A366,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0)"),"TCGA-CESC")</f>
        <v>TCGA-CESC</v>
      </c>
      <c r="C366" s="1" t="str">
        <f>IFERROR(__xludf.DUMMYFUNCTION("XLOOKUP($B366,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0)"),"Abdomen")</f>
        <v>Abdomen</v>
      </c>
      <c r="D366" s="1" t="str">
        <f>IFERROR(__xludf.DUMMYFUNCTION("XLOOKUP($B366,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0)"),"Female Reproductive Organs")</f>
        <v>Female Reproductive Organs</v>
      </c>
      <c r="E366" s="1" t="str">
        <f>IFERROR(__xludf.DUMMYFUNCTION("XLOOKUP($B366,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0)"),"MR")</f>
        <v>MR</v>
      </c>
      <c r="F366" s="14" t="s">
        <v>17</v>
      </c>
      <c r="G366" s="25">
        <v>18985.0</v>
      </c>
      <c r="H366" s="75">
        <v>19135.0</v>
      </c>
      <c r="I366" s="76" t="str">
        <f>IFERROR(__xludf.DUMMYFUNCTION("XLOOKUP(B366,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0)"),"https://www.cancerimagingarchive.net/collection/tcga-cesc")</f>
        <v>https://www.cancerimagingarchive.net/collection/tcga-cesc</v>
      </c>
      <c r="J366" s="17" t="str">
        <f t="shared" si="31"/>
        <v>MRI</v>
      </c>
    </row>
    <row r="367">
      <c r="A367" s="14" t="s">
        <v>404</v>
      </c>
      <c r="B367" s="1" t="str">
        <f>IFERROR(__xludf.DUMMYFUNCTION("XLOOKUP($A367,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0)"),"Pancreas-CT")</f>
        <v>Pancreas-CT</v>
      </c>
      <c r="C367" s="1" t="str">
        <f>IFERROR(__xludf.DUMMYFUNCTION("XLOOKUP($B367,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0)"),"Abdomen")</f>
        <v>Abdomen</v>
      </c>
      <c r="D367" s="1" t="str">
        <f>IFERROR(__xludf.DUMMYFUNCTION("XLOOKUP($B367,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0)"),"Abdomen")</f>
        <v>Abdomen</v>
      </c>
      <c r="E367" s="1" t="str">
        <f>IFERROR(__xludf.DUMMYFUNCTION("XLOOKUP($B367,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0)"),"CT")</f>
        <v>CT</v>
      </c>
      <c r="F367" s="14" t="s">
        <v>31</v>
      </c>
      <c r="G367" s="25">
        <v>18942.0</v>
      </c>
      <c r="H367" s="75">
        <v>18942.0</v>
      </c>
      <c r="I367" s="76" t="str">
        <f>IFERROR(__xludf.DUMMYFUNCTION("XLOOKUP(B367,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0)"),"https://www.cancerimagingarchive.net/collection/pancreas-ct/")</f>
        <v>https://www.cancerimagingarchive.net/collection/pancreas-ct/</v>
      </c>
      <c r="J367" s="17" t="str">
        <f t="shared" si="31"/>
        <v>CT</v>
      </c>
    </row>
    <row r="368">
      <c r="A368" s="14" t="s">
        <v>416</v>
      </c>
      <c r="B368" s="1" t="str">
        <f>IFERROR(__xludf.DUMMYFUNCTION("XLOOKUP($A368,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0)"),"Surgical scene segmentation")</f>
        <v>Surgical scene segmentation</v>
      </c>
      <c r="C368" s="1" t="str">
        <f>IFERROR(__xludf.DUMMYFUNCTION("XLOOKUP($B368,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0)"),"Abdomen")</f>
        <v>Abdomen</v>
      </c>
      <c r="D368" s="1" t="str">
        <f>IFERROR(__xludf.DUMMYFUNCTION("XLOOKUP($B368,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0)"),"Abdomen")</f>
        <v>Abdomen</v>
      </c>
      <c r="E368" s="1" t="str">
        <f>IFERROR(__xludf.DUMMYFUNCTION("XLOOKUP($B368,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0)"),"Endoscopy")</f>
        <v>Endoscopy</v>
      </c>
      <c r="F368" s="14" t="s">
        <v>107</v>
      </c>
      <c r="G368" s="7">
        <v>18218.0</v>
      </c>
      <c r="H368" s="1">
        <v>70.0</v>
      </c>
      <c r="I368" s="76" t="str">
        <f>IFERROR(__xludf.DUMMYFUNCTION("XLOOKUP(B368,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0)"),"https://sisvse.github.io/")</f>
        <v>https://sisvse.github.io/</v>
      </c>
      <c r="J368" s="17" t="str">
        <f t="shared" si="31"/>
        <v>Endoscopy</v>
      </c>
    </row>
    <row r="369">
      <c r="A369" s="14" t="s">
        <v>411</v>
      </c>
      <c r="B369" s="1" t="str">
        <f>IFERROR(__xludf.DUMMYFUNCTION("XLOOKUP($A369,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0)"),"Adrenal-ACC-Ki67-Seg")</f>
        <v>Adrenal-ACC-Ki67-Seg</v>
      </c>
      <c r="C369" s="1" t="str">
        <f>IFERROR(__xludf.DUMMYFUNCTION("XLOOKUP($B369,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0)"),"Abdomen")</f>
        <v>Abdomen</v>
      </c>
      <c r="D369" s="1" t="str">
        <f>IFERROR(__xludf.DUMMYFUNCTION("XLOOKUP($B369,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0)"),"Abdomen")</f>
        <v>Abdomen</v>
      </c>
      <c r="E369" s="1" t="str">
        <f>IFERROR(__xludf.DUMMYFUNCTION("XLOOKUP($B369,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0)"),"CT")</f>
        <v>CT</v>
      </c>
      <c r="F369" s="14" t="s">
        <v>31</v>
      </c>
      <c r="G369" s="7">
        <v>18202.0</v>
      </c>
      <c r="H369" s="75">
        <v>18255.0</v>
      </c>
      <c r="I369" s="76" t="str">
        <f>IFERROR(__xludf.DUMMYFUNCTION("XLOOKUP(B369,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0)"),"https://www.cancerimagingarchive.net/collection/adrenal-acc-ki67-seg/")</f>
        <v>https://www.cancerimagingarchive.net/collection/adrenal-acc-ki67-seg/</v>
      </c>
      <c r="J369" s="17" t="str">
        <f t="shared" si="31"/>
        <v>CT</v>
      </c>
    </row>
    <row r="370">
      <c r="A370" s="2" t="s">
        <v>140</v>
      </c>
      <c r="B370" s="51" t="s">
        <v>140</v>
      </c>
      <c r="C370" s="1" t="s">
        <v>301</v>
      </c>
      <c r="D370" s="1" t="s">
        <v>301</v>
      </c>
      <c r="E370" s="17" t="s">
        <v>81</v>
      </c>
      <c r="F370" s="6" t="s">
        <v>81</v>
      </c>
      <c r="G370" s="7">
        <v>18000.0</v>
      </c>
      <c r="H370" s="7">
        <v>18000.0</v>
      </c>
      <c r="I370" s="11" t="s">
        <v>1887</v>
      </c>
      <c r="J370" s="17" t="str">
        <f t="shared" si="31"/>
        <v>X-Ray</v>
      </c>
    </row>
    <row r="371">
      <c r="A371" s="4" t="s">
        <v>136</v>
      </c>
      <c r="B371" s="14" t="s">
        <v>889</v>
      </c>
      <c r="C371" s="1" t="str">
        <f>IFERROR(__xludf.DUMMYFUNCTION("XLOOKUP($B371,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0)"),"Skin")</f>
        <v>Skin</v>
      </c>
      <c r="D371" s="1" t="str">
        <f>IFERROR(__xludf.DUMMYFUNCTION("XLOOKUP($B371,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0)"),"Skin")</f>
        <v>Skin</v>
      </c>
      <c r="E371" s="1" t="str">
        <f>IFERROR(__xludf.DUMMYFUNCTION("XLOOKUP($B371,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0)"),"Dermoscopy")</f>
        <v>Dermoscopy</v>
      </c>
      <c r="F371" s="2" t="s">
        <v>64</v>
      </c>
      <c r="G371" s="7">
        <v>16577.0</v>
      </c>
      <c r="H371" s="75">
        <v>16577.0</v>
      </c>
      <c r="I371" s="76" t="str">
        <f>IFERROR(__xludf.DUMMYFUNCTION("XLOOKUP(B371,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0)"),"https://github.com/mattgroh/fitzpatrick17k")</f>
        <v>https://github.com/mattgroh/fitzpatrick17k</v>
      </c>
      <c r="J371" s="17" t="str">
        <f t="shared" si="31"/>
        <v>Dermoscopy</v>
      </c>
    </row>
    <row r="372">
      <c r="A372" s="14" t="s">
        <v>490</v>
      </c>
      <c r="B372" s="14" t="s">
        <v>490</v>
      </c>
      <c r="C372" s="1" t="str">
        <f>IFERROR(__xludf.DUMMYFUNCTION("XLOOKUP($B372,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0)"),"Chest")</f>
        <v>Chest</v>
      </c>
      <c r="D372" s="1" t="str">
        <f>IFERROR(__xludf.DUMMYFUNCTION("XLOOKUP($B372,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0)"),"Lungs")</f>
        <v>Lungs</v>
      </c>
      <c r="E372" s="1" t="str">
        <f>IFERROR(__xludf.DUMMYFUNCTION("XLOOKUP($B372,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0)"),"Ultrasound")</f>
        <v>Ultrasound</v>
      </c>
      <c r="F372" s="14" t="s">
        <v>54</v>
      </c>
      <c r="G372" s="7">
        <v>15942.0</v>
      </c>
      <c r="H372" s="7">
        <v>15942.0</v>
      </c>
      <c r="I372" s="76" t="str">
        <f>IFERROR(__xludf.DUMMYFUNCTION("XLOOKUP(B372,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0)"),"https://github.com/NinaWie/COVID-BLUES")</f>
        <v>https://github.com/NinaWie/COVID-BLUES</v>
      </c>
      <c r="J372" s="17" t="str">
        <f t="shared" si="31"/>
        <v>Ultrasound</v>
      </c>
    </row>
    <row r="373">
      <c r="A373" s="4" t="s">
        <v>152</v>
      </c>
      <c r="B373" s="14" t="s">
        <v>152</v>
      </c>
      <c r="C373" s="1" t="s">
        <v>301</v>
      </c>
      <c r="D373" s="1" t="s">
        <v>301</v>
      </c>
      <c r="E373" s="6" t="s">
        <v>81</v>
      </c>
      <c r="F373" s="6" t="s">
        <v>81</v>
      </c>
      <c r="G373" s="7">
        <v>15146.0</v>
      </c>
      <c r="H373" s="75">
        <v>16093.0</v>
      </c>
      <c r="I373" s="11" t="s">
        <v>715</v>
      </c>
      <c r="J373" s="17" t="str">
        <f t="shared" si="31"/>
        <v>X-Ray</v>
      </c>
      <c r="O373" s="1"/>
    </row>
    <row r="374">
      <c r="A374" s="4" t="s">
        <v>143</v>
      </c>
      <c r="B374" s="14" t="s">
        <v>1888</v>
      </c>
      <c r="C374" s="1" t="str">
        <f>IFERROR(__xludf.DUMMYFUNCTION("XLOOKUP($B374,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0)"),"Brain")</f>
        <v>Brain</v>
      </c>
      <c r="D374" s="1" t="s">
        <v>697</v>
      </c>
      <c r="E374" s="1" t="str">
        <f>IFERROR(__xludf.DUMMYFUNCTION("XLOOKUP($B374,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0)"),"Retinal images")</f>
        <v>Retinal images</v>
      </c>
      <c r="F374" s="12" t="s">
        <v>100</v>
      </c>
      <c r="G374" s="7">
        <v>14813.0</v>
      </c>
      <c r="H374" s="7">
        <v>14813.0</v>
      </c>
      <c r="I374" s="76" t="str">
        <f>IFERROR(__xludf.DUMMYFUNCTION("XLOOKUP(B374,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0)"),"https://www.kaggle.com/datasets/nurmukhammed7/augemnted-ocular-diseases")</f>
        <v>https://www.kaggle.com/datasets/nurmukhammed7/augemnted-ocular-diseases</v>
      </c>
      <c r="J374" s="17" t="str">
        <f t="shared" si="31"/>
        <v>Fundus</v>
      </c>
    </row>
    <row r="375">
      <c r="A375" s="4" t="s">
        <v>149</v>
      </c>
      <c r="B375" s="4" t="s">
        <v>149</v>
      </c>
      <c r="C375" s="1" t="str">
        <f>IFERROR(__xludf.DUMMYFUNCTION("XLOOKUP($B375,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0)"),"Brain")</f>
        <v>Brain</v>
      </c>
      <c r="D375" s="1" t="str">
        <f>IFERROR(__xludf.DUMMYFUNCTION("XLOOKUP($B375,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0)"),"Eyes")</f>
        <v>Eyes</v>
      </c>
      <c r="E375" s="1" t="str">
        <f>IFERROR(__xludf.DUMMYFUNCTION("XLOOKUP($B375,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0)"),"Fundus photograph")</f>
        <v>Fundus photograph</v>
      </c>
      <c r="F375" s="12" t="s">
        <v>100</v>
      </c>
      <c r="G375" s="7">
        <v>14430.0</v>
      </c>
      <c r="H375" s="7">
        <v>14430.0</v>
      </c>
      <c r="I375" s="76" t="str">
        <f>IFERROR(__xludf.DUMMYFUNCTION("XLOOKUP(B375,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0)"),"https://github.com/nkicsl/DDR-dataset")</f>
        <v>https://github.com/nkicsl/DDR-dataset</v>
      </c>
      <c r="J375" s="17" t="str">
        <f t="shared" si="31"/>
        <v>Fundus</v>
      </c>
    </row>
    <row r="376">
      <c r="A376" s="4" t="s">
        <v>155</v>
      </c>
      <c r="B376" s="51" t="s">
        <v>1889</v>
      </c>
      <c r="C376" s="1" t="s">
        <v>977</v>
      </c>
      <c r="D376" s="1" t="s">
        <v>1621</v>
      </c>
      <c r="E376" s="6" t="s">
        <v>81</v>
      </c>
      <c r="F376" s="6" t="s">
        <v>81</v>
      </c>
      <c r="G376" s="7">
        <v>10466.0</v>
      </c>
      <c r="H376" s="7">
        <v>10466.0</v>
      </c>
      <c r="I376" s="11" t="s">
        <v>1890</v>
      </c>
      <c r="J376" s="17" t="str">
        <f t="shared" si="31"/>
        <v>X-Ray</v>
      </c>
    </row>
    <row r="377">
      <c r="A377" s="14" t="s">
        <v>442</v>
      </c>
      <c r="B377" s="1" t="str">
        <f>IFERROR(__xludf.DUMMYFUNCTION("XLOOKUP($A377,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0)"),"SCIN")</f>
        <v>SCIN</v>
      </c>
      <c r="C377" s="1" t="str">
        <f>IFERROR(__xludf.DUMMYFUNCTION("XLOOKUP($B377,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0)"),"Skin")</f>
        <v>Skin</v>
      </c>
      <c r="D377" s="1" t="str">
        <f>IFERROR(__xludf.DUMMYFUNCTION("XLOOKUP($B377,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0)"),"Skin")</f>
        <v>Skin</v>
      </c>
      <c r="E377" s="1" t="str">
        <f>IFERROR(__xludf.DUMMYFUNCTION("XLOOKUP($B377,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0)"),"Dermatology image")</f>
        <v>Dermatology image</v>
      </c>
      <c r="F377" s="14" t="s">
        <v>64</v>
      </c>
      <c r="G377" s="25">
        <v>10379.0</v>
      </c>
      <c r="H377" s="75">
        <v>10000.0</v>
      </c>
      <c r="I377" s="76" t="str">
        <f>IFERROR(__xludf.DUMMYFUNCTION("XLOOKUP(B377,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0)"),"https://research.google/blog/scin-a-new-resource-for-representative-dermatology-images/")</f>
        <v>https://research.google/blog/scin-a-new-resource-for-representative-dermatology-images/</v>
      </c>
      <c r="J377" s="17" t="str">
        <f t="shared" si="31"/>
        <v>Dermoscopy</v>
      </c>
    </row>
    <row r="378">
      <c r="A378" s="14" t="s">
        <v>336</v>
      </c>
      <c r="B378" s="14" t="s">
        <v>336</v>
      </c>
      <c r="C378" s="1" t="str">
        <f>IFERROR(__xludf.DUMMYFUNCTION("XLOOKUP($B378,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0)"),"Chest")</f>
        <v>Chest</v>
      </c>
      <c r="D378" s="1" t="str">
        <f>IFERROR(__xludf.DUMMYFUNCTION("XLOOKUP($B378,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0)"),"Lungs")</f>
        <v>Lungs</v>
      </c>
      <c r="E378" s="1" t="str">
        <f>IFERROR(__xludf.DUMMYFUNCTION("XLOOKUP($B378,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0)"),"CT")</f>
        <v>CT</v>
      </c>
      <c r="F378" s="14" t="s">
        <v>31</v>
      </c>
      <c r="G378" s="25">
        <v>9534.0</v>
      </c>
      <c r="H378" s="75">
        <v>9593.0</v>
      </c>
      <c r="I378" s="76" t="str">
        <f>IFERROR(__xludf.DUMMYFUNCTION("XLOOKUP(B378,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0)"),"https://www.cancerimagingarchive.net/collection/lctsc")</f>
        <v>https://www.cancerimagingarchive.net/collection/lctsc</v>
      </c>
      <c r="J378" s="17" t="str">
        <f t="shared" si="31"/>
        <v>CT</v>
      </c>
    </row>
    <row r="379">
      <c r="A379" s="2" t="s">
        <v>160</v>
      </c>
      <c r="B379" s="2" t="s">
        <v>160</v>
      </c>
      <c r="C379" s="1" t="str">
        <f>IFERROR(__xludf.DUMMYFUNCTION("XLOOKUP($B379,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0)"),"Chest")</f>
        <v>Chest</v>
      </c>
      <c r="D379" s="1" t="str">
        <f>IFERROR(__xludf.DUMMYFUNCTION("XLOOKUP($B379,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0)"),"Lungs")</f>
        <v>Lungs</v>
      </c>
      <c r="E379" s="1" t="str">
        <f>IFERROR(__xludf.DUMMYFUNCTION("XLOOKUP($B379,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0)"),"X-ray")</f>
        <v>X-ray</v>
      </c>
      <c r="F379" s="6" t="s">
        <v>81</v>
      </c>
      <c r="G379" s="7">
        <v>9125.0</v>
      </c>
      <c r="H379" s="1">
        <v>52.0</v>
      </c>
      <c r="I379" s="76" t="str">
        <f>IFERROR(__xludf.DUMMYFUNCTION("XLOOKUP(B379,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0)"),"https://physionet.org/content/vindr-pcxr")</f>
        <v>https://physionet.org/content/vindr-pcxr</v>
      </c>
      <c r="J379" s="17" t="str">
        <f t="shared" si="31"/>
        <v>X-ray</v>
      </c>
    </row>
    <row r="380">
      <c r="A380" s="4" t="s">
        <v>158</v>
      </c>
      <c r="B380" s="4" t="s">
        <v>158</v>
      </c>
      <c r="C380" s="1" t="s">
        <v>301</v>
      </c>
      <c r="D380" s="1" t="s">
        <v>319</v>
      </c>
      <c r="E380" s="1" t="s">
        <v>81</v>
      </c>
      <c r="F380" s="6" t="s">
        <v>81</v>
      </c>
      <c r="G380" s="7">
        <v>8710.0</v>
      </c>
      <c r="H380" s="1">
        <v>8000.0</v>
      </c>
      <c r="I380" s="11" t="s">
        <v>708</v>
      </c>
      <c r="J380" s="17" t="str">
        <f t="shared" si="31"/>
        <v>X-Ray</v>
      </c>
    </row>
    <row r="381">
      <c r="A381" s="14" t="s">
        <v>424</v>
      </c>
      <c r="B381" s="1" t="str">
        <f>IFERROR(__xludf.DUMMYFUNCTION("XLOOKUP($A381,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0)"),"EndoCV2021")</f>
        <v>EndoCV2021</v>
      </c>
      <c r="C381" s="1" t="str">
        <f>IFERROR(__xludf.DUMMYFUNCTION("XLOOKUP($B381,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0)"),"Abdomen")</f>
        <v>Abdomen</v>
      </c>
      <c r="D381" s="1" t="str">
        <f>IFERROR(__xludf.DUMMYFUNCTION("XLOOKUP($B381,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0)"),"Bowel")</f>
        <v>Bowel</v>
      </c>
      <c r="E381" s="1" t="str">
        <f>IFERROR(__xludf.DUMMYFUNCTION("XLOOKUP($B381,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0)"),"Endoscopy")</f>
        <v>Endoscopy</v>
      </c>
      <c r="F381" s="14" t="s">
        <v>107</v>
      </c>
      <c r="G381" s="25">
        <v>8037.0</v>
      </c>
      <c r="H381" s="25">
        <v>8037.0</v>
      </c>
      <c r="I381" s="76" t="str">
        <f>IFERROR(__xludf.DUMMYFUNCTION("XLOOKUP(B381,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0)"),"https://endocv2021.grand-challenge.org")</f>
        <v>https://endocv2021.grand-challenge.org</v>
      </c>
      <c r="J381" s="17" t="str">
        <f t="shared" si="31"/>
        <v>Endoscopy</v>
      </c>
    </row>
    <row r="382">
      <c r="A382" s="2" t="s">
        <v>162</v>
      </c>
      <c r="B382" s="2" t="s">
        <v>162</v>
      </c>
      <c r="C382" s="1" t="s">
        <v>301</v>
      </c>
      <c r="D382" s="1" t="s">
        <v>319</v>
      </c>
      <c r="E382" s="1" t="s">
        <v>81</v>
      </c>
      <c r="F382" s="6" t="s">
        <v>81</v>
      </c>
      <c r="G382" s="7">
        <v>7470.0</v>
      </c>
      <c r="H382" s="1">
        <v>3851.0</v>
      </c>
      <c r="I382" s="11" t="s">
        <v>1891</v>
      </c>
      <c r="J382" s="17" t="str">
        <f t="shared" si="31"/>
        <v>X-Ray</v>
      </c>
    </row>
    <row r="383">
      <c r="A383" s="14" t="s">
        <v>293</v>
      </c>
      <c r="B383" s="1" t="str">
        <f>IFERROR(__xludf.DUMMYFUNCTION("XLOOKUP($A383,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0)"),"QIN-LungCT-Seg")</f>
        <v>QIN-LungCT-Seg</v>
      </c>
      <c r="C383" s="1" t="str">
        <f>IFERROR(__xludf.DUMMYFUNCTION("XLOOKUP($B383,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0)"),"Chest")</f>
        <v>Chest</v>
      </c>
      <c r="D383" s="1" t="str">
        <f>IFERROR(__xludf.DUMMYFUNCTION("XLOOKUP($B383,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0)"),"Lung")</f>
        <v>Lung</v>
      </c>
      <c r="E383" s="1" t="str">
        <f>IFERROR(__xludf.DUMMYFUNCTION("XLOOKUP($B383,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0)"),"CT")</f>
        <v>CT</v>
      </c>
      <c r="F383" s="14" t="s">
        <v>31</v>
      </c>
      <c r="G383" s="7">
        <v>6814.0</v>
      </c>
      <c r="H383" s="75">
        <v>7192.0</v>
      </c>
      <c r="I383" s="76" t="str">
        <f>IFERROR(__xludf.DUMMYFUNCTION("XLOOKUP(B383,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0)"),"https://www.cancerimagingarchive.net/analysis-result/qin-lungct-seg/")</f>
        <v>https://www.cancerimagingarchive.net/analysis-result/qin-lungct-seg/</v>
      </c>
      <c r="J383" s="17" t="str">
        <f t="shared" si="31"/>
        <v>CT</v>
      </c>
    </row>
    <row r="384">
      <c r="A384" s="14" t="s">
        <v>305</v>
      </c>
      <c r="B384" s="1" t="str">
        <f>IFERROR(__xludf.DUMMYFUNCTION("XLOOKUP($A384,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0)"),"CBIS-DDSM")</f>
        <v>CBIS-DDSM</v>
      </c>
      <c r="C384" s="1" t="str">
        <f>IFERROR(__xludf.DUMMYFUNCTION("XLOOKUP($B384,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0)"),"Chest")</f>
        <v>Chest</v>
      </c>
      <c r="D384" s="1" t="str">
        <f>IFERROR(__xludf.DUMMYFUNCTION("XLOOKUP($B384,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0)"),"Breast")</f>
        <v>Breast</v>
      </c>
      <c r="E384" s="1" t="str">
        <f>IFERROR(__xludf.DUMMYFUNCTION("XLOOKUP($B384,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0)"),"X-ray")</f>
        <v>X-ray</v>
      </c>
      <c r="F384" s="12" t="s">
        <v>81</v>
      </c>
      <c r="G384" s="7">
        <v>6671.0</v>
      </c>
      <c r="H384" s="7">
        <v>6671.0</v>
      </c>
      <c r="I384" s="76" t="str">
        <f>IFERROR(__xludf.DUMMYFUNCTION("XLOOKUP(B384,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0)"),"https://www.cancerimagingarchive.net/collection/cbis-ddsm/")</f>
        <v>https://www.cancerimagingarchive.net/collection/cbis-ddsm/</v>
      </c>
      <c r="J384" s="17" t="str">
        <f t="shared" si="31"/>
        <v>X-ray</v>
      </c>
    </row>
    <row r="385">
      <c r="A385" s="14" t="s">
        <v>302</v>
      </c>
      <c r="B385" s="1" t="str">
        <f>IFERROR(__xludf.DUMMYFUNCTION("XLOOKUP($A385,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0)"),"CMMD")</f>
        <v>CMMD</v>
      </c>
      <c r="C385" s="1" t="str">
        <f>IFERROR(__xludf.DUMMYFUNCTION("XLOOKUP($B385,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0)"),"Chest")</f>
        <v>Chest</v>
      </c>
      <c r="D385" s="1" t="str">
        <f>IFERROR(__xludf.DUMMYFUNCTION("XLOOKUP($B385,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0)"),"Chest")</f>
        <v>Chest</v>
      </c>
      <c r="E385" s="1" t="str">
        <f>IFERROR(__xludf.DUMMYFUNCTION("XLOOKUP($B385,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0)"),"X-ray")</f>
        <v>X-ray</v>
      </c>
      <c r="F385" s="12" t="s">
        <v>81</v>
      </c>
      <c r="G385" s="7">
        <v>5202.0</v>
      </c>
      <c r="H385" s="7">
        <v>5202.0</v>
      </c>
      <c r="I385" s="76" t="str">
        <f>IFERROR(__xludf.DUMMYFUNCTION("XLOOKUP(B385,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0)"),"https://www.cancerimagingarchive.net/collection/cmmd/")</f>
        <v>https://www.cancerimagingarchive.net/collection/cmmd/</v>
      </c>
      <c r="J385" s="17" t="str">
        <f t="shared" si="31"/>
        <v>X-ray</v>
      </c>
    </row>
    <row r="386">
      <c r="A386" s="14" t="s">
        <v>377</v>
      </c>
      <c r="B386" s="14" t="s">
        <v>377</v>
      </c>
      <c r="C386" s="1" t="str">
        <f>IFERROR(__xludf.DUMMYFUNCTION("XLOOKUP($B386,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0)"),"Brain")</f>
        <v>Brain</v>
      </c>
      <c r="D386" s="1" t="str">
        <f>IFERROR(__xludf.DUMMYFUNCTION("XLOOKUP($B386,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0)"),"Brain tumor")</f>
        <v>Brain tumor</v>
      </c>
      <c r="E386" s="1" t="str">
        <f>IFERROR(__xludf.DUMMYFUNCTION("XLOOKUP($B386,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0)"),"MRI")</f>
        <v>MRI</v>
      </c>
      <c r="F386" s="14" t="s">
        <v>17</v>
      </c>
      <c r="G386" s="7">
        <v>3861.0</v>
      </c>
      <c r="H386" s="7">
        <v>3861.0</v>
      </c>
      <c r="I386" s="76" t="str">
        <f>IFERROR(__xludf.DUMMYFUNCTION("XLOOKUP(B386,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0)"),"https://www.heywhale.com/mw/dataset/61d3e5682d30dc001701f728")</f>
        <v>https://www.heywhale.com/mw/dataset/61d3e5682d30dc001701f728</v>
      </c>
      <c r="J386" s="17" t="str">
        <f t="shared" si="31"/>
        <v>MRI</v>
      </c>
    </row>
    <row r="387">
      <c r="A387" s="14" t="s">
        <v>358</v>
      </c>
      <c r="B387" s="14" t="s">
        <v>358</v>
      </c>
      <c r="C387" s="1" t="str">
        <f>IFERROR(__xludf.DUMMYFUNCTION("XLOOKUP($B387,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0)"),"Chest")</f>
        <v>Chest</v>
      </c>
      <c r="D387" s="1" t="str">
        <f>IFERROR(__xludf.DUMMYFUNCTION("XLOOKUP($B387,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0)"),"Lungs")</f>
        <v>Lungs</v>
      </c>
      <c r="E387" s="1" t="str">
        <f>IFERROR(__xludf.DUMMYFUNCTION("XLOOKUP($B387,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0)"),"CT")</f>
        <v>CT</v>
      </c>
      <c r="F387" s="14" t="s">
        <v>31</v>
      </c>
      <c r="G387" s="25">
        <v>3844.0</v>
      </c>
      <c r="H387" s="75">
        <v>3886.0</v>
      </c>
      <c r="I387" s="76" t="str">
        <f>IFERROR(__xludf.DUMMYFUNCTION("XLOOKUP(B387,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0)"),"https://www.cancerimagingarchive.net/collection/nsclc-radiomics-interobserver1/")</f>
        <v>https://www.cancerimagingarchive.net/collection/nsclc-radiomics-interobserver1/</v>
      </c>
      <c r="J387" s="17" t="str">
        <f t="shared" si="31"/>
        <v>CT</v>
      </c>
    </row>
    <row r="388">
      <c r="A388" s="2" t="s">
        <v>166</v>
      </c>
      <c r="B388" s="2" t="s">
        <v>166</v>
      </c>
      <c r="C388" s="1" t="s">
        <v>744</v>
      </c>
      <c r="D388" s="1" t="s">
        <v>941</v>
      </c>
      <c r="E388" s="1" t="s">
        <v>81</v>
      </c>
      <c r="F388" s="6" t="s">
        <v>81</v>
      </c>
      <c r="G388" s="7">
        <v>3368.0</v>
      </c>
      <c r="H388" s="1">
        <v>1610.0</v>
      </c>
      <c r="I388" s="11" t="s">
        <v>1892</v>
      </c>
      <c r="J388" s="17" t="str">
        <f t="shared" si="31"/>
        <v>X-Ray</v>
      </c>
    </row>
    <row r="389">
      <c r="A389" s="14" t="s">
        <v>400</v>
      </c>
      <c r="B389" s="14" t="s">
        <v>400</v>
      </c>
      <c r="C389" s="1" t="str">
        <f>IFERROR(__xludf.DUMMYFUNCTION("XLOOKUP($B389,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0)"),"Brain")</f>
        <v>Brain</v>
      </c>
      <c r="D389" s="1" t="str">
        <f>IFERROR(__xludf.DUMMYFUNCTION("XLOOKUP($B389,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0)"),"Ears, Nose, Teeth, and Throat")</f>
        <v>Ears, Nose, Teeth, and Throat</v>
      </c>
      <c r="E389" s="1" t="str">
        <f>IFERROR(__xludf.DUMMYFUNCTION("XLOOKUP($B389,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0)"),"CT, PET")</f>
        <v>CT, PET</v>
      </c>
      <c r="F389" s="14" t="s">
        <v>31</v>
      </c>
      <c r="G389" s="7">
        <v>2780.0</v>
      </c>
      <c r="H389" s="75">
        <v>2780.0</v>
      </c>
      <c r="I389" s="76" t="str">
        <f>IFERROR(__xludf.DUMMYFUNCTION("XLOOKUP(B389,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0)"),"https://www.cancerimagingarchive.net/collection/tcga-thca")</f>
        <v>https://www.cancerimagingarchive.net/collection/tcga-thca</v>
      </c>
      <c r="J389" s="1" t="s">
        <v>31</v>
      </c>
    </row>
    <row r="390">
      <c r="A390" s="14" t="s">
        <v>472</v>
      </c>
      <c r="B390" s="14" t="s">
        <v>472</v>
      </c>
      <c r="C390" s="1" t="s">
        <v>61</v>
      </c>
      <c r="D390" s="1" t="s">
        <v>61</v>
      </c>
      <c r="E390" s="1" t="s">
        <v>61</v>
      </c>
      <c r="F390" s="14" t="s">
        <v>61</v>
      </c>
      <c r="G390" s="7">
        <v>2770.0</v>
      </c>
      <c r="H390" s="7">
        <v>2770.0</v>
      </c>
      <c r="I390" s="11" t="s">
        <v>1893</v>
      </c>
      <c r="J390" s="17" t="str">
        <f t="shared" ref="J390:J393" si="32">IF(OR(F390="MRI", F390="Ultrasound", F390="Endoscopy", F390="Dermoscopy", F390="Fundus", F390="OCTA", F390="OCT"), F390, IF(OR(E390="Microscopy", E390="Histopathology", E390="Pathology", E390="CT", E390="PET", E390="X-Ray", E390="Mammography"), E390, ""))</f>
        <v>Microscopy</v>
      </c>
    </row>
    <row r="391">
      <c r="A391" s="14" t="s">
        <v>321</v>
      </c>
      <c r="B391" s="1" t="str">
        <f>IFERROR(__xludf.DUMMYFUNCTION("XLOOKUP($A391,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0)"),"RIDER Breast MRI")</f>
        <v>RIDER Breast MRI</v>
      </c>
      <c r="C391" s="1" t="str">
        <f>IFERROR(__xludf.DUMMYFUNCTION("XLOOKUP($B391,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0)"),"Chest")</f>
        <v>Chest</v>
      </c>
      <c r="D391" s="1" t="str">
        <f>IFERROR(__xludf.DUMMYFUNCTION("XLOOKUP($B391,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0)"),"Breast")</f>
        <v>Breast</v>
      </c>
      <c r="E391" s="1" t="str">
        <f>IFERROR(__xludf.DUMMYFUNCTION("XLOOKUP($B391,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0)"),"MRI")</f>
        <v>MRI</v>
      </c>
      <c r="F391" s="14" t="s">
        <v>17</v>
      </c>
      <c r="G391" s="25">
        <v>2400.0</v>
      </c>
      <c r="H391" s="75">
        <v>2400.0</v>
      </c>
      <c r="I391" s="76" t="str">
        <f>IFERROR(__xludf.DUMMYFUNCTION("XLOOKUP(B391,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0)"),"https://www.cancerimagingarchive.net/collection/rider-breast-mri")</f>
        <v>https://www.cancerimagingarchive.net/collection/rider-breast-mri</v>
      </c>
      <c r="J391" s="17" t="str">
        <f t="shared" si="32"/>
        <v>MRI</v>
      </c>
    </row>
    <row r="392">
      <c r="A392" s="14" t="s">
        <v>382</v>
      </c>
      <c r="B392" s="14" t="s">
        <v>1894</v>
      </c>
      <c r="C392" s="1" t="str">
        <f>IFERROR(__xludf.DUMMYFUNCTION("XLOOKUP($B392,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0)"),"Brain")</f>
        <v>Brain</v>
      </c>
      <c r="D392" s="1" t="str">
        <f>IFERROR(__xludf.DUMMYFUNCTION("XLOOKUP($B392,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0)"),"Eye")</f>
        <v>Eye</v>
      </c>
      <c r="E392" s="1" t="str">
        <f>IFERROR(__xludf.DUMMYFUNCTION("XLOOKUP($B392,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0)"),"Fundus")</f>
        <v>Fundus</v>
      </c>
      <c r="F392" s="14" t="s">
        <v>100</v>
      </c>
      <c r="G392" s="7">
        <v>2256.0</v>
      </c>
      <c r="H392" s="7">
        <v>2256.0</v>
      </c>
      <c r="I392" s="76" t="str">
        <f>IFERROR(__xludf.DUMMYFUNCTION("XLOOKUP(B392,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0)"),"https://github.com/deepdrdoc/DeepDRiD")</f>
        <v>https://github.com/deepdrdoc/DeepDRiD</v>
      </c>
      <c r="J392" s="17" t="str">
        <f t="shared" si="32"/>
        <v>Fundus</v>
      </c>
    </row>
    <row r="393">
      <c r="A393" s="14" t="s">
        <v>323</v>
      </c>
      <c r="B393" s="1" t="str">
        <f>IFERROR(__xludf.DUMMYFUNCTION("XLOOKUP($A393,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0)"),"TIGER")</f>
        <v>TIGER</v>
      </c>
      <c r="C393" s="1" t="str">
        <f>IFERROR(__xludf.DUMMYFUNCTION("XLOOKUP($B393,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0)"),"Chest")</f>
        <v>Chest</v>
      </c>
      <c r="D393" s="1" t="str">
        <f>IFERROR(__xludf.DUMMYFUNCTION("XLOOKUP($B393,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0)"),"Breast")</f>
        <v>Breast</v>
      </c>
      <c r="E393" s="1" t="str">
        <f>IFERROR(__xludf.DUMMYFUNCTION("XLOOKUP($B393,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0)"),"Histopathology")</f>
        <v>Histopathology</v>
      </c>
      <c r="F393" s="14" t="s">
        <v>61</v>
      </c>
      <c r="G393" s="25">
        <v>2031.0</v>
      </c>
      <c r="H393" s="25">
        <v>2031.0</v>
      </c>
      <c r="I393" s="76" t="str">
        <f>IFERROR(__xludf.DUMMYFUNCTION("XLOOKUP(B393,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0)"),"https://tiger.grand-challenge.org")</f>
        <v>https://tiger.grand-challenge.org</v>
      </c>
      <c r="J393" s="17" t="str">
        <f t="shared" si="32"/>
        <v>Histopathology</v>
      </c>
    </row>
    <row r="394">
      <c r="A394" s="14" t="s">
        <v>466</v>
      </c>
      <c r="B394" s="14" t="s">
        <v>466</v>
      </c>
      <c r="C394" s="1" t="str">
        <f>IFERROR(__xludf.DUMMYFUNCTION("XLOOKUP($B394,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0)"),"Microscopy")</f>
        <v>Microscopy</v>
      </c>
      <c r="D394" s="1" t="str">
        <f>IFERROR(__xludf.DUMMYFUNCTION("XLOOKUP($B394,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0)"),"Cervical cancer")</f>
        <v>Cervical cancer</v>
      </c>
      <c r="E394" s="1" t="str">
        <f>IFERROR(__xludf.DUMMYFUNCTION("XLOOKUP($B394,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0)"),"Pathological imaging")</f>
        <v>Pathological imaging</v>
      </c>
      <c r="F394" s="14" t="s">
        <v>61</v>
      </c>
      <c r="G394" s="25">
        <v>1695.0</v>
      </c>
      <c r="H394" s="25">
        <v>1695.0</v>
      </c>
      <c r="I394" s="76" t="str">
        <f>IFERROR(__xludf.DUMMYFUNCTION("XLOOKUP(B394,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0)"),"https://github.com/parham-ap/cytology_dataset")</f>
        <v>https://github.com/parham-ap/cytology_dataset</v>
      </c>
      <c r="J394" s="1" t="s">
        <v>91</v>
      </c>
    </row>
    <row r="395">
      <c r="A395" s="14" t="s">
        <v>431</v>
      </c>
      <c r="B395" s="1" t="str">
        <f>IFERROR(__xludf.DUMMYFUNCTION("XLOOKUP($A395,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0)"),"NCI-ISBI 2013")</f>
        <v>NCI-ISBI 2013</v>
      </c>
      <c r="C395" s="1" t="str">
        <f>IFERROR(__xludf.DUMMYFUNCTION("XLOOKUP($B395,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0)"),"Abdomen")</f>
        <v>Abdomen</v>
      </c>
      <c r="D395" s="1" t="str">
        <f>IFERROR(__xludf.DUMMYFUNCTION("XLOOKUP($B395,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0)"),"Male Reproductive Organs")</f>
        <v>Male Reproductive Organs</v>
      </c>
      <c r="E395" s="1" t="str">
        <f>IFERROR(__xludf.DUMMYFUNCTION("XLOOKUP($B395,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0)"),"MRI (T2-weighted)")</f>
        <v>MRI (T2-weighted)</v>
      </c>
      <c r="F395" s="14" t="s">
        <v>17</v>
      </c>
      <c r="G395" s="25">
        <v>1555.0</v>
      </c>
      <c r="H395" s="25">
        <v>1555.0</v>
      </c>
      <c r="I395" s="76" t="str">
        <f>IFERROR(__xludf.DUMMYFUNCTION("XLOOKUP(B395,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0)"),"https://www.cancerimagingarchive.net/analysis-result/isbi-mr-prostate-2013")</f>
        <v>https://www.cancerimagingarchive.net/analysis-result/isbi-mr-prostate-2013</v>
      </c>
      <c r="J395" s="17" t="str">
        <f t="shared" ref="J395:J396" si="33">IF(OR(F395="MRI", F395="Ultrasound", F395="Endoscopy", F395="Dermoscopy", F395="Fundus", F395="OCTA", F395="OCT"), F395, IF(OR(E395="Microscopy", E395="Histopathology", E395="Pathology", E395="CT", E395="PET", E395="X-Ray", E395="Mammography"), E395, ""))</f>
        <v>MRI</v>
      </c>
    </row>
    <row r="396">
      <c r="A396" s="14" t="s">
        <v>434</v>
      </c>
      <c r="B396" s="1" t="str">
        <f>IFERROR(__xludf.DUMMYFUNCTION("XLOOKUP($A396,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0)"),"Prostate-3T")</f>
        <v>Prostate-3T</v>
      </c>
      <c r="C396" s="1" t="str">
        <f>IFERROR(__xludf.DUMMYFUNCTION("XLOOKUP($B396,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0)"),"Abdomen")</f>
        <v>Abdomen</v>
      </c>
      <c r="D396" s="1" t="str">
        <f>IFERROR(__xludf.DUMMYFUNCTION("XLOOKUP($B396,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0)"),"Male Reproductive Organs")</f>
        <v>Male Reproductive Organs</v>
      </c>
      <c r="E396" s="1" t="str">
        <f>IFERROR(__xludf.DUMMYFUNCTION("XLOOKUP($B396,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0)"),"MRI (T2-weighted)")</f>
        <v>MRI (T2-weighted)</v>
      </c>
      <c r="F396" s="14" t="s">
        <v>17</v>
      </c>
      <c r="G396" s="7">
        <v>1258.0</v>
      </c>
      <c r="H396" s="1">
        <v>1161.0</v>
      </c>
      <c r="I396" s="76" t="str">
        <f>IFERROR(__xludf.DUMMYFUNCTION("XLOOKUP(B396,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0)"),"https://www.cancerimagingarchive.net/collection/prostate-3t")</f>
        <v>https://www.cancerimagingarchive.net/collection/prostate-3t</v>
      </c>
      <c r="J396" s="17" t="str">
        <f t="shared" si="33"/>
        <v>MRI</v>
      </c>
    </row>
    <row r="397">
      <c r="A397" s="14" t="s">
        <v>350</v>
      </c>
      <c r="B397" s="14" t="s">
        <v>350</v>
      </c>
      <c r="C397" s="1" t="str">
        <f>IFERROR(__xludf.DUMMYFUNCTION("XLOOKUP($B397,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0)"),"Chest")</f>
        <v>Chest</v>
      </c>
      <c r="D397" s="1" t="str">
        <f>IFERROR(__xludf.DUMMYFUNCTION("XLOOKUP($B397,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0)"),"Lungs")</f>
        <v>Lungs</v>
      </c>
      <c r="E397" s="1" t="str">
        <f>IFERROR(__xludf.DUMMYFUNCTION("XLOOKUP($B397,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0)"),"X‑ray")</f>
        <v>X‑ray</v>
      </c>
      <c r="F397" s="14" t="s">
        <v>81</v>
      </c>
      <c r="G397" s="25">
        <v>1257.0</v>
      </c>
      <c r="H397" s="75">
        <v>1257.0</v>
      </c>
      <c r="I397" s="76" t="str">
        <f>IFERROR(__xludf.DUMMYFUNCTION("XLOOKUP(B397,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0)"),"https://www.cancerimagingarchive.net/collection/midrc-ricord-1c")</f>
        <v>https://www.cancerimagingarchive.net/collection/midrc-ricord-1c</v>
      </c>
      <c r="J397" s="1" t="s">
        <v>81</v>
      </c>
    </row>
    <row r="398">
      <c r="A398" s="14" t="s">
        <v>444</v>
      </c>
      <c r="B398" s="1" t="str">
        <f>IFERROR(__xludf.DUMMYFUNCTION("XLOOKUP($A398,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0)"),"FUSC")</f>
        <v>FUSC</v>
      </c>
      <c r="C398" s="1" t="str">
        <f>IFERROR(__xludf.DUMMYFUNCTION("XLOOKUP($B398,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0)"),"Skin")</f>
        <v>Skin</v>
      </c>
      <c r="D398" s="1" t="str">
        <f>IFERROR(__xludf.DUMMYFUNCTION("XLOOKUP($B398,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0)"),"Skin")</f>
        <v>Skin</v>
      </c>
      <c r="E398" s="1" t="str">
        <f>IFERROR(__xludf.DUMMYFUNCTION("XLOOKUP($B398,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0)"),"Dermoscopy")</f>
        <v>Dermoscopy</v>
      </c>
      <c r="F398" s="14" t="s">
        <v>64</v>
      </c>
      <c r="G398" s="25">
        <v>1211.0</v>
      </c>
      <c r="H398" s="25">
        <v>1211.0</v>
      </c>
      <c r="I398" s="76" t="str">
        <f>IFERROR(__xludf.DUMMYFUNCTION("XLOOKUP(B398,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0)"),"https://fusc.grand-challenge.org")</f>
        <v>https://fusc.grand-challenge.org</v>
      </c>
      <c r="J398" s="17" t="str">
        <f t="shared" ref="J398:J401" si="34">IF(OR(F398="MRI", F398="Ultrasound", F398="Endoscopy", F398="Dermoscopy", F398="Fundus", F398="OCTA", F398="OCT"), F398, IF(OR(E398="Microscopy", E398="Histopathology", E398="Pathology", E398="CT", E398="PET", E398="X-Ray", E398="Mammography"), E398, ""))</f>
        <v>Dermoscopy</v>
      </c>
    </row>
    <row r="399">
      <c r="A399" s="2" t="s">
        <v>164</v>
      </c>
      <c r="B399" s="2" t="s">
        <v>164</v>
      </c>
      <c r="C399" s="1" t="str">
        <f>IFERROR(__xludf.DUMMYFUNCTION("XLOOKUP($B399,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0)"),"Brain")</f>
        <v>Brain</v>
      </c>
      <c r="D399" s="1" t="str">
        <f>IFERROR(__xludf.DUMMYFUNCTION("XLOOKUP($B399,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0)"),"Eye")</f>
        <v>Eye</v>
      </c>
      <c r="E399" s="1" t="str">
        <f>IFERROR(__xludf.DUMMYFUNCTION("XLOOKUP($B399,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0)"),"Fundus")</f>
        <v>Fundus</v>
      </c>
      <c r="F399" s="12" t="s">
        <v>100</v>
      </c>
      <c r="G399" s="7">
        <v>1200.0</v>
      </c>
      <c r="H399" s="7">
        <v>1200.0</v>
      </c>
      <c r="I399" s="76" t="str">
        <f>IFERROR(__xludf.DUMMYFUNCTION("XLOOKUP(B399,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0)"),"https://www.adcis.net/en/third-party/messidor2/")</f>
        <v>https://www.adcis.net/en/third-party/messidor2/</v>
      </c>
      <c r="J399" s="17" t="str">
        <f t="shared" si="34"/>
        <v>Fundus</v>
      </c>
    </row>
    <row r="400">
      <c r="A400" s="14" t="s">
        <v>478</v>
      </c>
      <c r="B400" s="14" t="s">
        <v>1895</v>
      </c>
      <c r="C400" s="1" t="str">
        <f>IFERROR(__xludf.DUMMYFUNCTION("XLOOKUP($B400,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0)"),"Bone")</f>
        <v>Bone</v>
      </c>
      <c r="D400" s="1" t="s">
        <v>1575</v>
      </c>
      <c r="E400" s="1" t="str">
        <f>IFERROR(__xludf.DUMMYFUNCTION("XLOOKUP($B400,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0)"),"Pathology")</f>
        <v>Pathology</v>
      </c>
      <c r="F400" s="14" t="s">
        <v>61</v>
      </c>
      <c r="G400" s="7">
        <v>1144.0</v>
      </c>
      <c r="H400" s="7">
        <v>1144.0</v>
      </c>
      <c r="I400" s="76" t="str">
        <f>IFERROR(__xludf.DUMMYFUNCTION("XLOOKUP(B400,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0)"),"https://www.cancerimagingarchive.net/collection/osteosarcoma-tumor-assessment/")</f>
        <v>https://www.cancerimagingarchive.net/collection/osteosarcoma-tumor-assessment/</v>
      </c>
      <c r="J400" s="17" t="str">
        <f t="shared" si="34"/>
        <v>Pathology</v>
      </c>
    </row>
    <row r="401">
      <c r="A401" s="22" t="s">
        <v>532</v>
      </c>
      <c r="B401" s="1" t="str">
        <f>IFERROR(__xludf.DUMMYFUNCTION("XLOOKUP($A401,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0)"),"NKI-RS")</f>
        <v>NKI-RS</v>
      </c>
      <c r="C401" s="1" t="str">
        <f>IFERROR(__xludf.DUMMYFUNCTION("XLOOKUP($B401,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0)"),"Brain")</f>
        <v>Brain</v>
      </c>
      <c r="D401" s="1" t="str">
        <f>IFERROR(__xludf.DUMMYFUNCTION("XLOOKUP($B401,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0)"),"Brain")</f>
        <v>Brain</v>
      </c>
      <c r="E401" s="1" t="str">
        <f>IFERROR(__xludf.DUMMYFUNCTION("XLOOKUP($B401,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0)"),"MRI (structural, resting-state fMRI, DTI), genetics")</f>
        <v>MRI (structural, resting-state fMRI, DTI), genetics</v>
      </c>
      <c r="F401" s="22" t="s">
        <v>17</v>
      </c>
      <c r="G401" s="28">
        <v>1120.0</v>
      </c>
      <c r="H401" s="28">
        <v>1120.0</v>
      </c>
      <c r="I401" s="76" t="str">
        <f>IFERROR(__xludf.DUMMYFUNCTION("XLOOKUP(B401,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0)"),"https://openneuro.org/datasets/ds001021")</f>
        <v>https://openneuro.org/datasets/ds001021</v>
      </c>
      <c r="J401" s="17" t="str">
        <f t="shared" si="34"/>
        <v>MRI</v>
      </c>
    </row>
    <row r="402">
      <c r="A402" s="14" t="s">
        <v>308</v>
      </c>
      <c r="B402" s="1" t="str">
        <f>IFERROR(__xludf.DUMMYFUNCTION("XLOOKUP($A402,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0)"),"BCNB")</f>
        <v>BCNB</v>
      </c>
      <c r="C402" s="1" t="str">
        <f>IFERROR(__xludf.DUMMYFUNCTION("XLOOKUP($B402,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0)"),"Chest")</f>
        <v>Chest</v>
      </c>
      <c r="D402" s="1" t="str">
        <f>IFERROR(__xludf.DUMMYFUNCTION("XLOOKUP($B402,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0)"),"Breast")</f>
        <v>Breast</v>
      </c>
      <c r="E402" s="1" t="str">
        <f>IFERROR(__xludf.DUMMYFUNCTION("XLOOKUP($B402,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0)"),"Histopathology (WSI)")</f>
        <v>Histopathology (WSI)</v>
      </c>
      <c r="F402" s="14" t="s">
        <v>61</v>
      </c>
      <c r="G402" s="7">
        <v>1007.0</v>
      </c>
      <c r="H402" s="1">
        <v>1058.0</v>
      </c>
      <c r="I402" s="76" t="str">
        <f>IFERROR(__xludf.DUMMYFUNCTION("XLOOKUP(B402,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0)"),"https://bcnb.grand-challenge.org")</f>
        <v>https://bcnb.grand-challenge.org</v>
      </c>
      <c r="J402" s="1" t="s">
        <v>147</v>
      </c>
    </row>
    <row r="403">
      <c r="A403" s="4" t="s">
        <v>193</v>
      </c>
      <c r="B403" s="4" t="s">
        <v>193</v>
      </c>
      <c r="C403" s="1" t="str">
        <f>IFERROR(__xludf.DUMMYFUNCTION("XLOOKUP($B403,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0)"),"Brain")</f>
        <v>Brain</v>
      </c>
      <c r="D403" s="1" t="str">
        <f>IFERROR(__xludf.DUMMYFUNCTION("XLOOKUP($B403,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0)"),"Eye")</f>
        <v>Eye</v>
      </c>
      <c r="E403" s="1" t="str">
        <f>IFERROR(__xludf.DUMMYFUNCTION("XLOOKUP($B403,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0)"),"Fundus")</f>
        <v>Fundus</v>
      </c>
      <c r="F403" s="12" t="s">
        <v>100</v>
      </c>
      <c r="G403" s="7">
        <v>970.0</v>
      </c>
      <c r="H403" s="7">
        <v>970.0</v>
      </c>
      <c r="I403" s="76" t="str">
        <f>IFERROR(__xludf.DUMMYFUNCTION("XLOOKUP(B403,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0)"),"https://github.com/miag-ull/rim-one-dl")</f>
        <v>https://github.com/miag-ull/rim-one-dl</v>
      </c>
      <c r="J403" s="17" t="str">
        <f t="shared" ref="J403:J414" si="35">IF(OR(F403="MRI", F403="Ultrasound", F403="Endoscopy", F403="Dermoscopy", F403="Fundus", F403="OCTA", F403="OCT"), F403, IF(OR(E403="Microscopy", E403="Histopathology", E403="Pathology", E403="CT", E403="PET", E403="X-Ray", E403="Mammography"), E403, ""))</f>
        <v>Fundus</v>
      </c>
    </row>
    <row r="404">
      <c r="A404" s="4" t="s">
        <v>169</v>
      </c>
      <c r="B404" s="4" t="s">
        <v>169</v>
      </c>
      <c r="C404" s="1" t="s">
        <v>246</v>
      </c>
      <c r="D404" s="1" t="s">
        <v>657</v>
      </c>
      <c r="E404" s="1" t="s">
        <v>1103</v>
      </c>
      <c r="F404" s="12" t="s">
        <v>171</v>
      </c>
      <c r="G404" s="7">
        <v>918.0</v>
      </c>
      <c r="H404" s="1">
        <v>918.0</v>
      </c>
      <c r="I404" s="11" t="s">
        <v>1896</v>
      </c>
      <c r="J404" s="17" t="str">
        <f t="shared" si="35"/>
        <v>OCTA</v>
      </c>
    </row>
    <row r="405">
      <c r="A405" s="14" t="s">
        <v>274</v>
      </c>
      <c r="B405" s="14" t="s">
        <v>274</v>
      </c>
      <c r="C405" s="1" t="str">
        <f>IFERROR(__xludf.DUMMYFUNCTION("XLOOKUP($B405,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0)"),"Chest")</f>
        <v>Chest</v>
      </c>
      <c r="D405" s="1" t="str">
        <f>IFERROR(__xludf.DUMMYFUNCTION("XLOOKUP($B405,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0)"),"Lungs")</f>
        <v>Lungs</v>
      </c>
      <c r="E405" s="1" t="str">
        <f>IFERROR(__xludf.DUMMYFUNCTION("XLOOKUP($B405,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0)"),"CT")</f>
        <v>CT</v>
      </c>
      <c r="F405" s="14" t="s">
        <v>31</v>
      </c>
      <c r="G405" s="15">
        <v>902.0</v>
      </c>
      <c r="H405" s="15">
        <v>902.0</v>
      </c>
      <c r="I405" s="76" t="str">
        <f>IFERROR(__xludf.DUMMYFUNCTION("XLOOKUP(B405,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0)"),"https://github.com/ShahinSHH/COVID-CT-MD")</f>
        <v>https://github.com/ShahinSHH/COVID-CT-MD</v>
      </c>
      <c r="J405" s="17" t="str">
        <f t="shared" si="35"/>
        <v>CT</v>
      </c>
    </row>
    <row r="406">
      <c r="A406" s="22" t="s">
        <v>238</v>
      </c>
      <c r="B406" s="22" t="s">
        <v>238</v>
      </c>
      <c r="C406" s="1" t="s">
        <v>301</v>
      </c>
      <c r="D406" s="1" t="s">
        <v>319</v>
      </c>
      <c r="E406" s="1" t="s">
        <v>81</v>
      </c>
      <c r="F406" s="27" t="s">
        <v>81</v>
      </c>
      <c r="G406" s="28">
        <v>821.0</v>
      </c>
      <c r="H406" s="1">
        <v>800.0</v>
      </c>
      <c r="I406" s="11" t="s">
        <v>1897</v>
      </c>
      <c r="J406" s="17" t="str">
        <f t="shared" si="35"/>
        <v>X-Ray</v>
      </c>
    </row>
    <row r="407">
      <c r="A407" s="2" t="s">
        <v>184</v>
      </c>
      <c r="B407" s="2" t="s">
        <v>184</v>
      </c>
      <c r="C407" s="1" t="str">
        <f>IFERROR(__xludf.DUMMYFUNCTION("XLOOKUP($B407,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0)"),"Brain")</f>
        <v>Brain</v>
      </c>
      <c r="D407" s="1" t="str">
        <f>IFERROR(__xludf.DUMMYFUNCTION("XLOOKUP($B407,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0)"),"Retina")</f>
        <v>Retina</v>
      </c>
      <c r="E407" s="1" t="str">
        <f>IFERROR(__xludf.DUMMYFUNCTION("XLOOKUP($B407,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0)"),"Fundus color photos")</f>
        <v>Fundus color photos</v>
      </c>
      <c r="F407" s="12" t="s">
        <v>100</v>
      </c>
      <c r="G407" s="7">
        <v>800.0</v>
      </c>
      <c r="H407" s="7">
        <v>800.0</v>
      </c>
      <c r="I407" s="76" t="str">
        <f>IFERROR(__xludf.DUMMYFUNCTION("XLOOKUP(B407,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0)"),"https://figshare.com/articles/figure/FIVES_A_Fundus_Image_Dataset_for_AI-based_Vessel_Segmentation/19688169/1")</f>
        <v>https://figshare.com/articles/figure/FIVES_A_Fundus_Image_Dataset_for_AI-based_Vessel_Segmentation/19688169/1</v>
      </c>
      <c r="J407" s="17" t="str">
        <f t="shared" si="35"/>
        <v>Fundus</v>
      </c>
    </row>
    <row r="408">
      <c r="A408" s="2" t="s">
        <v>201</v>
      </c>
      <c r="B408" s="14" t="s">
        <v>1848</v>
      </c>
      <c r="C408" s="1" t="str">
        <f>IFERROR(__xludf.DUMMYFUNCTION("XLOOKUP($B408,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0)"),"Chest")</f>
        <v>Chest</v>
      </c>
      <c r="D408" s="1" t="str">
        <f>IFERROR(__xludf.DUMMYFUNCTION("XLOOKUP($B408,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0)"),"Whole body")</f>
        <v>Whole body</v>
      </c>
      <c r="E408" s="1" t="str">
        <f>IFERROR(__xludf.DUMMYFUNCTION("XLOOKUP($B408,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0)"),"Ultrasound")</f>
        <v>Ultrasound</v>
      </c>
      <c r="F408" s="12" t="s">
        <v>54</v>
      </c>
      <c r="G408" s="7">
        <v>780.0</v>
      </c>
      <c r="H408" s="7">
        <v>780.0</v>
      </c>
      <c r="I408" s="76" t="str">
        <f>IFERROR(__xludf.DUMMYFUNCTION("XLOOKUP(B408,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0)"),"https://tdsc-abus2023.grand-challenge.org/TDSC-ABUS2023/")</f>
        <v>https://tdsc-abus2023.grand-challenge.org/TDSC-ABUS2023/</v>
      </c>
      <c r="J408" s="17" t="str">
        <f t="shared" si="35"/>
        <v>Ultrasound</v>
      </c>
    </row>
    <row r="409">
      <c r="A409" s="14" t="s">
        <v>485</v>
      </c>
      <c r="B409" s="14" t="s">
        <v>1898</v>
      </c>
      <c r="C409" s="1" t="str">
        <f>IFERROR(__xludf.DUMMYFUNCTION("XLOOKUP($B409,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0)"),"Chest")</f>
        <v>Chest</v>
      </c>
      <c r="D409" s="1" t="str">
        <f>IFERROR(__xludf.DUMMYFUNCTION("XLOOKUP($B409,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0)"),"Breast")</f>
        <v>Breast</v>
      </c>
      <c r="E409" s="1" t="str">
        <f>IFERROR(__xludf.DUMMYFUNCTION("XLOOKUP($B409,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0)"),"Ultrasound")</f>
        <v>Ultrasound</v>
      </c>
      <c r="F409" s="14" t="s">
        <v>54</v>
      </c>
      <c r="G409" s="25">
        <v>780.0</v>
      </c>
      <c r="H409" s="25">
        <v>780.0</v>
      </c>
      <c r="I409" s="76" t="str">
        <f>IFERROR(__xludf.DUMMYFUNCTION("XLOOKUP(B409,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0)"),"https://www.kaggle.com/datasets/aryashah2k/breast-ultrasound-images-dataset")</f>
        <v>https://www.kaggle.com/datasets/aryashah2k/breast-ultrasound-images-dataset</v>
      </c>
      <c r="J409" s="17" t="str">
        <f t="shared" si="35"/>
        <v>Ultrasound</v>
      </c>
    </row>
    <row r="410">
      <c r="A410" s="2" t="s">
        <v>178</v>
      </c>
      <c r="B410" s="14" t="s">
        <v>363</v>
      </c>
      <c r="C410" s="1" t="str">
        <f>IFERROR(__xludf.DUMMYFUNCTION("XLOOKUP($B410,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0)"),"Chest")</f>
        <v>Chest</v>
      </c>
      <c r="D410" s="1" t="str">
        <f>IFERROR(__xludf.DUMMYFUNCTION("XLOOKUP($B410,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0)"),"Lung")</f>
        <v>Lung</v>
      </c>
      <c r="E410" s="1" t="str">
        <f>IFERROR(__xludf.DUMMYFUNCTION("XLOOKUP($B410,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0)"),"X-ray")</f>
        <v>X-ray</v>
      </c>
      <c r="F410" s="6" t="s">
        <v>81</v>
      </c>
      <c r="G410" s="7">
        <v>686.0</v>
      </c>
      <c r="H410" s="7">
        <v>686.0</v>
      </c>
      <c r="I410" s="76" t="str">
        <f>IFERROR(__xludf.DUMMYFUNCTION("XLOOKUP(B410,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0)"),"https://www.kaggle.com/datasets/raddar/tuberculosis-chest-xrays-shenzhen")</f>
        <v>https://www.kaggle.com/datasets/raddar/tuberculosis-chest-xrays-shenzhen</v>
      </c>
      <c r="J410" s="17" t="str">
        <f t="shared" si="35"/>
        <v>X-ray</v>
      </c>
    </row>
    <row r="411">
      <c r="A411" s="2" t="s">
        <v>186</v>
      </c>
      <c r="B411" s="1" t="str">
        <f>IFERROR(__xludf.DUMMYFUNCTION("XLOOKUP($A411,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0)"),"E-ophtha")</f>
        <v>E-ophtha</v>
      </c>
      <c r="C411" s="1" t="str">
        <f>IFERROR(__xludf.DUMMYFUNCTION("XLOOKUP($B411,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0)"),"Brain")</f>
        <v>Brain</v>
      </c>
      <c r="D411" s="1" t="str">
        <f>IFERROR(__xludf.DUMMYFUNCTION("XLOOKUP($B411,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0)"),"Eyes")</f>
        <v>Eyes</v>
      </c>
      <c r="E411" s="1" t="str">
        <f>IFERROR(__xludf.DUMMYFUNCTION("XLOOKUP($B411,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0)"),"Fundus photograph")</f>
        <v>Fundus photograph</v>
      </c>
      <c r="F411" s="12" t="s">
        <v>100</v>
      </c>
      <c r="G411" s="7">
        <v>558.0</v>
      </c>
      <c r="H411" s="7">
        <v>558.0</v>
      </c>
      <c r="I411" s="76" t="str">
        <f>IFERROR(__xludf.DUMMYFUNCTION("XLOOKUP(B411,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0)"),"https://www.adcis.net/en/third-party/e-ophtha")</f>
        <v>https://www.adcis.net/en/third-party/e-ophtha</v>
      </c>
      <c r="J411" s="17" t="str">
        <f t="shared" si="35"/>
        <v>Fundus</v>
      </c>
    </row>
    <row r="412">
      <c r="A412" s="14" t="s">
        <v>330</v>
      </c>
      <c r="B412" s="1" t="s">
        <v>1899</v>
      </c>
      <c r="C412" s="1" t="str">
        <f>IFERROR(__xludf.DUMMYFUNCTION("XLOOKUP($B412,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0)"),"Chest")</f>
        <v>Chest</v>
      </c>
      <c r="D412" s="1" t="str">
        <f>IFERROR(__xludf.DUMMYFUNCTION("XLOOKUP($B412,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0)"),"Lungs")</f>
        <v>Lungs</v>
      </c>
      <c r="E412" s="1" t="str">
        <f>IFERROR(__xludf.DUMMYFUNCTION("XLOOKUP($B412,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0)"),"Ultrasound")</f>
        <v>Ultrasound</v>
      </c>
      <c r="F412" s="14" t="s">
        <v>54</v>
      </c>
      <c r="G412" s="7">
        <v>536.0</v>
      </c>
      <c r="H412" s="7">
        <v>536.0</v>
      </c>
      <c r="I412" s="76" t="str">
        <f>IFERROR(__xludf.DUMMYFUNCTION("XLOOKUP(B412,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0)"),"https://github.com/jannisborn/covid19_ultrasound")</f>
        <v>https://github.com/jannisborn/covid19_ultrasound</v>
      </c>
      <c r="J412" s="17" t="str">
        <f t="shared" si="35"/>
        <v>Ultrasound</v>
      </c>
    </row>
    <row r="413">
      <c r="A413" s="2" t="s">
        <v>189</v>
      </c>
      <c r="B413" s="2" t="s">
        <v>189</v>
      </c>
      <c r="C413" s="1" t="s">
        <v>744</v>
      </c>
      <c r="D413" s="1" t="s">
        <v>941</v>
      </c>
      <c r="E413" s="1" t="s">
        <v>81</v>
      </c>
      <c r="F413" s="6" t="s">
        <v>81</v>
      </c>
      <c r="G413" s="7">
        <v>500.0</v>
      </c>
      <c r="H413" s="1">
        <v>500.0</v>
      </c>
      <c r="I413" s="11" t="s">
        <v>809</v>
      </c>
      <c r="J413" s="17" t="str">
        <f t="shared" si="35"/>
        <v>X-Ray</v>
      </c>
    </row>
    <row r="414">
      <c r="A414" s="4" t="s">
        <v>197</v>
      </c>
      <c r="B414" s="4" t="s">
        <v>197</v>
      </c>
      <c r="C414" s="1" t="str">
        <f>IFERROR(__xludf.DUMMYFUNCTION("XLOOKUP($B414,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0)"),"Brain")</f>
        <v>Brain</v>
      </c>
      <c r="D414" s="1" t="str">
        <f>IFERROR(__xludf.DUMMYFUNCTION("XLOOKUP($B414,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0)"),"Eye")</f>
        <v>Eye</v>
      </c>
      <c r="E414" s="1" t="str">
        <f>IFERROR(__xludf.DUMMYFUNCTION("XLOOKUP($B414,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0)"),"Retinal image")</f>
        <v>Retinal image</v>
      </c>
      <c r="F414" s="12" t="s">
        <v>171</v>
      </c>
      <c r="G414" s="7">
        <v>500.0</v>
      </c>
      <c r="H414" s="7">
        <v>500.0</v>
      </c>
      <c r="I414" s="76" t="str">
        <f>IFERROR(__xludf.DUMMYFUNCTION("XLOOKUP(B414,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0)"),"https://ieee-dataport.org/open-access/octa-500")</f>
        <v>https://ieee-dataport.org/open-access/octa-500</v>
      </c>
      <c r="J414" s="17" t="str">
        <f t="shared" si="35"/>
        <v>OCTA</v>
      </c>
    </row>
    <row r="415">
      <c r="A415" s="14" t="s">
        <v>469</v>
      </c>
      <c r="B415" s="1" t="s">
        <v>1900</v>
      </c>
      <c r="C415" s="1" t="str">
        <f>IFERROR(__xludf.DUMMYFUNCTION("XLOOKUP($B415,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0)"),"Microscopy")</f>
        <v>Microscopy</v>
      </c>
      <c r="D415" s="1" t="str">
        <f>IFERROR(__xludf.DUMMYFUNCTION("XLOOKUP($B415,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0)"),"Cell")</f>
        <v>Cell</v>
      </c>
      <c r="E415" s="1" t="str">
        <f>IFERROR(__xludf.DUMMYFUNCTION("XLOOKUP($B415,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0)"),"Blood smear")</f>
        <v>Blood smear</v>
      </c>
      <c r="F415" s="14" t="s">
        <v>61</v>
      </c>
      <c r="G415" s="25">
        <v>420.0</v>
      </c>
      <c r="H415" s="25">
        <v>420.0</v>
      </c>
      <c r="I415" s="76" t="str">
        <f>IFERROR(__xludf.DUMMYFUNCTION("XLOOKUP(B415,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0)"),"https://github.com/MahmudulAlam/Complete-Blood-Cell-Count-Dataset")</f>
        <v>https://github.com/MahmudulAlam/Complete-Blood-Cell-Count-Dataset</v>
      </c>
      <c r="J415" s="1" t="s">
        <v>61</v>
      </c>
    </row>
    <row r="416">
      <c r="A416" s="2" t="s">
        <v>191</v>
      </c>
      <c r="B416" s="2" t="s">
        <v>191</v>
      </c>
      <c r="C416" s="1" t="str">
        <f>IFERROR(__xludf.DUMMYFUNCTION("XLOOKUP($B416,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0)"),"Brain")</f>
        <v>Brain</v>
      </c>
      <c r="D416" s="1" t="str">
        <f>IFERROR(__xludf.DUMMYFUNCTION("XLOOKUP($B416,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0)"),"Eye")</f>
        <v>Eye</v>
      </c>
      <c r="E416" s="1" t="str">
        <f>IFERROR(__xludf.DUMMYFUNCTION("XLOOKUP($B416,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0)"),"Retinal image")</f>
        <v>Retinal image</v>
      </c>
      <c r="F416" s="12" t="s">
        <v>100</v>
      </c>
      <c r="G416" s="7">
        <v>397.0</v>
      </c>
      <c r="H416" s="7">
        <v>397.0</v>
      </c>
      <c r="I416" s="76" t="str">
        <f>IFERROR(__xludf.DUMMYFUNCTION("XLOOKUP(B416,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0)"),"https://cecas.clemson.edu/~ahoover/stare/")</f>
        <v>https://cecas.clemson.edu/~ahoover/stare/</v>
      </c>
      <c r="J416" s="17" t="str">
        <f t="shared" ref="J416:J417" si="36">IF(OR(F416="MRI", F416="Ultrasound", F416="Endoscopy", F416="Dermoscopy", F416="Fundus", F416="OCTA", F416="OCT"), F416, IF(OR(E416="Microscopy", E416="Histopathology", E416="Pathology", E416="CT", E416="PET", E416="X-Ray", E416="Mammography"), E416, ""))</f>
        <v>Fundus</v>
      </c>
    </row>
    <row r="417">
      <c r="A417" s="22" t="s">
        <v>511</v>
      </c>
      <c r="B417" s="1" t="s">
        <v>1901</v>
      </c>
      <c r="C417" s="1" t="str">
        <f>IFERROR(__xludf.DUMMYFUNCTION("XLOOKUP($B417,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0)"),"Brain")</f>
        <v>Brain</v>
      </c>
      <c r="D417" s="1" t="str">
        <f>IFERROR(__xludf.DUMMYFUNCTION("XLOOKUP($B417,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0)"),"Brain")</f>
        <v>Brain</v>
      </c>
      <c r="E417" s="1" t="str">
        <f>IFERROR(__xludf.DUMMYFUNCTION("XLOOKUP($B417,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0)"),"Diffusion MRI")</f>
        <v>Diffusion MRI</v>
      </c>
      <c r="F417" s="22" t="s">
        <v>17</v>
      </c>
      <c r="G417" s="36">
        <v>376.0</v>
      </c>
      <c r="H417" s="36">
        <v>376.0</v>
      </c>
      <c r="I417" s="76" t="str">
        <f>IFERROR(__xludf.DUMMYFUNCTION("XLOOKUP(B417,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0)"),"https://my.vanderbilt.edu/votem")</f>
        <v>https://my.vanderbilt.edu/votem</v>
      </c>
      <c r="J417" s="17" t="str">
        <f t="shared" si="36"/>
        <v>MRI</v>
      </c>
    </row>
    <row r="418">
      <c r="A418" s="14" t="s">
        <v>397</v>
      </c>
      <c r="B418" s="1" t="s">
        <v>1902</v>
      </c>
      <c r="C418" s="1" t="str">
        <f>IFERROR(__xludf.DUMMYFUNCTION("XLOOKUP($B418,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0)"),"Brain")</f>
        <v>Brain</v>
      </c>
      <c r="D418" s="1" t="str">
        <f>IFERROR(__xludf.DUMMYFUNCTION("XLOOKUP($B418,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0)"),"Ears, Nose, Teeth, and Throat")</f>
        <v>Ears, Nose, Teeth, and Throat</v>
      </c>
      <c r="E418" s="1" t="str">
        <f>IFERROR(__xludf.DUMMYFUNCTION("XLOOKUP($B418,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0)"),"Panoramic X-ray")</f>
        <v>Panoramic X-ray</v>
      </c>
      <c r="F418" s="14" t="s">
        <v>81</v>
      </c>
      <c r="G418" s="7">
        <v>348.0</v>
      </c>
      <c r="H418" s="7">
        <v>348.0</v>
      </c>
      <c r="I418" s="76" t="str">
        <f>IFERROR(__xludf.DUMMYFUNCTION("XLOOKUP(B418,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0)"),"https://data.mendeley.com/datasets/hxt48yk462")</f>
        <v>https://data.mendeley.com/datasets/hxt48yk462</v>
      </c>
      <c r="J418" s="1" t="s">
        <v>75</v>
      </c>
    </row>
    <row r="419">
      <c r="A419" s="4" t="s">
        <v>205</v>
      </c>
      <c r="B419" s="14" t="s">
        <v>205</v>
      </c>
      <c r="C419" s="1" t="s">
        <v>246</v>
      </c>
      <c r="D419" s="1" t="s">
        <v>657</v>
      </c>
      <c r="E419" s="1" t="s">
        <v>1103</v>
      </c>
      <c r="F419" s="12" t="s">
        <v>100</v>
      </c>
      <c r="G419" s="7">
        <v>311.0</v>
      </c>
      <c r="H419" s="1">
        <v>130.0</v>
      </c>
      <c r="I419" s="11" t="s">
        <v>877</v>
      </c>
      <c r="J419" s="17" t="str">
        <f t="shared" ref="J419:J424" si="37">IF(OR(F419="MRI", F419="Ultrasound", F419="Endoscopy", F419="Dermoscopy", F419="Fundus", F419="OCTA", F419="OCT"), F419, IF(OR(E419="Microscopy", E419="Histopathology", E419="Pathology", E419="CT", E419="PET", E419="X-Ray", E419="Mammography"), E419, ""))</f>
        <v>Fundus</v>
      </c>
    </row>
    <row r="420">
      <c r="A420" s="2" t="s">
        <v>212</v>
      </c>
      <c r="B420" s="1" t="s">
        <v>1903</v>
      </c>
      <c r="C420" s="1" t="str">
        <f>IFERROR(__xludf.DUMMYFUNCTION("XLOOKUP($B420,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0)"),"Brain")</f>
        <v>Brain</v>
      </c>
      <c r="D420" s="1" t="str">
        <f>IFERROR(__xludf.DUMMYFUNCTION("XLOOKUP($B420,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0)"),"Optic disc")</f>
        <v>Optic disc</v>
      </c>
      <c r="E420" s="1" t="str">
        <f>IFERROR(__xludf.DUMMYFUNCTION("XLOOKUP($B420,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0)"),"Fundus")</f>
        <v>Fundus</v>
      </c>
      <c r="F420" s="12" t="s">
        <v>100</v>
      </c>
      <c r="G420" s="7">
        <v>303.0</v>
      </c>
      <c r="H420" s="7">
        <v>303.0</v>
      </c>
      <c r="I420" s="76" t="str">
        <f>IFERROR(__xludf.DUMMYFUNCTION("XLOOKUP(B420,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0)"),"https://ieeexplore.ieee.org/document/6867807")</f>
        <v>https://ieeexplore.ieee.org/document/6867807</v>
      </c>
      <c r="J420" s="17" t="str">
        <f t="shared" si="37"/>
        <v>Fundus</v>
      </c>
    </row>
    <row r="421">
      <c r="A421" s="14" t="s">
        <v>388</v>
      </c>
      <c r="B421" s="1" t="s">
        <v>1904</v>
      </c>
      <c r="C421" s="1" t="str">
        <f>IFERROR(__xludf.DUMMYFUNCTION("XLOOKUP($B421,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0)"),"Brain")</f>
        <v>Brain</v>
      </c>
      <c r="D421" s="1" t="str">
        <f>IFERROR(__xludf.DUMMYFUNCTION("XLOOKUP($B421,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0)"),"Brain")</f>
        <v>Brain</v>
      </c>
      <c r="E421" s="1" t="str">
        <f>IFERROR(__xludf.DUMMYFUNCTION("XLOOKUP($B421,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0)"),"MRI (fetal brain)")</f>
        <v>MRI (fetal brain)</v>
      </c>
      <c r="F421" s="14" t="s">
        <v>17</v>
      </c>
      <c r="G421" s="7">
        <v>278.0</v>
      </c>
      <c r="H421" s="7">
        <v>278.0</v>
      </c>
      <c r="I421" s="76" t="str">
        <f>IFERROR(__xludf.DUMMYFUNCTION("XLOOKUP(B421,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0)"),"https://f1000research.com/articles/6-93/v2")</f>
        <v>https://f1000research.com/articles/6-93/v2</v>
      </c>
      <c r="J421" s="17" t="str">
        <f t="shared" si="37"/>
        <v>MRI</v>
      </c>
    </row>
    <row r="422">
      <c r="A422" s="2" t="s">
        <v>199</v>
      </c>
      <c r="B422" s="2" t="s">
        <v>199</v>
      </c>
      <c r="C422" s="1" t="s">
        <v>301</v>
      </c>
      <c r="D422" s="1" t="s">
        <v>301</v>
      </c>
      <c r="E422" s="1" t="s">
        <v>81</v>
      </c>
      <c r="F422" s="6" t="s">
        <v>81</v>
      </c>
      <c r="G422" s="7">
        <v>245.0</v>
      </c>
      <c r="H422" s="1">
        <v>245.0</v>
      </c>
      <c r="I422" s="11" t="s">
        <v>1905</v>
      </c>
      <c r="J422" s="17" t="str">
        <f t="shared" si="37"/>
        <v>X-Ray</v>
      </c>
    </row>
    <row r="423">
      <c r="A423" s="2" t="s">
        <v>221</v>
      </c>
      <c r="B423" s="2" t="s">
        <v>221</v>
      </c>
      <c r="C423" s="1" t="s">
        <v>246</v>
      </c>
      <c r="D423" s="1" t="s">
        <v>657</v>
      </c>
      <c r="E423" s="1" t="s">
        <v>1103</v>
      </c>
      <c r="F423" s="12" t="s">
        <v>100</v>
      </c>
      <c r="G423" s="7">
        <v>232.0</v>
      </c>
      <c r="H423" s="1">
        <v>58.0</v>
      </c>
      <c r="I423" s="11" t="s">
        <v>956</v>
      </c>
      <c r="J423" s="17" t="str">
        <f t="shared" si="37"/>
        <v>Fundus</v>
      </c>
    </row>
    <row r="424">
      <c r="A424" s="14" t="s">
        <v>313</v>
      </c>
      <c r="B424" s="1" t="str">
        <f>IFERROR(__xludf.DUMMYFUNCTION("XLOOKUP($A424,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0)"),"MIDOG 2021")</f>
        <v>MIDOG 2021</v>
      </c>
      <c r="C424" s="1" t="str">
        <f>IFERROR(__xludf.DUMMYFUNCTION("XLOOKUP($B424,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0)"),"Chest")</f>
        <v>Chest</v>
      </c>
      <c r="D424" s="1" t="str">
        <f>IFERROR(__xludf.DUMMYFUNCTION("XLOOKUP($B424,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0)"),"Breast")</f>
        <v>Breast</v>
      </c>
      <c r="E424" s="1" t="str">
        <f>IFERROR(__xludf.DUMMYFUNCTION("XLOOKUP($B424,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0)"),"Histopathology")</f>
        <v>Histopathology</v>
      </c>
      <c r="F424" s="14" t="s">
        <v>61</v>
      </c>
      <c r="G424" s="7">
        <v>200.0</v>
      </c>
      <c r="H424" s="7">
        <v>200.0</v>
      </c>
      <c r="I424" s="76" t="str">
        <f>IFERROR(__xludf.DUMMYFUNCTION("XLOOKUP(B424,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0)"),"https://imig.science/midog2021")</f>
        <v>https://imig.science/midog2021</v>
      </c>
      <c r="J424" s="17" t="str">
        <f t="shared" si="37"/>
        <v>Histopathology</v>
      </c>
    </row>
    <row r="425">
      <c r="A425" s="14" t="s">
        <v>310</v>
      </c>
      <c r="B425" s="1" t="str">
        <f>IFERROR(__xludf.DUMMYFUNCTION("XLOOKUP($A425,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0)"),"BCSS")</f>
        <v>BCSS</v>
      </c>
      <c r="C425" s="1" t="str">
        <f>IFERROR(__xludf.DUMMYFUNCTION("XLOOKUP($B425,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0)"),"Chest")</f>
        <v>Chest</v>
      </c>
      <c r="D425" s="1" t="str">
        <f>IFERROR(__xludf.DUMMYFUNCTION("XLOOKUP($B425,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0)"),"Breast")</f>
        <v>Breast</v>
      </c>
      <c r="E425" s="1" t="str">
        <f>IFERROR(__xludf.DUMMYFUNCTION("XLOOKUP($B425,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0)"),"Histopathology (H&amp;E)")</f>
        <v>Histopathology (H&amp;E)</v>
      </c>
      <c r="F425" s="14" t="s">
        <v>61</v>
      </c>
      <c r="G425" s="7">
        <v>151.0</v>
      </c>
      <c r="H425" s="7">
        <v>151.0</v>
      </c>
      <c r="I425" s="76" t="str">
        <f>IFERROR(__xludf.DUMMYFUNCTION("XLOOKUP(B425,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0)"),"https://github.com/PathologyDataScience/BCSS")</f>
        <v>https://github.com/PathologyDataScience/BCSS</v>
      </c>
      <c r="J425" s="1" t="s">
        <v>147</v>
      </c>
    </row>
    <row r="426">
      <c r="A426" s="2" t="s">
        <v>219</v>
      </c>
      <c r="B426" s="1" t="s">
        <v>219</v>
      </c>
      <c r="C426" s="1" t="s">
        <v>744</v>
      </c>
      <c r="D426" s="1" t="s">
        <v>941</v>
      </c>
      <c r="E426" s="1" t="s">
        <v>81</v>
      </c>
      <c r="F426" s="6" t="s">
        <v>81</v>
      </c>
      <c r="G426" s="7">
        <v>139.0</v>
      </c>
      <c r="H426" s="1">
        <v>130.0</v>
      </c>
      <c r="I426" s="11" t="s">
        <v>931</v>
      </c>
      <c r="J426" s="17" t="str">
        <f t="shared" ref="J426:J437" si="38">IF(OR(F426="MRI", F426="Ultrasound", F426="Endoscopy", F426="Dermoscopy", F426="Fundus", F426="OCTA", F426="OCT"), F426, IF(OR(E426="Microscopy", E426="Histopathology", E426="Pathology", E426="CT", E426="PET", E426="X-Ray", E426="Mammography"), E426, ""))</f>
        <v>X-Ray</v>
      </c>
    </row>
    <row r="427">
      <c r="A427" s="2" t="s">
        <v>203</v>
      </c>
      <c r="B427" s="2" t="s">
        <v>203</v>
      </c>
      <c r="C427" s="1" t="s">
        <v>301</v>
      </c>
      <c r="D427" s="1" t="s">
        <v>301</v>
      </c>
      <c r="E427" s="1" t="s">
        <v>75</v>
      </c>
      <c r="F427" s="6" t="s">
        <v>81</v>
      </c>
      <c r="G427" s="7">
        <v>138.0</v>
      </c>
      <c r="H427" s="1">
        <v>138.0</v>
      </c>
      <c r="I427" s="11" t="s">
        <v>1906</v>
      </c>
      <c r="J427" s="17" t="str">
        <f t="shared" si="38"/>
        <v>X-ray</v>
      </c>
    </row>
    <row r="428">
      <c r="A428" s="2" t="s">
        <v>225</v>
      </c>
      <c r="B428" s="1" t="s">
        <v>225</v>
      </c>
      <c r="C428" s="1" t="s">
        <v>246</v>
      </c>
      <c r="D428" s="1" t="s">
        <v>657</v>
      </c>
      <c r="E428" s="1" t="s">
        <v>1103</v>
      </c>
      <c r="F428" s="12" t="s">
        <v>171</v>
      </c>
      <c r="G428" s="7">
        <v>117.0</v>
      </c>
      <c r="H428" s="1">
        <v>117.0</v>
      </c>
      <c r="I428" s="11" t="s">
        <v>987</v>
      </c>
      <c r="J428" s="17" t="str">
        <f t="shared" si="38"/>
        <v>OCTA</v>
      </c>
    </row>
    <row r="429">
      <c r="A429" s="2" t="s">
        <v>208</v>
      </c>
      <c r="B429" s="2" t="s">
        <v>208</v>
      </c>
      <c r="C429" s="1" t="s">
        <v>246</v>
      </c>
      <c r="D429" s="1" t="s">
        <v>657</v>
      </c>
      <c r="E429" s="1" t="s">
        <v>1103</v>
      </c>
      <c r="F429" s="12" t="s">
        <v>100</v>
      </c>
      <c r="G429" s="7">
        <v>110.0</v>
      </c>
      <c r="H429" s="1">
        <v>110.0</v>
      </c>
      <c r="I429" s="11" t="s">
        <v>1907</v>
      </c>
      <c r="J429" s="17" t="str">
        <f t="shared" si="38"/>
        <v>Fundus</v>
      </c>
    </row>
    <row r="430">
      <c r="A430" s="2" t="s">
        <v>223</v>
      </c>
      <c r="B430" s="17" t="s">
        <v>223</v>
      </c>
      <c r="C430" s="1" t="str">
        <f>IFERROR(__xludf.DUMMYFUNCTION("XLOOKUP($B430,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0)"),"Brain")</f>
        <v>Brain</v>
      </c>
      <c r="D430" s="1" t="str">
        <f>IFERROR(__xludf.DUMMYFUNCTION("XLOOKUP($B430,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0)"),"Fundus")</f>
        <v>Fundus</v>
      </c>
      <c r="E430" s="1" t="str">
        <f>IFERROR(__xludf.DUMMYFUNCTION("XLOOKUP($B430,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0)"),"Octa")</f>
        <v>Octa</v>
      </c>
      <c r="F430" s="12" t="s">
        <v>100</v>
      </c>
      <c r="G430" s="7">
        <v>48.0</v>
      </c>
      <c r="H430" s="7">
        <v>48.0</v>
      </c>
      <c r="I430" s="76" t="str">
        <f>IFERROR(__xludf.DUMMYFUNCTION("XLOOKUP(B430,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0)"),"https://imed.nimte.ac.cn/dataofrose.html")</f>
        <v>https://imed.nimte.ac.cn/dataofrose.html</v>
      </c>
      <c r="J430" s="17" t="str">
        <f t="shared" si="38"/>
        <v>Fundus</v>
      </c>
    </row>
    <row r="431">
      <c r="A431" s="4" t="s">
        <v>230</v>
      </c>
      <c r="B431" s="1" t="s">
        <v>1908</v>
      </c>
      <c r="C431" s="1" t="str">
        <f>IFERROR(__xludf.DUMMYFUNCTION("XLOOKUP($B431,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0)"),"Brain")</f>
        <v>Brain</v>
      </c>
      <c r="D431" s="1" t="str">
        <f>IFERROR(__xludf.DUMMYFUNCTION("XLOOKUP($B431,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0)"),"Eye")</f>
        <v>Eye</v>
      </c>
      <c r="E431" s="1" t="str">
        <f>IFERROR(__xludf.DUMMYFUNCTION("XLOOKUP($B431,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0)"),"Retinal image")</f>
        <v>Retinal image</v>
      </c>
      <c r="F431" s="12" t="s">
        <v>100</v>
      </c>
      <c r="G431" s="7">
        <v>40.0</v>
      </c>
      <c r="H431" s="1">
        <v>40.0</v>
      </c>
      <c r="I431" s="11" t="s">
        <v>1909</v>
      </c>
      <c r="J431" s="17" t="str">
        <f t="shared" si="38"/>
        <v>Fundus</v>
      </c>
    </row>
    <row r="432">
      <c r="A432" s="4" t="s">
        <v>228</v>
      </c>
      <c r="B432" s="1" t="str">
        <f>IFERROR(__xludf.DUMMYFUNCTION("XLOOKUP($A432,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0)"),"CHASE")</f>
        <v>CHASE</v>
      </c>
      <c r="C432" s="1" t="str">
        <f>IFERROR(__xludf.DUMMYFUNCTION("XLOOKUP($B432,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0)"),"Brain")</f>
        <v>Brain</v>
      </c>
      <c r="D432" s="1" t="str">
        <f>IFERROR(__xludf.DUMMYFUNCTION("XLOOKUP($B432,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0)"),"Eye")</f>
        <v>Eye</v>
      </c>
      <c r="E432" s="1" t="str">
        <f>IFERROR(__xludf.DUMMYFUNCTION("XLOOKUP($B432,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0)"),"Retinal image")</f>
        <v>Retinal image</v>
      </c>
      <c r="F432" s="12" t="s">
        <v>100</v>
      </c>
      <c r="G432" s="7">
        <v>28.0</v>
      </c>
      <c r="H432" s="7">
        <v>28.0</v>
      </c>
      <c r="I432" s="76" t="str">
        <f>IFERROR(__xludf.DUMMYFUNCTION("XLOOKUP(B432,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0)"),"https://blogs.kingston.ac.uk/retinal/chasedb1/")</f>
        <v>https://blogs.kingston.ac.uk/retinal/chasedb1/</v>
      </c>
      <c r="J432" s="17" t="str">
        <f t="shared" si="38"/>
        <v>Fundus</v>
      </c>
    </row>
    <row r="433">
      <c r="A433" s="4" t="s">
        <v>232</v>
      </c>
      <c r="B433" s="4" t="s">
        <v>232</v>
      </c>
      <c r="C433" s="1" t="str">
        <f>IFERROR(__xludf.DUMMYFUNCTION("XLOOKUP($B433,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0)"),"Brain")</f>
        <v>Brain</v>
      </c>
      <c r="D433" s="1" t="str">
        <f>IFERROR(__xludf.DUMMYFUNCTION("XLOOKUP($B433,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0)"),"Eye")</f>
        <v>Eye</v>
      </c>
      <c r="E433" s="1" t="str">
        <f>IFERROR(__xludf.DUMMYFUNCTION("XLOOKUP($B433,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0)"),"Retinal image")</f>
        <v>Retinal image</v>
      </c>
      <c r="F433" s="12" t="s">
        <v>100</v>
      </c>
      <c r="G433" s="7">
        <v>22.0</v>
      </c>
      <c r="H433" s="7">
        <v>22.0</v>
      </c>
      <c r="I433" s="76" t="str">
        <f>IFERROR(__xludf.DUMMYFUNCTION("XLOOKUP(B433,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0)"),"https://ignaciorlando.github.io/")</f>
        <v>https://ignaciorlando.github.io/</v>
      </c>
      <c r="J433" s="17" t="str">
        <f t="shared" si="38"/>
        <v>Fundus</v>
      </c>
    </row>
    <row r="434">
      <c r="J434" s="17" t="str">
        <f t="shared" si="38"/>
        <v/>
      </c>
    </row>
    <row r="435">
      <c r="J435" s="17" t="str">
        <f t="shared" si="38"/>
        <v/>
      </c>
    </row>
    <row r="436">
      <c r="J436" s="17" t="str">
        <f t="shared" si="38"/>
        <v/>
      </c>
    </row>
    <row r="437">
      <c r="J437" s="17" t="str">
        <f t="shared" si="38"/>
        <v/>
      </c>
    </row>
    <row r="438">
      <c r="A438" s="1" t="s">
        <v>1410</v>
      </c>
      <c r="B438" s="17" t="str">
        <f>IFERROR(__xludf.DUMMYFUNCTION("XLOOKUP($A438,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0)"),"UTA4")</f>
        <v>UTA4</v>
      </c>
      <c r="C438" s="1" t="str">
        <f>IFERROR(__xludf.DUMMYFUNCTION("XLOOKUP($B438,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0)"),"Chest")</f>
        <v>Chest</v>
      </c>
      <c r="D438" s="1" t="str">
        <f>IFERROR(__xludf.DUMMYFUNCTION("XLOOKUP($B438,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0)"),"Breast")</f>
        <v>Breast</v>
      </c>
      <c r="E438" s="1" t="str">
        <f>IFERROR(__xludf.DUMMYFUNCTION("XLOOKUP($B438,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0)"),"Mammography; Ultrasound; MRI (DICOM)")</f>
        <v>Mammography; Ultrasound; MRI (DICOM)</v>
      </c>
      <c r="F438" s="1" t="s">
        <v>1630</v>
      </c>
      <c r="G438" s="1">
        <v>3854.0</v>
      </c>
      <c r="I438" s="76" t="str">
        <f>IFERROR(__xludf.DUMMYFUNCTION("XLOOKUP(B438,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0)"),"https://github.com/MIMBCD-UI/dataset-uta4-dicom")</f>
        <v>https://github.com/MIMBCD-UI/dataset-uta4-dicom</v>
      </c>
      <c r="J438" s="1" t="s">
        <v>1910</v>
      </c>
    </row>
    <row r="439">
      <c r="A439" s="1" t="s">
        <v>1230</v>
      </c>
      <c r="B439" s="1" t="s">
        <v>1230</v>
      </c>
      <c r="C439" s="1" t="str">
        <f>IFERROR(__xludf.DUMMYFUNCTION("XLOOKUP($B439,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0)"),"Skin")</f>
        <v>Skin</v>
      </c>
      <c r="D439" s="1" t="str">
        <f>IFERROR(__xludf.DUMMYFUNCTION("XLOOKUP($B439,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0)"),"Skin")</f>
        <v>Skin</v>
      </c>
      <c r="E439" s="1" t="str">
        <f>IFERROR(__xludf.DUMMYFUNCTION("XLOOKUP($B439,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0)"),"MRI, Histopathology")</f>
        <v>MRI, Histopathology</v>
      </c>
      <c r="F439" s="1" t="s">
        <v>1663</v>
      </c>
      <c r="G439" s="1">
        <v>97857.0</v>
      </c>
      <c r="H439" s="75">
        <v>17797.0</v>
      </c>
      <c r="I439" s="76" t="str">
        <f>IFERROR(__xludf.DUMMYFUNCTION("XLOOKUP(B439,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0)"),"https://www.cancerimagingarchive.net/collection/icdc-glioma")</f>
        <v>https://www.cancerimagingarchive.net/collection/icdc-glioma</v>
      </c>
      <c r="J439" s="1" t="str">
        <f>IFERROR(__xludf.DUMMYFUNCTION("XLOOKUP($B439,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0)"),"MRI, Histopathology")</f>
        <v>MRI, Histopathology</v>
      </c>
    </row>
    <row r="440">
      <c r="A440" s="1" t="s">
        <v>1668</v>
      </c>
      <c r="B440" s="17" t="str">
        <f>IFERROR(__xludf.DUMMYFUNCTION("XLOOKUP($A440,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0)"),"TCGA-SARC")</f>
        <v>TCGA-SARC</v>
      </c>
      <c r="C440" s="1" t="str">
        <f>IFERROR(__xludf.DUMMYFUNCTION("XLOOKUP($B440,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0)"),"Skin")</f>
        <v>Skin</v>
      </c>
      <c r="D440" s="1" t="str">
        <f>IFERROR(__xludf.DUMMYFUNCTION("XLOOKUP($B440,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0)"),"Skin")</f>
        <v>Skin</v>
      </c>
      <c r="E440" s="1" t="str">
        <f>IFERROR(__xludf.DUMMYFUNCTION("XLOOKUP($B440,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0)"),"CT, MRI")</f>
        <v>CT, MRI</v>
      </c>
      <c r="F440" s="1" t="s">
        <v>645</v>
      </c>
      <c r="G440" s="1">
        <v>5653.0</v>
      </c>
      <c r="H440" s="75">
        <v>5653.0</v>
      </c>
      <c r="I440" s="76" t="str">
        <f>IFERROR(__xludf.DUMMYFUNCTION("XLOOKUP(B440,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0)"),"https://www.cancerimagingarchive.net/collection/tcga-sarc")</f>
        <v>https://www.cancerimagingarchive.net/collection/tcga-sarc</v>
      </c>
      <c r="J440" s="1" t="s">
        <v>645</v>
      </c>
    </row>
    <row r="441">
      <c r="A441" s="1" t="s">
        <v>1678</v>
      </c>
      <c r="B441" s="17" t="str">
        <f>IFERROR(__xludf.DUMMYFUNCTION("XLOOKUP($A441,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0)"),"Soft-tissue-Sarcoma")</f>
        <v>Soft-tissue-Sarcoma</v>
      </c>
      <c r="C441" s="1" t="str">
        <f>IFERROR(__xludf.DUMMYFUNCTION("XLOOKUP($B441,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0)"),"Skin")</f>
        <v>Skin</v>
      </c>
      <c r="D441" s="1" t="str">
        <f>IFERROR(__xludf.DUMMYFUNCTION("XLOOKUP($B441,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0)"),"Skin")</f>
        <v>Skin</v>
      </c>
      <c r="E441" s="1" t="str">
        <f>IFERROR(__xludf.DUMMYFUNCTION("XLOOKUP($B441,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0)"),"PET/CT, MRI")</f>
        <v>PET/CT, MRI</v>
      </c>
      <c r="F441" s="1" t="s">
        <v>645</v>
      </c>
      <c r="G441" s="1">
        <v>37465.0</v>
      </c>
      <c r="H441" s="75">
        <v>38283.0</v>
      </c>
      <c r="I441" s="76" t="str">
        <f>IFERROR(__xludf.DUMMYFUNCTION("XLOOKUP(B441,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0)"),"https://www.cancerimagingarchive.net/collection/soft-tissue-sarcoma")</f>
        <v>https://www.cancerimagingarchive.net/collection/soft-tissue-sarcoma</v>
      </c>
      <c r="J441" s="1" t="s">
        <v>645</v>
      </c>
    </row>
    <row r="442">
      <c r="A442" s="1" t="s">
        <v>1684</v>
      </c>
      <c r="B442" s="17" t="str">
        <f>IFERROR(__xludf.DUMMYFUNCTION("XLOOKUP($A442,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0)"),"MedIMeta")</f>
        <v>MedIMeta</v>
      </c>
      <c r="C442" s="1" t="str">
        <f>IFERROR(__xludf.DUMMYFUNCTION("XLOOKUP($B442,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0)"),"Skin")</f>
        <v>Skin</v>
      </c>
      <c r="D442" s="1" t="str">
        <f>IFERROR(__xludf.DUMMYFUNCTION("XLOOKUP($B442,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0)"),"Skin")</f>
        <v>Skin</v>
      </c>
      <c r="E442" s="1" t="str">
        <f>IFERROR(__xludf.DUMMYFUNCTION("XLOOKUP($B442,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0)"),"Various (CT, X-ray, fundus, histology)")</f>
        <v>Various (CT, X-ray, fundus, histology)</v>
      </c>
      <c r="F442" s="1" t="s">
        <v>1630</v>
      </c>
      <c r="G442" s="1">
        <v>400299.0</v>
      </c>
      <c r="H442" s="1">
        <v>997.0</v>
      </c>
      <c r="I442" s="76" t="str">
        <f>IFERROR(__xludf.DUMMYFUNCTION("XLOOKUP(B442,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0)"),"https://zenodo.org/records/7884735")</f>
        <v>https://zenodo.org/records/7884735</v>
      </c>
      <c r="J442" s="1" t="s">
        <v>1911</v>
      </c>
    </row>
    <row r="443">
      <c r="A443" s="1" t="s">
        <v>1332</v>
      </c>
      <c r="B443" s="17" t="str">
        <f>IFERROR(__xludf.DUMMYFUNCTION("XLOOKUP($A443,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0)"),"TCGA-UCEC")</f>
        <v>TCGA-UCEC</v>
      </c>
      <c r="C443" s="1" t="str">
        <f>IFERROR(__xludf.DUMMYFUNCTION("XLOOKUP($B443,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0)"),"Abdomen")</f>
        <v>Abdomen</v>
      </c>
      <c r="D443" s="1" t="str">
        <f>IFERROR(__xludf.DUMMYFUNCTION("XLOOKUP($B443,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0)"),"Female Reproductive Organs")</f>
        <v>Female Reproductive Organs</v>
      </c>
      <c r="E443" s="1" t="str">
        <f>IFERROR(__xludf.DUMMYFUNCTION("XLOOKUP($B443,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0)"),"CT; PT; MR; CR")</f>
        <v>CT; PT; MR; CR</v>
      </c>
      <c r="F443" s="1" t="s">
        <v>1689</v>
      </c>
      <c r="G443" s="1">
        <v>779596.0</v>
      </c>
      <c r="H443" s="75">
        <v>77214.0</v>
      </c>
      <c r="I443" s="76" t="str">
        <f>IFERROR(__xludf.DUMMYFUNCTION("XLOOKUP(B443,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0)"),"https://www.cancerimagingarchive.net/collection/tcga-ucec")</f>
        <v>https://www.cancerimagingarchive.net/collection/tcga-ucec</v>
      </c>
      <c r="J443" s="1" t="s">
        <v>1912</v>
      </c>
    </row>
    <row r="444">
      <c r="A444" s="1" t="s">
        <v>1697</v>
      </c>
      <c r="B444" s="17" t="str">
        <f>IFERROR(__xludf.DUMMYFUNCTION("XLOOKUP($A444,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0)"),"TCGA-OV")</f>
        <v>TCGA-OV</v>
      </c>
      <c r="C444" s="1" t="str">
        <f>IFERROR(__xludf.DUMMYFUNCTION("XLOOKUP($B444,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0)"),"Abdomen")</f>
        <v>Abdomen</v>
      </c>
      <c r="D444" s="1" t="str">
        <f>IFERROR(__xludf.DUMMYFUNCTION("XLOOKUP($B444,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0)"),"Female Reproductive Organs")</f>
        <v>Female Reproductive Organs</v>
      </c>
      <c r="E444" s="1" t="str">
        <f>IFERROR(__xludf.DUMMYFUNCTION("XLOOKUP($B444,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0)"),"CT; MR; OT")</f>
        <v>CT; MR; OT</v>
      </c>
      <c r="F444" s="1" t="s">
        <v>1699</v>
      </c>
      <c r="G444" s="1">
        <v>53641.0</v>
      </c>
      <c r="H444" s="75">
        <v>53662.0</v>
      </c>
      <c r="I444" s="76" t="str">
        <f>IFERROR(__xludf.DUMMYFUNCTION("XLOOKUP(B444,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0)"),"https://www.cancerimagingarchive.net/collection/tcga-ov")</f>
        <v>https://www.cancerimagingarchive.net/collection/tcga-ov</v>
      </c>
      <c r="J444" s="1" t="s">
        <v>645</v>
      </c>
    </row>
    <row r="445">
      <c r="A445" s="1" t="s">
        <v>1181</v>
      </c>
      <c r="B445" s="17" t="str">
        <f>IFERROR(__xludf.DUMMYFUNCTION("XLOOKUP($A445,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0)"),"CPTAC-UCEC")</f>
        <v>CPTAC-UCEC</v>
      </c>
      <c r="C445" s="1" t="str">
        <f>IFERROR(__xludf.DUMMYFUNCTION("XLOOKUP($B445,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0)"),"Abdomen")</f>
        <v>Abdomen</v>
      </c>
      <c r="D445" s="1" t="str">
        <f>IFERROR(__xludf.DUMMYFUNCTION("XLOOKUP($B445,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0)"),"Female Reproductive Organs")</f>
        <v>Female Reproductive Organs</v>
      </c>
      <c r="E445" s="1" t="str">
        <f>IFERROR(__xludf.DUMMYFUNCTION("XLOOKUP($B445,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0)"),"CT; PET; MR; Ultrasound; Histopathology")</f>
        <v>CT; PET; MR; Ultrasound; Histopathology</v>
      </c>
      <c r="F445" s="1" t="s">
        <v>1700</v>
      </c>
      <c r="G445" s="1">
        <v>245608.0</v>
      </c>
      <c r="H445" s="75">
        <v>187026.0</v>
      </c>
      <c r="I445" s="76" t="str">
        <f>IFERROR(__xludf.DUMMYFUNCTION("XLOOKUP(B445,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0)"),"https://www.cancerimagingarchive.net/collection/cptac-ucec")</f>
        <v>https://www.cancerimagingarchive.net/collection/cptac-ucec</v>
      </c>
      <c r="J445" s="1" t="s">
        <v>1913</v>
      </c>
    </row>
    <row r="446">
      <c r="A446" s="1" t="s">
        <v>1701</v>
      </c>
      <c r="B446" s="17" t="str">
        <f>IFERROR(__xludf.DUMMYFUNCTION("XLOOKUP($A446,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0)"),"CMB-OV")</f>
        <v>CMB-OV</v>
      </c>
      <c r="C446" s="1" t="str">
        <f>IFERROR(__xludf.DUMMYFUNCTION("XLOOKUP($B446,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0)"),"Abdomen")</f>
        <v>Abdomen</v>
      </c>
      <c r="D446" s="1" t="str">
        <f>IFERROR(__xludf.DUMMYFUNCTION("XLOOKUP($B446,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0)"),"Female Reproductive Organs")</f>
        <v>Female Reproductive Organs</v>
      </c>
      <c r="E446" s="1" t="str">
        <f>IFERROR(__xludf.DUMMYFUNCTION("XLOOKUP($B446,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0)"),"CT; PET; Histopathology WSI")</f>
        <v>CT; PET; Histopathology WSI</v>
      </c>
      <c r="F446" s="1" t="s">
        <v>1702</v>
      </c>
      <c r="G446" s="1">
        <v>43849.0</v>
      </c>
      <c r="H446" s="75">
        <v>68415.0</v>
      </c>
      <c r="I446" s="76" t="str">
        <f>IFERROR(__xludf.DUMMYFUNCTION("XLOOKUP(B446,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0)"),"https://www.cancerimagingarchive.net/collection/cmb-ov")</f>
        <v>https://www.cancerimagingarchive.net/collection/cmb-ov</v>
      </c>
      <c r="J446" s="1" t="s">
        <v>1914</v>
      </c>
    </row>
    <row r="447">
      <c r="A447" s="1" t="s">
        <v>1330</v>
      </c>
      <c r="B447" s="17" t="str">
        <f>IFERROR(__xludf.DUMMYFUNCTION("XLOOKUP($A447,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0)"),"TCGA-LIHC")</f>
        <v>TCGA-LIHC</v>
      </c>
      <c r="C447" s="1" t="str">
        <f>IFERROR(__xludf.DUMMYFUNCTION("XLOOKUP($B447,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0)"),"Abdomen")</f>
        <v>Abdomen</v>
      </c>
      <c r="D447" s="1" t="str">
        <f>IFERROR(__xludf.DUMMYFUNCTION("XLOOKUP($B447,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0)"),"Liver")</f>
        <v>Liver</v>
      </c>
      <c r="E447" s="1" t="str">
        <f>IFERROR(__xludf.DUMMYFUNCTION("XLOOKUP($B447,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0)"),"CT, MR, PT")</f>
        <v>CT, MR, PT</v>
      </c>
      <c r="F447" s="1" t="s">
        <v>1703</v>
      </c>
      <c r="G447" s="1">
        <v>127088.0</v>
      </c>
      <c r="H447" s="75">
        <v>125397.0</v>
      </c>
      <c r="I447" s="76" t="str">
        <f>IFERROR(__xludf.DUMMYFUNCTION("XLOOKUP(B447,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0)"),"https://www.cancerimagingarchive.net/collection/tcga-lihc")</f>
        <v>https://www.cancerimagingarchive.net/collection/tcga-lihc</v>
      </c>
      <c r="J447" s="1" t="s">
        <v>1912</v>
      </c>
    </row>
    <row r="448">
      <c r="A448" s="1" t="s">
        <v>1704</v>
      </c>
      <c r="B448" s="17" t="str">
        <f>IFERROR(__xludf.DUMMYFUNCTION("XLOOKUP($A448,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0)"),"TCGA-KIRP")</f>
        <v>TCGA-KIRP</v>
      </c>
      <c r="C448" s="1" t="str">
        <f>IFERROR(__xludf.DUMMYFUNCTION("XLOOKUP($B448,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0)"),"Abdomen")</f>
        <v>Abdomen</v>
      </c>
      <c r="D448" s="1" t="str">
        <f>IFERROR(__xludf.DUMMYFUNCTION("XLOOKUP($B448,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0)"),"Kidneys and Urinary Tract")</f>
        <v>Kidneys and Urinary Tract</v>
      </c>
      <c r="E448" s="1" t="str">
        <f>IFERROR(__xludf.DUMMYFUNCTION("XLOOKUP($B448,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0)"),"CT, MR, PT")</f>
        <v>CT, MR, PT</v>
      </c>
      <c r="F448" s="1" t="s">
        <v>1703</v>
      </c>
      <c r="G448" s="1">
        <v>26623.0</v>
      </c>
      <c r="H448" s="75">
        <v>26667.0</v>
      </c>
      <c r="I448" s="76" t="str">
        <f>IFERROR(__xludf.DUMMYFUNCTION("XLOOKUP(B448,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0)"),"https://www.cancerimagingarchive.net/collection/tcga-kirp")</f>
        <v>https://www.cancerimagingarchive.net/collection/tcga-kirp</v>
      </c>
      <c r="J448" s="1" t="s">
        <v>1912</v>
      </c>
    </row>
    <row r="449">
      <c r="A449" s="1" t="s">
        <v>1407</v>
      </c>
      <c r="B449" s="17" t="str">
        <f>IFERROR(__xludf.DUMMYFUNCTION("XLOOKUP($A449,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0)"),"TCGA-KIRC")</f>
        <v>TCGA-KIRC</v>
      </c>
      <c r="C449" s="1" t="str">
        <f>IFERROR(__xludf.DUMMYFUNCTION("XLOOKUP($B449,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0)"),"Abdomen")</f>
        <v>Abdomen</v>
      </c>
      <c r="D449" s="1" t="str">
        <f>IFERROR(__xludf.DUMMYFUNCTION("XLOOKUP($B449,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0)"),"Kidneys and Urinary Tract")</f>
        <v>Kidneys and Urinary Tract</v>
      </c>
      <c r="E449" s="1" t="str">
        <f>IFERROR(__xludf.DUMMYFUNCTION("XLOOKUP($B449,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0)"),"CT, MR, CR")</f>
        <v>CT, MR, CR</v>
      </c>
      <c r="F449" s="1" t="s">
        <v>1706</v>
      </c>
      <c r="G449" s="1">
        <v>296746.0</v>
      </c>
      <c r="H449" s="75">
        <v>192581.0</v>
      </c>
      <c r="I449" s="76" t="str">
        <f>IFERROR(__xludf.DUMMYFUNCTION("XLOOKUP(B449,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0)"),"https://www.cancerimagingarchive.net/collection/tcga-kirc")</f>
        <v>https://www.cancerimagingarchive.net/collection/tcga-kirc</v>
      </c>
      <c r="J449" s="1" t="s">
        <v>645</v>
      </c>
    </row>
    <row r="450">
      <c r="A450" s="1" t="s">
        <v>1328</v>
      </c>
      <c r="B450" s="17" t="str">
        <f>IFERROR(__xludf.DUMMYFUNCTION("XLOOKUP($A450,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0)"),"TCGA-BLCA")</f>
        <v>TCGA-BLCA</v>
      </c>
      <c r="C450" s="1" t="str">
        <f>IFERROR(__xludf.DUMMYFUNCTION("XLOOKUP($B450,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0)"),"Abdomen")</f>
        <v>Abdomen</v>
      </c>
      <c r="D450" s="1" t="str">
        <f>IFERROR(__xludf.DUMMYFUNCTION("XLOOKUP($B450,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0)"),"Kidneys and Urinary Tract")</f>
        <v>Kidneys and Urinary Tract</v>
      </c>
      <c r="E450" s="1" t="str">
        <f>IFERROR(__xludf.DUMMYFUNCTION("XLOOKUP($B450,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0)"),"CT, MR, CR, PT, DX")</f>
        <v>CT, MR, CR, PT, DX</v>
      </c>
      <c r="F450" s="1" t="s">
        <v>1707</v>
      </c>
      <c r="G450" s="1">
        <v>417374.0</v>
      </c>
      <c r="H450" s="75">
        <v>111781.0</v>
      </c>
      <c r="I450" s="76" t="str">
        <f>IFERROR(__xludf.DUMMYFUNCTION("XLOOKUP(B450,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0)"),"https://www.cancerimagingarchive.net/collection/tcga-blca")</f>
        <v>https://www.cancerimagingarchive.net/collection/tcga-blca</v>
      </c>
      <c r="J450" s="1" t="s">
        <v>1912</v>
      </c>
    </row>
    <row r="451">
      <c r="A451" s="1" t="s">
        <v>1708</v>
      </c>
      <c r="B451" s="17" t="str">
        <f>IFERROR(__xludf.DUMMYFUNCTION("XLOOKUP($A451,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0)"),"TCGA-READ")</f>
        <v>TCGA-READ</v>
      </c>
      <c r="C451" s="1" t="str">
        <f>IFERROR(__xludf.DUMMYFUNCTION("XLOOKUP($B451,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0)"),"Abdomen")</f>
        <v>Abdomen</v>
      </c>
      <c r="D451" s="1" t="str">
        <f>IFERROR(__xludf.DUMMYFUNCTION("XLOOKUP($B451,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0)"),"Bowel")</f>
        <v>Bowel</v>
      </c>
      <c r="E451" s="1" t="str">
        <f>IFERROR(__xludf.DUMMYFUNCTION("XLOOKUP($B451,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0)"),"Histopathology &amp; CT/MRI")</f>
        <v>Histopathology &amp; CT/MRI</v>
      </c>
      <c r="F451" s="1" t="s">
        <v>1709</v>
      </c>
      <c r="G451" s="1">
        <v>1796.0</v>
      </c>
      <c r="H451" s="75">
        <v>1796.0</v>
      </c>
      <c r="I451" s="76" t="str">
        <f>IFERROR(__xludf.DUMMYFUNCTION("XLOOKUP(B451,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0)"),"https://www.cancerimagingarchive.net/collection/tcga-read")</f>
        <v>https://www.cancerimagingarchive.net/collection/tcga-read</v>
      </c>
      <c r="J451" s="1" t="s">
        <v>1915</v>
      </c>
    </row>
    <row r="452">
      <c r="A452" s="1" t="s">
        <v>1324</v>
      </c>
      <c r="B452" s="1" t="s">
        <v>1324</v>
      </c>
      <c r="C452" s="1" t="str">
        <f>IFERROR(__xludf.DUMMYFUNCTION("XLOOKUP($B452,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0)"),"Brain")</f>
        <v>Brain</v>
      </c>
      <c r="D452" s="1" t="str">
        <f>IFERROR(__xludf.DUMMYFUNCTION("XLOOKUP($B452,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0)"),"Ears, Nose, Teeth, and Throat")</f>
        <v>Ears, Nose, Teeth, and Throat</v>
      </c>
      <c r="E452" s="1" t="str">
        <f>IFERROR(__xludf.DUMMYFUNCTION("XLOOKUP($B452,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0)"),"MRI, Ultrasound")</f>
        <v>MRI, Ultrasound</v>
      </c>
      <c r="F452" s="1" t="s">
        <v>1712</v>
      </c>
      <c r="G452" s="1">
        <v>37789.0</v>
      </c>
      <c r="H452" s="1">
        <v>28.0</v>
      </c>
      <c r="I452" s="76" t="str">
        <f>IFERROR(__xludf.DUMMYFUNCTION("XLOOKUP(B452,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0)"),"https://www.cs.cit.tum.de/camp/publications/segthy-dataset")</f>
        <v>https://www.cs.cit.tum.de/camp/publications/segthy-dataset</v>
      </c>
      <c r="J452" s="1" t="s">
        <v>1916</v>
      </c>
    </row>
    <row r="453">
      <c r="A453" s="1" t="s">
        <v>1337</v>
      </c>
      <c r="B453" s="1" t="s">
        <v>1917</v>
      </c>
      <c r="C453" s="1" t="str">
        <f>IFERROR(__xludf.DUMMYFUNCTION("XLOOKUP($B453,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0)"),"Brain")</f>
        <v>Brain</v>
      </c>
      <c r="D453" s="1" t="str">
        <f>IFERROR(__xludf.DUMMYFUNCTION("XLOOKUP($B453,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0)"),"Brain")</f>
        <v>Brain</v>
      </c>
      <c r="E453" s="1" t="str">
        <f>IFERROR(__xludf.DUMMYFUNCTION("XLOOKUP($B453,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0)"),"CTA, MRA")</f>
        <v>CTA, MRA</v>
      </c>
      <c r="F453" s="1" t="s">
        <v>1717</v>
      </c>
      <c r="G453" s="1">
        <v>27177.0</v>
      </c>
      <c r="H453" s="1">
        <v>130.0</v>
      </c>
      <c r="I453" s="76" t="str">
        <f>IFERROR(__xludf.DUMMYFUNCTION("XLOOKUP(B453,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0)"),"https://topcow23.grand-challenge.org")</f>
        <v>https://topcow23.grand-challenge.org</v>
      </c>
      <c r="J453" s="1" t="s">
        <v>645</v>
      </c>
    </row>
    <row r="454">
      <c r="A454" s="1" t="s">
        <v>1326</v>
      </c>
      <c r="B454" s="1" t="s">
        <v>1326</v>
      </c>
      <c r="C454" s="1" t="str">
        <f>IFERROR(__xludf.DUMMYFUNCTION("XLOOKUP($B454,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0)"),"Brain")</f>
        <v>Brain</v>
      </c>
      <c r="D454" s="1" t="str">
        <f>IFERROR(__xludf.DUMMYFUNCTION("XLOOKUP($B454,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0)"),"Brain")</f>
        <v>Brain</v>
      </c>
      <c r="E454" s="1" t="str">
        <f>IFERROR(__xludf.DUMMYFUNCTION("XLOOKUP($B454,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0)"),"MRI, CT, PET")</f>
        <v>MRI, CT, PET</v>
      </c>
      <c r="F454" s="1" t="s">
        <v>1720</v>
      </c>
      <c r="G454" s="1">
        <v>241056.0</v>
      </c>
      <c r="H454" s="1">
        <v>622.0</v>
      </c>
      <c r="I454" s="76" t="str">
        <f>IFERROR(__xludf.DUMMYFUNCTION("XLOOKUP(B454,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0)"),"https://surfer.nmr.mgh.harvard.edu/docs/synthstrip")</f>
        <v>https://surfer.nmr.mgh.harvard.edu/docs/synthstrip</v>
      </c>
      <c r="J454" s="1" t="s">
        <v>1912</v>
      </c>
    </row>
    <row r="455">
      <c r="A455" s="1" t="s">
        <v>1114</v>
      </c>
      <c r="B455" s="1" t="s">
        <v>1114</v>
      </c>
      <c r="C455" s="1" t="str">
        <f>IFERROR(__xludf.DUMMYFUNCTION("XLOOKUP($B455,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0)"),"Brain")</f>
        <v>Brain</v>
      </c>
      <c r="D455" s="1" t="str">
        <f>IFERROR(__xludf.DUMMYFUNCTION("XLOOKUP($B455,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0)"),"Brain")</f>
        <v>Brain</v>
      </c>
      <c r="E455" s="1" t="str">
        <f>IFERROR(__xludf.DUMMYFUNCTION("XLOOKUP($B455,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0)"),"MRI")</f>
        <v>MRI</v>
      </c>
      <c r="F455" s="1" t="s">
        <v>17</v>
      </c>
      <c r="G455" s="1">
        <v>110224.0</v>
      </c>
      <c r="I455" s="76" t="str">
        <f>IFERROR(__xludf.DUMMYFUNCTION("XLOOKUP(B455,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0)"),"https://lit.fe.uni-lj.si/en/research/resources/3D-MR-MS")</f>
        <v>https://lit.fe.uni-lj.si/en/research/resources/3D-MR-MS</v>
      </c>
      <c r="J455" s="17" t="str">
        <f>IF(OR(F455="MRI", F455="Ultrasound", F455="Endoscopy", F455="Dermoscopy", F455="Fundus", F455="OCTA", F455="OCT"), F455, IF(OR(E455="Microscopy", E455="Histopathology", E455="Pathology", E455="CT", E455="PET", E455="X-Ray", E455="Mammography"), E455, ""))</f>
        <v>MRI</v>
      </c>
    </row>
    <row r="456">
      <c r="A456" s="66" t="s">
        <v>755</v>
      </c>
      <c r="B456" s="1" t="s">
        <v>755</v>
      </c>
      <c r="C456" s="1" t="str">
        <f>IFERROR(__xludf.DUMMYFUNCTION("XLOOKUP($B456,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0)"),"Abdomen")</f>
        <v>Abdomen</v>
      </c>
      <c r="D456" s="1" t="str">
        <f>IFERROR(__xludf.DUMMYFUNCTION("XLOOKUP($B456,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0)"),"Abdomen")</f>
        <v>Abdomen</v>
      </c>
      <c r="E456" s="1" t="str">
        <f>IFERROR(__xludf.DUMMYFUNCTION("XLOOKUP($B456,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0)"),"CT, MRI")</f>
        <v>CT, MRI</v>
      </c>
      <c r="F456" s="65" t="s">
        <v>1630</v>
      </c>
      <c r="G456" s="77">
        <v>18583.0</v>
      </c>
      <c r="H456" s="1">
        <v>40.0</v>
      </c>
      <c r="I456" s="76" t="str">
        <f>IFERROR(__xludf.DUMMYFUNCTION("XLOOKUP(B456,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0)"),"https://chaos.grand-challenge.org/Combined_Healthy_Abdominal_Organ_Segmentation/")</f>
        <v>https://chaos.grand-challenge.org/Combined_Healthy_Abdominal_Organ_Segmentation/</v>
      </c>
      <c r="J456" s="1" t="s">
        <v>645</v>
      </c>
    </row>
    <row r="457">
      <c r="A457" s="66" t="s">
        <v>643</v>
      </c>
      <c r="B457" s="1" t="s">
        <v>643</v>
      </c>
      <c r="C457" s="1" t="str">
        <f>IFERROR(__xludf.DUMMYFUNCTION("XLOOKUP($B457,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0)"),"Brain")</f>
        <v>Brain</v>
      </c>
      <c r="D457" s="1" t="str">
        <f>IFERROR(__xludf.DUMMYFUNCTION("XLOOKUP($B457,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0)"),"Head and neck")</f>
        <v>Head and neck</v>
      </c>
      <c r="E457" s="1" t="str">
        <f>IFERROR(__xludf.DUMMYFUNCTION("XLOOKUP($B457,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0)"),"CT, MRI")</f>
        <v>CT, MRI</v>
      </c>
      <c r="F457" s="65" t="s">
        <v>1630</v>
      </c>
      <c r="G457" s="77">
        <v>1634.0</v>
      </c>
      <c r="H457" s="77">
        <v>1634.0</v>
      </c>
      <c r="I457" s="76" t="str">
        <f>IFERROR(__xludf.DUMMYFUNCTION("XLOOKUP(B457,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0)"),"https://han-seg2023.grand-challenge.org/")</f>
        <v>https://han-seg2023.grand-challenge.org/</v>
      </c>
      <c r="J457" s="1" t="s">
        <v>645</v>
      </c>
    </row>
    <row r="458">
      <c r="A458" s="66" t="s">
        <v>917</v>
      </c>
      <c r="B458" s="1" t="s">
        <v>918</v>
      </c>
      <c r="C458" s="1" t="str">
        <f>IFERROR(__xludf.DUMMYFUNCTION("XLOOKUP($B458,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0)"),"Skin")</f>
        <v>Skin</v>
      </c>
      <c r="D458" s="1" t="str">
        <f>IFERROR(__xludf.DUMMYFUNCTION("XLOOKUP($B458,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0)"),"Skin")</f>
        <v>Skin</v>
      </c>
      <c r="E458" s="1" t="str">
        <f>IFERROR(__xludf.DUMMYFUNCTION("XLOOKUP($B458,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0)"),"MRI, Ultrasound, SHG, BF, EM")</f>
        <v>MRI, Ultrasound, SHG, BF, EM</v>
      </c>
      <c r="F458" s="65" t="s">
        <v>1630</v>
      </c>
      <c r="G458" s="77">
        <v>18224.0</v>
      </c>
      <c r="H458" s="1">
        <v>517.0</v>
      </c>
      <c r="I458" s="76" t="str">
        <f>IFERROR(__xludf.DUMMYFUNCTION("XLOOKUP(B458,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0)"),"https://learn2reg.grand-challenge.org")</f>
        <v>https://learn2reg.grand-challenge.org</v>
      </c>
      <c r="J458" s="1" t="s">
        <v>1916</v>
      </c>
    </row>
    <row r="459">
      <c r="A459" s="17" t="s">
        <v>1100</v>
      </c>
      <c r="B459" s="98">
        <v>43009.0</v>
      </c>
      <c r="C459" s="1" t="str">
        <f>IFERROR(__xludf.DUMMYFUNCTION("XLOOKUP($B459,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0)"),"Brain")</f>
        <v>Brain</v>
      </c>
      <c r="D459" s="1" t="str">
        <f>IFERROR(__xludf.DUMMYFUNCTION("XLOOKUP($B459,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0)"),"Eye")</f>
        <v>Eye</v>
      </c>
      <c r="E459" s="1" t="str">
        <f>IFERROR(__xludf.DUMMYFUNCTION("XLOOKUP($B459,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0)"),"OCT")</f>
        <v>OCT</v>
      </c>
      <c r="F459" s="1" t="s">
        <v>1630</v>
      </c>
      <c r="G459" s="17">
        <v>90339.0</v>
      </c>
      <c r="H459" s="75">
        <v>84495.0</v>
      </c>
      <c r="I459" s="76" t="str">
        <f>IFERROR(__xludf.DUMMYFUNCTION("XLOOKUP(B459,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0)"),"https://github.com/aishangcengloua/OCT_Classification?tab=readme-ov-file")</f>
        <v>https://github.com/aishangcengloua/OCT_Classification?tab=readme-ov-file</v>
      </c>
      <c r="J459" s="1" t="s">
        <v>725</v>
      </c>
    </row>
    <row r="460">
      <c r="A460" s="1" t="s">
        <v>921</v>
      </c>
      <c r="B460" s="1" t="s">
        <v>922</v>
      </c>
      <c r="C460" s="1" t="str">
        <f>IFERROR(__xludf.DUMMYFUNCTION("XLOOKUP($B460,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0)"),"Skin")</f>
        <v>Skin</v>
      </c>
      <c r="D460" s="1" t="str">
        <f>IFERROR(__xludf.DUMMYFUNCTION("XLOOKUP($B460,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0)"),"Skin")</f>
        <v>Skin</v>
      </c>
      <c r="E460" s="1" t="str">
        <f>IFERROR(__xludf.DUMMYFUNCTION("XLOOKUP($B460,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0)"),"CT &amp; MRI")</f>
        <v>CT &amp; MRI</v>
      </c>
      <c r="F460" s="17" t="s">
        <v>645</v>
      </c>
      <c r="G460" s="17">
        <v>26578.0</v>
      </c>
      <c r="I460" s="76" t="str">
        <f>IFERROR(__xludf.DUMMYFUNCTION("XLOOKUP(B460,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0)"),"https://www.medseg.ai")</f>
        <v>https://www.medseg.ai</v>
      </c>
      <c r="J460" s="1" t="s">
        <v>645</v>
      </c>
    </row>
    <row r="461">
      <c r="A461" s="1" t="s">
        <v>1685</v>
      </c>
      <c r="B461" s="1" t="s">
        <v>1686</v>
      </c>
      <c r="C461" s="1" t="s">
        <v>640</v>
      </c>
      <c r="D461" s="1" t="s">
        <v>644</v>
      </c>
      <c r="E461" s="1" t="s">
        <v>645</v>
      </c>
      <c r="F461" s="1" t="s">
        <v>1630</v>
      </c>
      <c r="G461" s="1">
        <v>39.0</v>
      </c>
      <c r="I461" s="76" t="str">
        <f>IFERROR(__xludf.DUMMYFUNCTION("XLOOKUP(B461,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0)"),"https://www.nlm.nih.gov/research/visible/visible_human.html?_gl=1*1k3yi8r*_ga*MTc2MTEzODEzMi4xNzcxNDc5MDkz*_ga_7147EPK006*czE3NzE0NzkyMDAkbzEkZzEkdDE3NzE0NzkyNDMkajE3JGwwJGgw*_ga_P1FPTH9PL4*czE3NzE0NzkyMDAkbzEkZzEkdDE3NzE0NzkyNDMkajE3JGwwJGgw")</f>
        <v>https://www.nlm.nih.gov/research/visible/visible_human.html?_gl=1*1k3yi8r*_ga*MTc2MTEzODEzMi4xNzcxNDc5MDkz*_ga_7147EPK006*czE3NzE0NzkyMDAkbzEkZzEkdDE3NzE0NzkyNDMkajE3JGwwJGgw*_ga_P1FPTH9PL4*czE3NzE0NzkyMDAkbzEkZzEkdDE3NzE0NzkyNDMkajE3JGwwJGgw</v>
      </c>
      <c r="J461" s="1" t="s">
        <v>645</v>
      </c>
    </row>
    <row r="462">
      <c r="A462" s="1" t="s">
        <v>1016</v>
      </c>
      <c r="B462" s="1" t="s">
        <v>1017</v>
      </c>
      <c r="C462" s="1" t="str">
        <f>IFERROR(__xludf.DUMMYFUNCTION("XLOOKUP($B462,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0)"),"Chest")</f>
        <v>Chest</v>
      </c>
      <c r="D462" s="1" t="str">
        <f>IFERROR(__xludf.DUMMYFUNCTION("XLOOKUP($B462,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0)"),"Lungs")</f>
        <v>Lungs</v>
      </c>
      <c r="E462" s="1" t="str">
        <f>IFERROR(__xludf.DUMMYFUNCTION("XLOOKUP($B462,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0)"),"X‑ray")</f>
        <v>X‑ray</v>
      </c>
      <c r="F462" s="99" t="s">
        <v>81</v>
      </c>
      <c r="G462" s="1">
        <v>98691.0</v>
      </c>
      <c r="H462" s="1">
        <v>4882.0</v>
      </c>
      <c r="I462" s="76" t="str">
        <f>IFERROR(__xludf.DUMMYFUNCTION("XLOOKUP(B462,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0)"),"https://node21.grand-challenge.org")</f>
        <v>https://node21.grand-challenge.org</v>
      </c>
      <c r="J462" s="1" t="str">
        <f>IFERROR(__xludf.DUMMYFUNCTION("XLOOKUP($B462,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0)"),"X‑ray")</f>
        <v>X‑ray</v>
      </c>
    </row>
    <row r="463">
      <c r="A463" s="17" t="s">
        <v>867</v>
      </c>
      <c r="B463" s="17" t="str">
        <f>IFERROR(__xludf.DUMMYFUNCTION("XLOOKUP($A463, IMPORTRANGE(""https://docs.google.com/spreadsheets/d/1UBtmuaUf7_Fv957LMBmn6lMadUM-z7scKS8El4i3Thk/edit?usp=sharing"", ""sheet1!$E:$E""), IMPORTRANGE(""https://docs.google.com/spreadsheets/d/1UBtmuaUf7_Fv957LMBmn6lMadUM-z7scKS8El4i3Thk/edit?"&amp;"usp=sharing"", ""sheet1!J:J""), 0)"),"TCGA-PRAD")</f>
        <v>TCGA-PRAD</v>
      </c>
      <c r="C463" s="1" t="str">
        <f>IFERROR(__xludf.DUMMYFUNCTION("XLOOKUP($B463, IMPORTRANGE(""https://docs.google.com/spreadsheets/d/1UBtmuaUf7_Fv957LMBmn6lMadUM-z7scKS8El4i3Thk/edit?usp=sharing"", ""sheet1!$J:$J""), IMPORTRANGE(""https://docs.google.com/spreadsheets/d/1UBtmuaUf7_Fv957LMBmn6lMadUM-z7scKS8El4i3Thk/edit?"&amp;"usp=sharing"", ""sheet1!K:K""), 0)"),"Abdomen")</f>
        <v>Abdomen</v>
      </c>
      <c r="D463" s="1" t="str">
        <f>IFERROR(__xludf.DUMMYFUNCTION("XLOOKUP($B463, IMPORTRANGE(""https://docs.google.com/spreadsheets/d/1UBtmuaUf7_Fv957LMBmn6lMadUM-z7scKS8El4i3Thk/edit?usp=sharing"", ""sheet1!$J:$J""), IMPORTRANGE(""https://docs.google.com/spreadsheets/d/1UBtmuaUf7_Fv957LMBmn6lMadUM-z7scKS8El4i3Thk/edit?"&amp;"usp=sharing"", ""sheet1!L:L""), 0)"),"Male Reproductive Organs")</f>
        <v>Male Reproductive Organs</v>
      </c>
      <c r="E463" s="1" t="str">
        <f>IFERROR(__xludf.DUMMYFUNCTION("XLOOKUP($B463, IMPORTRANGE(""https://docs.google.com/spreadsheets/d/1UBtmuaUf7_Fv957LMBmn6lMadUM-z7scKS8El4i3Thk/edit?usp=sharing"", ""sheet1!$J:$J""), IMPORTRANGE(""https://docs.google.com/spreadsheets/d/1UBtmuaUf7_Fv957LMBmn6lMadUM-z7scKS8El4i3Thk/edit?"&amp;"usp=sharing"", ""sheet1!M:M""), 0)"),"CT; MR; PT")</f>
        <v>CT; MR; PT</v>
      </c>
      <c r="F463" s="79" t="s">
        <v>869</v>
      </c>
      <c r="G463" s="1">
        <v>16783.0</v>
      </c>
      <c r="H463" s="75">
        <v>16790.0</v>
      </c>
      <c r="I463" s="76" t="str">
        <f>IFERROR(__xludf.DUMMYFUNCTION("XLOOKUP(B463, IMPORTRANGE(""https://docs.google.com/spreadsheets/d/1UBtmuaUf7_Fv957LMBmn6lMadUM-z7scKS8El4i3Thk/edit?usp=sharing"", ""sheet1!J:J""), IMPORTRANGE(""https://docs.google.com/spreadsheets/d/1UBtmuaUf7_Fv957LMBmn6lMadUM-z7scKS8El4i3Thk/edit?usp"&amp;"=sharing"", ""sheet1!AA:AA""), 0)"),"https://www.cancerimagingarchive.net/collection/tcga-prad")</f>
        <v>https://www.cancerimagingarchive.net/collection/tcga-prad</v>
      </c>
      <c r="J463" s="1" t="s">
        <v>1912</v>
      </c>
    </row>
  </sheetData>
  <hyperlinks>
    <hyperlink r:id="rId1" ref="I64"/>
    <hyperlink r:id="rId2" ref="I119"/>
    <hyperlink r:id="rId3" ref="I121"/>
    <hyperlink r:id="rId4" ref="I245"/>
    <hyperlink r:id="rId5" ref="I247"/>
    <hyperlink r:id="rId6" ref="I262"/>
    <hyperlink r:id="rId7" ref="I279"/>
    <hyperlink r:id="rId8" ref="I289"/>
    <hyperlink r:id="rId9" ref="I303"/>
    <hyperlink r:id="rId10" ref="I309"/>
    <hyperlink r:id="rId11" ref="I310"/>
    <hyperlink r:id="rId12" ref="I311"/>
    <hyperlink r:id="rId13" ref="I318"/>
    <hyperlink r:id="rId14" ref="I327"/>
    <hyperlink r:id="rId15" ref="I348"/>
    <hyperlink r:id="rId16" ref="I370"/>
    <hyperlink r:id="rId17" ref="I373"/>
    <hyperlink r:id="rId18" ref="I376"/>
    <hyperlink r:id="rId19" ref="I380"/>
    <hyperlink r:id="rId20" ref="I382"/>
    <hyperlink r:id="rId21" ref="I388"/>
    <hyperlink r:id="rId22" ref="I390"/>
    <hyperlink r:id="rId23" ref="I404"/>
    <hyperlink r:id="rId24" ref="I406"/>
    <hyperlink r:id="rId25" ref="I413"/>
    <hyperlink r:id="rId26" ref="I419"/>
    <hyperlink r:id="rId27" ref="I422"/>
    <hyperlink r:id="rId28" ref="I423"/>
    <hyperlink r:id="rId29" ref="I426"/>
    <hyperlink r:id="rId30" ref="I427"/>
    <hyperlink r:id="rId31" ref="I428"/>
    <hyperlink r:id="rId32" ref="I429"/>
    <hyperlink r:id="rId33" ref="I431"/>
  </hyperlinks>
  <drawing r:id="rId34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0"/>
    <col customWidth="1" min="2" max="2" width="35.5"/>
    <col customWidth="1" min="6" max="6" width="24.25"/>
  </cols>
  <sheetData>
    <row r="1">
      <c r="A1" s="1" t="s">
        <v>0</v>
      </c>
      <c r="B1" s="1" t="s">
        <v>1626</v>
      </c>
      <c r="C1" s="1" t="s">
        <v>1627</v>
      </c>
      <c r="G1" s="1" t="s">
        <v>1628</v>
      </c>
      <c r="H1" s="1" t="s">
        <v>245</v>
      </c>
      <c r="I1" s="1" t="s">
        <v>247</v>
      </c>
    </row>
    <row r="2" hidden="1">
      <c r="A2" s="35" t="s">
        <v>1629</v>
      </c>
      <c r="B2" s="35" t="s">
        <v>1630</v>
      </c>
      <c r="C2" s="37"/>
      <c r="D2" s="37"/>
      <c r="E2" s="35" t="s">
        <v>1631</v>
      </c>
      <c r="F2" s="37"/>
      <c r="G2" s="17">
        <f t="shared" ref="G2:G39" si="1">IF(C2&gt;0,1,0)</f>
        <v>0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idden="1">
      <c r="A3" s="35" t="s">
        <v>1632</v>
      </c>
      <c r="B3" s="37"/>
      <c r="C3" s="37"/>
      <c r="D3" s="37"/>
      <c r="E3" s="35" t="s">
        <v>731</v>
      </c>
      <c r="F3" s="37"/>
      <c r="G3" s="17">
        <f t="shared" si="1"/>
        <v>0</v>
      </c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>
      <c r="A4" s="1" t="s">
        <v>1410</v>
      </c>
      <c r="B4" s="1" t="s">
        <v>1630</v>
      </c>
      <c r="C4" s="1">
        <v>3854.0</v>
      </c>
      <c r="G4" s="17">
        <f t="shared" si="1"/>
        <v>1</v>
      </c>
      <c r="H4" s="17">
        <f>IF(COUNTIF(Sheet14!A:A, A4)&gt;0, 1, 0)</f>
        <v>1</v>
      </c>
      <c r="I4" s="17">
        <f>if(H4=1,C4*2,C4)</f>
        <v>7708</v>
      </c>
    </row>
    <row r="5" hidden="1">
      <c r="A5" s="35" t="s">
        <v>372</v>
      </c>
      <c r="B5" s="37"/>
      <c r="C5" s="37"/>
      <c r="D5" s="37"/>
      <c r="E5" s="35" t="s">
        <v>731</v>
      </c>
      <c r="F5" s="37"/>
      <c r="G5" s="17">
        <f t="shared" si="1"/>
        <v>0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idden="1">
      <c r="A6" s="35" t="s">
        <v>1646</v>
      </c>
      <c r="B6" s="35" t="s">
        <v>1647</v>
      </c>
      <c r="C6" s="35"/>
      <c r="D6" s="37"/>
      <c r="E6" s="35" t="s">
        <v>731</v>
      </c>
      <c r="F6" s="37"/>
      <c r="G6" s="17">
        <f t="shared" si="1"/>
        <v>0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idden="1">
      <c r="A7" s="35" t="s">
        <v>1650</v>
      </c>
      <c r="B7" s="35" t="s">
        <v>1630</v>
      </c>
      <c r="C7" s="37"/>
      <c r="D7" s="37"/>
      <c r="E7" s="35" t="s">
        <v>1651</v>
      </c>
      <c r="F7" s="37"/>
      <c r="G7" s="17">
        <f t="shared" si="1"/>
        <v>0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idden="1">
      <c r="A8" s="35" t="s">
        <v>1652</v>
      </c>
      <c r="B8" s="35" t="s">
        <v>1630</v>
      </c>
      <c r="C8" s="37"/>
      <c r="D8" s="37"/>
      <c r="E8" s="35" t="s">
        <v>731</v>
      </c>
      <c r="F8" s="37"/>
      <c r="G8" s="17">
        <f t="shared" si="1"/>
        <v>0</v>
      </c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idden="1">
      <c r="A9" s="35" t="s">
        <v>1654</v>
      </c>
      <c r="B9" s="35" t="s">
        <v>1630</v>
      </c>
      <c r="C9" s="37"/>
      <c r="D9" s="37"/>
      <c r="E9" s="35" t="s">
        <v>1655</v>
      </c>
      <c r="F9" s="37"/>
      <c r="G9" s="17">
        <f t="shared" si="1"/>
        <v>0</v>
      </c>
      <c r="H9" s="37"/>
      <c r="I9" s="37"/>
      <c r="J9" s="37"/>
      <c r="K9" s="37"/>
      <c r="L9" s="35" t="s">
        <v>1656</v>
      </c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idden="1">
      <c r="A10" s="35" t="s">
        <v>1657</v>
      </c>
      <c r="B10" s="35" t="s">
        <v>1630</v>
      </c>
      <c r="C10" s="37"/>
      <c r="D10" s="37"/>
      <c r="E10" s="35" t="s">
        <v>1658</v>
      </c>
      <c r="F10" s="37"/>
      <c r="G10" s="17">
        <f t="shared" si="1"/>
        <v>0</v>
      </c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idden="1">
      <c r="A11" s="35" t="s">
        <v>1660</v>
      </c>
      <c r="B11" s="35" t="s">
        <v>1630</v>
      </c>
      <c r="C11" s="37"/>
      <c r="D11" s="37"/>
      <c r="E11" s="35" t="s">
        <v>1524</v>
      </c>
      <c r="F11" s="37"/>
      <c r="G11" s="17">
        <f t="shared" si="1"/>
        <v>0</v>
      </c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1" t="s">
        <v>1230</v>
      </c>
      <c r="B12" s="1" t="s">
        <v>1663</v>
      </c>
      <c r="C12" s="1">
        <v>97857.0</v>
      </c>
      <c r="G12" s="17">
        <f t="shared" si="1"/>
        <v>1</v>
      </c>
      <c r="H12" s="17">
        <f>IF(COUNTIF(Sheet14!A:A, A12)&gt;0, 1, 0)</f>
        <v>1</v>
      </c>
      <c r="I12" s="17">
        <f>if(H12=1,C12*2,C12)</f>
        <v>195714</v>
      </c>
    </row>
    <row r="13" hidden="1">
      <c r="A13" s="35" t="s">
        <v>1666</v>
      </c>
      <c r="B13" s="35" t="s">
        <v>1630</v>
      </c>
      <c r="C13" s="37"/>
      <c r="D13" s="37"/>
      <c r="E13" s="35" t="s">
        <v>1667</v>
      </c>
      <c r="F13" s="37"/>
      <c r="G13" s="17">
        <f t="shared" si="1"/>
        <v>0</v>
      </c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>
      <c r="A14" s="1" t="s">
        <v>1668</v>
      </c>
      <c r="B14" s="1" t="s">
        <v>645</v>
      </c>
      <c r="C14" s="1">
        <v>5653.0</v>
      </c>
      <c r="G14" s="17">
        <f t="shared" si="1"/>
        <v>1</v>
      </c>
      <c r="H14" s="17">
        <f>IF(COUNTIF(Sheet14!A:A, A14)&gt;0, 1, 0)</f>
        <v>0</v>
      </c>
      <c r="I14" s="17">
        <f>if(H14=1,C14*2,C14)</f>
        <v>5653</v>
      </c>
    </row>
    <row r="15" hidden="1">
      <c r="A15" s="35" t="s">
        <v>1673</v>
      </c>
      <c r="B15" s="35" t="s">
        <v>1630</v>
      </c>
      <c r="C15" s="37"/>
      <c r="D15" s="37"/>
      <c r="E15" s="35" t="s">
        <v>1674</v>
      </c>
      <c r="F15" s="37"/>
      <c r="G15" s="17">
        <f t="shared" si="1"/>
        <v>0</v>
      </c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>
      <c r="A16" s="1" t="s">
        <v>1678</v>
      </c>
      <c r="B16" s="1" t="s">
        <v>645</v>
      </c>
      <c r="C16" s="1">
        <v>37465.0</v>
      </c>
      <c r="G16" s="17">
        <f t="shared" si="1"/>
        <v>1</v>
      </c>
      <c r="H16" s="17">
        <f>IF(COUNTIF(Sheet14!A:A, A16)&gt;0, 1, 0)</f>
        <v>0</v>
      </c>
      <c r="I16" s="17">
        <f t="shared" ref="I16:I27" si="2">if(H16=1,C16*2,C16)</f>
        <v>37465</v>
      </c>
    </row>
    <row r="17">
      <c r="A17" s="1" t="s">
        <v>1684</v>
      </c>
      <c r="B17" s="1" t="s">
        <v>1630</v>
      </c>
      <c r="C17" s="1">
        <v>400299.0</v>
      </c>
      <c r="G17" s="17">
        <f t="shared" si="1"/>
        <v>1</v>
      </c>
      <c r="H17" s="17">
        <f>IF(COUNTIF(Sheet14!A:A, A17)&gt;0, 1, 0)</f>
        <v>0</v>
      </c>
      <c r="I17" s="17">
        <f t="shared" si="2"/>
        <v>400299</v>
      </c>
    </row>
    <row r="18">
      <c r="A18" s="1" t="s">
        <v>1332</v>
      </c>
      <c r="B18" s="1" t="s">
        <v>1689</v>
      </c>
      <c r="C18" s="1">
        <v>779596.0</v>
      </c>
      <c r="G18" s="17">
        <f t="shared" si="1"/>
        <v>1</v>
      </c>
      <c r="H18" s="17">
        <f>IF(COUNTIF(Sheet14!A:A, A18)&gt;0, 1, 0)</f>
        <v>1</v>
      </c>
      <c r="I18" s="17">
        <f t="shared" si="2"/>
        <v>1559192</v>
      </c>
    </row>
    <row r="19">
      <c r="A19" s="1" t="s">
        <v>1697</v>
      </c>
      <c r="B19" s="1" t="s">
        <v>1699</v>
      </c>
      <c r="C19" s="1">
        <v>53641.0</v>
      </c>
      <c r="G19" s="17">
        <f t="shared" si="1"/>
        <v>1</v>
      </c>
      <c r="H19" s="17">
        <f>IF(COUNTIF(Sheet14!A:A, A19)&gt;0, 1, 0)</f>
        <v>0</v>
      </c>
      <c r="I19" s="17">
        <f t="shared" si="2"/>
        <v>53641</v>
      </c>
    </row>
    <row r="20">
      <c r="A20" s="1" t="s">
        <v>1181</v>
      </c>
      <c r="B20" s="1" t="s">
        <v>1700</v>
      </c>
      <c r="C20" s="1">
        <v>245608.0</v>
      </c>
      <c r="G20" s="17">
        <f t="shared" si="1"/>
        <v>1</v>
      </c>
      <c r="H20" s="17">
        <f>IF(COUNTIF(Sheet14!A:A, A20)&gt;0, 1, 0)</f>
        <v>1</v>
      </c>
      <c r="I20" s="17">
        <f t="shared" si="2"/>
        <v>491216</v>
      </c>
    </row>
    <row r="21">
      <c r="A21" s="1" t="s">
        <v>1701</v>
      </c>
      <c r="B21" s="1" t="s">
        <v>1702</v>
      </c>
      <c r="C21" s="1">
        <v>43849.0</v>
      </c>
      <c r="G21" s="17">
        <f t="shared" si="1"/>
        <v>1</v>
      </c>
      <c r="H21" s="17">
        <f>IF(COUNTIF(Sheet14!A:A, A21)&gt;0, 1, 0)</f>
        <v>0</v>
      </c>
      <c r="I21" s="17">
        <f t="shared" si="2"/>
        <v>43849</v>
      </c>
    </row>
    <row r="22">
      <c r="A22" s="1" t="s">
        <v>1330</v>
      </c>
      <c r="B22" s="1" t="s">
        <v>1703</v>
      </c>
      <c r="C22" s="1">
        <v>127088.0</v>
      </c>
      <c r="G22" s="17">
        <f t="shared" si="1"/>
        <v>1</v>
      </c>
      <c r="H22" s="17">
        <f>IF(COUNTIF(Sheet14!A:A, A22)&gt;0, 1, 0)</f>
        <v>1</v>
      </c>
      <c r="I22" s="17">
        <f t="shared" si="2"/>
        <v>254176</v>
      </c>
    </row>
    <row r="23">
      <c r="A23" s="1" t="s">
        <v>1704</v>
      </c>
      <c r="B23" s="1" t="s">
        <v>1703</v>
      </c>
      <c r="C23" s="1">
        <v>26623.0</v>
      </c>
      <c r="G23" s="17">
        <f t="shared" si="1"/>
        <v>1</v>
      </c>
      <c r="H23" s="17">
        <f>IF(COUNTIF(Sheet14!A:A, A23)&gt;0, 1, 0)</f>
        <v>0</v>
      </c>
      <c r="I23" s="17">
        <f t="shared" si="2"/>
        <v>26623</v>
      </c>
    </row>
    <row r="24">
      <c r="A24" s="1" t="s">
        <v>1407</v>
      </c>
      <c r="B24" s="1" t="s">
        <v>1706</v>
      </c>
      <c r="C24" s="1">
        <v>296746.0</v>
      </c>
      <c r="G24" s="17">
        <f t="shared" si="1"/>
        <v>1</v>
      </c>
      <c r="H24" s="17">
        <f>IF(COUNTIF(Sheet14!A:A, A24)&gt;0, 1, 0)</f>
        <v>1</v>
      </c>
      <c r="I24" s="17">
        <f t="shared" si="2"/>
        <v>593492</v>
      </c>
    </row>
    <row r="25">
      <c r="A25" s="1" t="s">
        <v>1328</v>
      </c>
      <c r="B25" s="1" t="s">
        <v>1707</v>
      </c>
      <c r="C25" s="1">
        <v>417374.0</v>
      </c>
      <c r="G25" s="17">
        <f t="shared" si="1"/>
        <v>1</v>
      </c>
      <c r="H25" s="17">
        <f>IF(COUNTIF(Sheet14!A:A, A25)&gt;0, 1, 0)</f>
        <v>1</v>
      </c>
      <c r="I25" s="17">
        <f t="shared" si="2"/>
        <v>834748</v>
      </c>
    </row>
    <row r="26">
      <c r="A26" s="1" t="s">
        <v>1708</v>
      </c>
      <c r="B26" s="1" t="s">
        <v>1709</v>
      </c>
      <c r="C26" s="1">
        <v>1796.0</v>
      </c>
      <c r="G26" s="17">
        <f t="shared" si="1"/>
        <v>1</v>
      </c>
      <c r="H26" s="17">
        <f>IF(COUNTIF(Sheet14!A:A, A26)&gt;0, 1, 0)</f>
        <v>0</v>
      </c>
      <c r="I26" s="17">
        <f t="shared" si="2"/>
        <v>1796</v>
      </c>
    </row>
    <row r="27">
      <c r="A27" s="1" t="s">
        <v>1324</v>
      </c>
      <c r="B27" s="1" t="s">
        <v>1712</v>
      </c>
      <c r="C27" s="1">
        <v>37789.0</v>
      </c>
      <c r="G27" s="17">
        <f t="shared" si="1"/>
        <v>1</v>
      </c>
      <c r="H27" s="17">
        <f>IF(COUNTIF(Sheet14!A:A, A27)&gt;0, 1, 0)</f>
        <v>1</v>
      </c>
      <c r="I27" s="17">
        <f t="shared" si="2"/>
        <v>75578</v>
      </c>
    </row>
    <row r="28" hidden="1">
      <c r="A28" s="35" t="s">
        <v>1714</v>
      </c>
      <c r="B28" s="35" t="s">
        <v>1647</v>
      </c>
      <c r="C28" s="37"/>
      <c r="D28" s="37"/>
      <c r="E28" s="35" t="s">
        <v>1716</v>
      </c>
      <c r="F28" s="37"/>
      <c r="G28" s="17">
        <f t="shared" si="1"/>
        <v>0</v>
      </c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>
      <c r="A29" s="1" t="s">
        <v>1337</v>
      </c>
      <c r="B29" s="1" t="s">
        <v>1717</v>
      </c>
      <c r="C29" s="1">
        <v>27177.0</v>
      </c>
      <c r="G29" s="17">
        <f t="shared" si="1"/>
        <v>1</v>
      </c>
      <c r="H29" s="17">
        <f>IF(COUNTIF(Sheet14!A:A, A29)&gt;0, 1, 0)</f>
        <v>1</v>
      </c>
      <c r="I29" s="17">
        <f t="shared" ref="I29:I39" si="3">if(H29=1,C29*2,C29)</f>
        <v>54354</v>
      </c>
    </row>
    <row r="30">
      <c r="A30" s="1" t="s">
        <v>1326</v>
      </c>
      <c r="B30" s="1" t="s">
        <v>1720</v>
      </c>
      <c r="C30" s="1">
        <v>241056.0</v>
      </c>
      <c r="G30" s="17">
        <f t="shared" si="1"/>
        <v>1</v>
      </c>
      <c r="H30" s="17">
        <f>IF(COUNTIF(Sheet14!A:A, A30)&gt;0, 1, 0)</f>
        <v>1</v>
      </c>
      <c r="I30" s="17">
        <f t="shared" si="3"/>
        <v>482112</v>
      </c>
    </row>
    <row r="31">
      <c r="A31" s="1" t="s">
        <v>1114</v>
      </c>
      <c r="B31" s="1" t="s">
        <v>17</v>
      </c>
      <c r="C31" s="1">
        <v>110224.0</v>
      </c>
      <c r="G31" s="17">
        <f t="shared" si="1"/>
        <v>1</v>
      </c>
      <c r="H31" s="17">
        <f>IF(COUNTIF(Sheet14!A:A, A31)&gt;0, 1, 0)</f>
        <v>1</v>
      </c>
      <c r="I31" s="17">
        <f t="shared" si="3"/>
        <v>220448</v>
      </c>
    </row>
    <row r="32">
      <c r="A32" s="66" t="s">
        <v>755</v>
      </c>
      <c r="B32" s="65" t="s">
        <v>1630</v>
      </c>
      <c r="C32" s="77">
        <v>18583.0</v>
      </c>
      <c r="G32" s="17">
        <f t="shared" si="1"/>
        <v>1</v>
      </c>
      <c r="H32" s="17">
        <f>IF(COUNTIF(Sheet14!A:A, A32)&gt;0, 1, 0)</f>
        <v>0</v>
      </c>
      <c r="I32" s="17">
        <f t="shared" si="3"/>
        <v>18583</v>
      </c>
    </row>
    <row r="33">
      <c r="A33" s="66" t="s">
        <v>643</v>
      </c>
      <c r="B33" s="65" t="s">
        <v>1630</v>
      </c>
      <c r="C33" s="77">
        <v>1634.0</v>
      </c>
      <c r="D33" s="66"/>
      <c r="G33" s="17">
        <f t="shared" si="1"/>
        <v>1</v>
      </c>
      <c r="H33" s="17">
        <f>IF(COUNTIF(Sheet14!A:A, A33)&gt;0, 1, 0)</f>
        <v>1</v>
      </c>
      <c r="I33" s="17">
        <f t="shared" si="3"/>
        <v>3268</v>
      </c>
    </row>
    <row r="34">
      <c r="A34" s="66" t="s">
        <v>917</v>
      </c>
      <c r="B34" s="65" t="s">
        <v>1630</v>
      </c>
      <c r="C34" s="77">
        <v>18224.0</v>
      </c>
      <c r="G34" s="17">
        <f t="shared" si="1"/>
        <v>1</v>
      </c>
      <c r="H34" s="17">
        <f>IF(COUNTIF(Sheet14!A:A, A34)&gt;0, 1, 0)</f>
        <v>1</v>
      </c>
      <c r="I34" s="17">
        <f t="shared" si="3"/>
        <v>36448</v>
      </c>
    </row>
    <row r="35">
      <c r="A35" s="17" t="s">
        <v>1100</v>
      </c>
      <c r="B35" s="1" t="s">
        <v>1630</v>
      </c>
      <c r="C35" s="17">
        <v>90339.0</v>
      </c>
      <c r="G35" s="17">
        <f t="shared" si="1"/>
        <v>1</v>
      </c>
      <c r="H35" s="17">
        <f>IF(COUNTIF(Sheet14!A:A, A35)&gt;0, 1, 0)</f>
        <v>0</v>
      </c>
      <c r="I35" s="17">
        <f t="shared" si="3"/>
        <v>90339</v>
      </c>
    </row>
    <row r="36">
      <c r="A36" s="1" t="s">
        <v>921</v>
      </c>
      <c r="B36" s="17" t="s">
        <v>645</v>
      </c>
      <c r="C36" s="17">
        <v>26578.0</v>
      </c>
      <c r="G36" s="17">
        <f t="shared" si="1"/>
        <v>1</v>
      </c>
      <c r="H36" s="17">
        <f>IF(COUNTIF(Sheet14!A:A, A36)&gt;0, 1, 0)</f>
        <v>1</v>
      </c>
      <c r="I36" s="17">
        <f t="shared" si="3"/>
        <v>53156</v>
      </c>
    </row>
    <row r="37">
      <c r="A37" s="1" t="s">
        <v>1685</v>
      </c>
      <c r="B37" s="1" t="s">
        <v>1630</v>
      </c>
      <c r="C37" s="1">
        <v>39.0</v>
      </c>
      <c r="G37" s="17">
        <f t="shared" si="1"/>
        <v>1</v>
      </c>
      <c r="H37" s="17">
        <f>IF(COUNTIF(Sheet14!A:A, A37)&gt;0, 1, 0)</f>
        <v>0</v>
      </c>
      <c r="I37" s="17">
        <f t="shared" si="3"/>
        <v>39</v>
      </c>
    </row>
    <row r="38">
      <c r="A38" s="1" t="s">
        <v>1016</v>
      </c>
      <c r="B38" s="78"/>
      <c r="C38" s="1">
        <v>98691.0</v>
      </c>
      <c r="F38" s="1"/>
      <c r="G38" s="17">
        <f t="shared" si="1"/>
        <v>1</v>
      </c>
      <c r="H38" s="17">
        <f>IF(COUNTIF(Sheet14!A:A, A38)&gt;0, 1, 0)</f>
        <v>1</v>
      </c>
      <c r="I38" s="17">
        <f t="shared" si="3"/>
        <v>197382</v>
      </c>
    </row>
    <row r="39">
      <c r="A39" s="17" t="s">
        <v>867</v>
      </c>
      <c r="B39" s="79" t="s">
        <v>869</v>
      </c>
      <c r="C39" s="1">
        <v>16783.0</v>
      </c>
      <c r="F39" s="1"/>
      <c r="G39" s="17">
        <f t="shared" si="1"/>
        <v>1</v>
      </c>
      <c r="H39" s="17">
        <f>IF(COUNTIF(Sheet14!A:A, A39)&gt;0, 1, 0)</f>
        <v>0</v>
      </c>
      <c r="I39" s="17">
        <f t="shared" si="3"/>
        <v>16783</v>
      </c>
    </row>
    <row r="40">
      <c r="B40" s="78"/>
      <c r="C40" s="80"/>
      <c r="F40" s="1"/>
    </row>
    <row r="41">
      <c r="B41" s="78" t="s">
        <v>1731</v>
      </c>
      <c r="C41" s="80">
        <f>SUM(C2:C39)</f>
        <v>3224566</v>
      </c>
      <c r="F41" s="1" t="s">
        <v>1734</v>
      </c>
      <c r="G41" s="17">
        <f>SUM(G2:G39)</f>
        <v>26</v>
      </c>
    </row>
    <row r="42">
      <c r="F42" s="1" t="s">
        <v>1735</v>
      </c>
      <c r="G42" s="1">
        <v>12.0</v>
      </c>
    </row>
    <row r="43">
      <c r="F43" s="78" t="s">
        <v>1040</v>
      </c>
      <c r="G43" s="80">
        <f>G41+G42</f>
        <v>38</v>
      </c>
    </row>
  </sheetData>
  <autoFilter ref="$A$1:$A$997">
    <filterColumn colId="0">
      <colorFilter dxfId="1"/>
    </filterColumn>
  </autoFil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13"/>
    <col customWidth="1" min="3" max="3" width="48.13"/>
    <col customWidth="1" min="4" max="6" width="36.88"/>
    <col customWidth="1" min="7" max="7" width="16.88"/>
  </cols>
  <sheetData>
    <row r="1">
      <c r="A1" s="1" t="s">
        <v>4</v>
      </c>
      <c r="B1" s="1" t="s">
        <v>9</v>
      </c>
      <c r="C1" s="1" t="s">
        <v>1637</v>
      </c>
      <c r="D1" s="1" t="s">
        <v>1638</v>
      </c>
      <c r="E1" s="1" t="s">
        <v>1639</v>
      </c>
      <c r="F1" s="1" t="s">
        <v>1640</v>
      </c>
      <c r="G1" s="3" t="s">
        <v>15</v>
      </c>
      <c r="H1" s="1" t="s">
        <v>1641</v>
      </c>
      <c r="I1" s="1" t="s">
        <v>1642</v>
      </c>
      <c r="J1" s="1" t="s">
        <v>1643</v>
      </c>
      <c r="K1" s="1" t="s">
        <v>1644</v>
      </c>
      <c r="L1" s="1" t="s">
        <v>1645</v>
      </c>
    </row>
    <row r="2">
      <c r="A2" s="1" t="s">
        <v>81</v>
      </c>
      <c r="B2" s="1" t="s">
        <v>301</v>
      </c>
      <c r="C2" s="1" t="s">
        <v>79</v>
      </c>
      <c r="D2" s="75">
        <v>377100.0</v>
      </c>
      <c r="E2" s="75">
        <f t="shared" ref="E2:E8" si="1">D2/$D$12 * 100</f>
        <v>38.36605962</v>
      </c>
      <c r="F2" s="75">
        <v>3.22</v>
      </c>
      <c r="G2" s="3" t="s">
        <v>70</v>
      </c>
      <c r="H2" s="1" t="s">
        <v>118</v>
      </c>
      <c r="I2" s="1" t="s">
        <v>118</v>
      </c>
      <c r="J2" s="1" t="s">
        <v>118</v>
      </c>
      <c r="K2" s="1" t="s">
        <v>118</v>
      </c>
      <c r="L2" s="1" t="s">
        <v>1653</v>
      </c>
    </row>
    <row r="3">
      <c r="A3" s="1" t="s">
        <v>31</v>
      </c>
      <c r="B3" s="1" t="s">
        <v>280</v>
      </c>
      <c r="C3" s="1" t="s">
        <v>76</v>
      </c>
      <c r="D3" s="75">
        <v>392559.0</v>
      </c>
      <c r="E3" s="75">
        <f t="shared" si="1"/>
        <v>39.93885441</v>
      </c>
      <c r="F3" s="75">
        <v>46.11</v>
      </c>
      <c r="G3" s="3" t="s">
        <v>70</v>
      </c>
      <c r="H3" s="1" t="s">
        <v>118</v>
      </c>
      <c r="I3" s="1" t="s">
        <v>118</v>
      </c>
      <c r="J3" s="1" t="s">
        <v>118</v>
      </c>
      <c r="K3" s="1" t="s">
        <v>118</v>
      </c>
      <c r="L3" s="1" t="s">
        <v>1653</v>
      </c>
    </row>
    <row r="4">
      <c r="A4" s="1" t="s">
        <v>61</v>
      </c>
      <c r="B4" s="1" t="s">
        <v>280</v>
      </c>
      <c r="C4" s="1" t="s">
        <v>103</v>
      </c>
      <c r="D4" s="75">
        <v>100000.0</v>
      </c>
      <c r="E4" s="75">
        <f t="shared" si="1"/>
        <v>10.17397497</v>
      </c>
      <c r="F4" s="75">
        <v>3.75</v>
      </c>
      <c r="G4" s="3" t="s">
        <v>70</v>
      </c>
      <c r="H4" s="1" t="s">
        <v>118</v>
      </c>
      <c r="I4" s="1" t="s">
        <v>118</v>
      </c>
      <c r="J4" s="1" t="s">
        <v>118</v>
      </c>
      <c r="K4" s="1" t="s">
        <v>1659</v>
      </c>
      <c r="L4" s="1" t="s">
        <v>1653</v>
      </c>
    </row>
    <row r="5">
      <c r="A5" s="1" t="s">
        <v>107</v>
      </c>
      <c r="B5" s="1" t="s">
        <v>280</v>
      </c>
      <c r="C5" s="1" t="s">
        <v>113</v>
      </c>
      <c r="D5" s="75">
        <v>79473.0</v>
      </c>
      <c r="E5" s="75">
        <f t="shared" si="1"/>
        <v>8.08556313</v>
      </c>
      <c r="F5" s="75">
        <v>6.51</v>
      </c>
      <c r="G5" s="3" t="s">
        <v>70</v>
      </c>
      <c r="H5" s="1" t="s">
        <v>118</v>
      </c>
      <c r="I5" s="1" t="s">
        <v>118</v>
      </c>
      <c r="J5" s="1" t="s">
        <v>118</v>
      </c>
      <c r="K5" s="1" t="s">
        <v>1659</v>
      </c>
      <c r="L5" s="1" t="s">
        <v>1653</v>
      </c>
    </row>
    <row r="6">
      <c r="A6" s="1" t="s">
        <v>100</v>
      </c>
      <c r="B6" s="1" t="s">
        <v>657</v>
      </c>
      <c r="C6" s="1" t="s">
        <v>1661</v>
      </c>
      <c r="D6" s="75">
        <v>15973.0</v>
      </c>
      <c r="E6" s="75">
        <f t="shared" si="1"/>
        <v>1.625089022</v>
      </c>
      <c r="F6" s="75">
        <v>0.42</v>
      </c>
      <c r="G6" s="3" t="s">
        <v>1662</v>
      </c>
      <c r="H6" s="1" t="s">
        <v>118</v>
      </c>
      <c r="I6" s="1" t="s">
        <v>118</v>
      </c>
      <c r="J6" s="1" t="s">
        <v>118</v>
      </c>
      <c r="K6" s="1" t="s">
        <v>1664</v>
      </c>
      <c r="L6" s="1" t="s">
        <v>118</v>
      </c>
    </row>
    <row r="7">
      <c r="A7" s="1" t="s">
        <v>64</v>
      </c>
      <c r="B7" s="1" t="s">
        <v>366</v>
      </c>
      <c r="C7" s="1" t="s">
        <v>136</v>
      </c>
      <c r="D7" s="75">
        <v>16577.0</v>
      </c>
      <c r="E7" s="75">
        <f t="shared" si="1"/>
        <v>1.686539831</v>
      </c>
      <c r="F7" s="75">
        <v>3.0</v>
      </c>
      <c r="G7" s="3" t="s">
        <v>70</v>
      </c>
      <c r="H7" s="1" t="s">
        <v>118</v>
      </c>
      <c r="I7" s="1" t="s">
        <v>118</v>
      </c>
      <c r="J7" s="1" t="s">
        <v>118</v>
      </c>
      <c r="K7" s="1" t="s">
        <v>1653</v>
      </c>
      <c r="L7" s="1" t="s">
        <v>1653</v>
      </c>
    </row>
    <row r="8">
      <c r="A8" s="1" t="s">
        <v>725</v>
      </c>
      <c r="B8" s="1" t="s">
        <v>657</v>
      </c>
      <c r="C8" s="1" t="s">
        <v>169</v>
      </c>
      <c r="D8" s="1">
        <v>818.0</v>
      </c>
      <c r="E8" s="75">
        <f t="shared" si="1"/>
        <v>0.08322311527</v>
      </c>
      <c r="F8" s="75">
        <v>0.0</v>
      </c>
      <c r="G8" s="3" t="s">
        <v>123</v>
      </c>
      <c r="H8" s="1" t="s">
        <v>118</v>
      </c>
      <c r="I8" s="1" t="s">
        <v>118</v>
      </c>
      <c r="J8" s="1" t="s">
        <v>118</v>
      </c>
      <c r="K8" s="1" t="s">
        <v>118</v>
      </c>
      <c r="L8" s="1" t="s">
        <v>118</v>
      </c>
    </row>
    <row r="9">
      <c r="A9" s="1" t="s">
        <v>17</v>
      </c>
      <c r="B9" s="1"/>
      <c r="C9" s="1"/>
      <c r="D9" s="1"/>
      <c r="E9" s="75">
        <v>0.0</v>
      </c>
      <c r="F9" s="75">
        <v>31.0</v>
      </c>
      <c r="G9" s="3"/>
      <c r="H9" s="1"/>
      <c r="I9" s="1"/>
      <c r="J9" s="1"/>
      <c r="K9" s="1"/>
      <c r="L9" s="1"/>
    </row>
    <row r="10">
      <c r="A10" s="1" t="s">
        <v>168</v>
      </c>
      <c r="B10" s="1"/>
      <c r="C10" s="1"/>
      <c r="D10" s="1"/>
      <c r="E10" s="75">
        <v>0.0</v>
      </c>
      <c r="F10" s="75">
        <v>6.0</v>
      </c>
      <c r="G10" s="3"/>
      <c r="H10" s="1"/>
      <c r="I10" s="1"/>
      <c r="J10" s="1"/>
      <c r="K10" s="1"/>
      <c r="L10" s="1"/>
    </row>
    <row r="11">
      <c r="A11" s="1" t="s">
        <v>81</v>
      </c>
      <c r="B11" s="1" t="s">
        <v>280</v>
      </c>
      <c r="C11" s="1" t="s">
        <v>189</v>
      </c>
      <c r="D11" s="1">
        <v>400.0</v>
      </c>
      <c r="E11" s="75">
        <f t="shared" ref="E11:E12" si="2">D11/$D$12 * 100</f>
        <v>0.04069589989</v>
      </c>
      <c r="F11" s="75"/>
      <c r="G11" s="3" t="s">
        <v>123</v>
      </c>
      <c r="H11" s="1" t="s">
        <v>118</v>
      </c>
      <c r="I11" s="1" t="s">
        <v>118</v>
      </c>
      <c r="J11" s="1" t="s">
        <v>118</v>
      </c>
      <c r="K11" s="1" t="s">
        <v>118</v>
      </c>
      <c r="L11" s="1" t="s">
        <v>118</v>
      </c>
    </row>
    <row r="12">
      <c r="D12" s="33">
        <f>SUM(D2:D11)</f>
        <v>982900</v>
      </c>
      <c r="E12" s="75">
        <f t="shared" si="2"/>
        <v>100</v>
      </c>
      <c r="F12" s="75"/>
      <c r="G12" s="70"/>
    </row>
    <row r="13">
      <c r="A13" s="1" t="s">
        <v>1675</v>
      </c>
      <c r="B13" s="1" t="s">
        <v>1676</v>
      </c>
      <c r="G13" s="70"/>
    </row>
    <row r="14">
      <c r="A14" s="1" t="s">
        <v>1677</v>
      </c>
      <c r="B14" s="1" t="s">
        <v>1677</v>
      </c>
      <c r="G14" s="70"/>
    </row>
    <row r="15">
      <c r="G15" s="70"/>
    </row>
    <row r="16">
      <c r="G16" s="70"/>
    </row>
    <row r="17">
      <c r="G17" s="70"/>
    </row>
    <row r="18">
      <c r="A18" s="1" t="s">
        <v>1679</v>
      </c>
      <c r="G18" s="70"/>
    </row>
    <row r="19">
      <c r="G19" s="70"/>
    </row>
    <row r="20">
      <c r="G20" s="70"/>
    </row>
    <row r="21">
      <c r="G21" s="70"/>
    </row>
    <row r="22">
      <c r="G22" s="70"/>
    </row>
    <row r="23">
      <c r="B23" s="1" t="s">
        <v>1681</v>
      </c>
      <c r="C23" s="1" t="s">
        <v>1682</v>
      </c>
      <c r="D23" s="1" t="s">
        <v>1683</v>
      </c>
      <c r="E23" s="1"/>
      <c r="F23" s="1"/>
      <c r="G23" s="70"/>
    </row>
    <row r="24">
      <c r="G24" s="70"/>
    </row>
    <row r="25">
      <c r="G25" s="70"/>
    </row>
    <row r="26">
      <c r="G26" s="70"/>
    </row>
    <row r="27">
      <c r="G27" s="70"/>
    </row>
    <row r="28">
      <c r="G28" s="70"/>
    </row>
    <row r="29">
      <c r="G29" s="70"/>
    </row>
    <row r="30">
      <c r="G30" s="70"/>
    </row>
    <row r="31">
      <c r="G31" s="70"/>
    </row>
    <row r="32">
      <c r="G32" s="70"/>
    </row>
    <row r="33">
      <c r="G33" s="70"/>
    </row>
    <row r="34">
      <c r="G34" s="70"/>
    </row>
    <row r="35">
      <c r="G35" s="70"/>
    </row>
    <row r="36">
      <c r="D36" s="1" t="s">
        <v>1687</v>
      </c>
      <c r="G36" s="70"/>
    </row>
    <row r="37">
      <c r="D37" s="1" t="s">
        <v>1690</v>
      </c>
      <c r="G37" s="70"/>
    </row>
    <row r="38">
      <c r="D38" s="1" t="s">
        <v>1691</v>
      </c>
      <c r="G38" s="70"/>
    </row>
    <row r="39">
      <c r="D39" s="1" t="s">
        <v>1692</v>
      </c>
      <c r="G39" s="70"/>
    </row>
    <row r="40">
      <c r="D40" s="1" t="s">
        <v>1693</v>
      </c>
      <c r="G40" s="70"/>
    </row>
    <row r="41">
      <c r="D41" s="1" t="s">
        <v>1694</v>
      </c>
      <c r="G41" s="70"/>
    </row>
    <row r="42">
      <c r="D42" s="1" t="s">
        <v>1695</v>
      </c>
      <c r="G42" s="70"/>
    </row>
    <row r="43">
      <c r="D43" s="1" t="s">
        <v>1696</v>
      </c>
      <c r="G43" s="70"/>
    </row>
    <row r="44">
      <c r="D44" s="1" t="s">
        <v>1698</v>
      </c>
      <c r="G44" s="70"/>
    </row>
    <row r="45">
      <c r="G45" s="70"/>
    </row>
    <row r="46">
      <c r="G46" s="70"/>
    </row>
    <row r="47">
      <c r="G47" s="70"/>
    </row>
    <row r="48">
      <c r="G48" s="70"/>
    </row>
    <row r="49">
      <c r="G49" s="70"/>
    </row>
    <row r="50">
      <c r="G50" s="70"/>
    </row>
    <row r="51">
      <c r="G51" s="70"/>
    </row>
    <row r="52">
      <c r="G52" s="70"/>
    </row>
    <row r="53">
      <c r="G53" s="70"/>
    </row>
    <row r="54">
      <c r="G54" s="70"/>
    </row>
    <row r="55">
      <c r="G55" s="70"/>
    </row>
    <row r="56">
      <c r="G56" s="70"/>
    </row>
    <row r="57">
      <c r="G57" s="70"/>
    </row>
    <row r="58">
      <c r="G58" s="70"/>
    </row>
    <row r="59">
      <c r="G59" s="70"/>
    </row>
    <row r="60">
      <c r="G60" s="70"/>
    </row>
    <row r="61">
      <c r="G61" s="70"/>
    </row>
    <row r="62">
      <c r="G62" s="70"/>
    </row>
    <row r="63">
      <c r="G63" s="70"/>
    </row>
    <row r="64">
      <c r="G64" s="70"/>
    </row>
    <row r="65">
      <c r="G65" s="70"/>
    </row>
    <row r="66">
      <c r="G66" s="70"/>
    </row>
    <row r="67">
      <c r="G67" s="70"/>
    </row>
    <row r="68">
      <c r="G68" s="70"/>
    </row>
    <row r="69">
      <c r="G69" s="70"/>
    </row>
    <row r="70">
      <c r="G70" s="70"/>
    </row>
    <row r="71">
      <c r="G71" s="70"/>
    </row>
    <row r="72">
      <c r="G72" s="70"/>
    </row>
    <row r="73">
      <c r="G73" s="70"/>
    </row>
    <row r="74">
      <c r="G74" s="70"/>
    </row>
    <row r="75">
      <c r="G75" s="70"/>
    </row>
    <row r="76">
      <c r="G76" s="70"/>
    </row>
    <row r="77">
      <c r="G77" s="70"/>
    </row>
    <row r="78">
      <c r="G78" s="70"/>
    </row>
    <row r="79">
      <c r="G79" s="70"/>
    </row>
    <row r="80">
      <c r="G80" s="70"/>
    </row>
    <row r="81">
      <c r="G81" s="70"/>
    </row>
    <row r="82">
      <c r="G82" s="70"/>
    </row>
    <row r="83">
      <c r="G83" s="70"/>
    </row>
    <row r="84">
      <c r="G84" s="70"/>
    </row>
    <row r="85">
      <c r="G85" s="70"/>
    </row>
    <row r="86">
      <c r="G86" s="70"/>
    </row>
    <row r="87">
      <c r="G87" s="70"/>
    </row>
    <row r="88">
      <c r="G88" s="70"/>
    </row>
    <row r="89">
      <c r="G89" s="70"/>
    </row>
    <row r="90">
      <c r="G90" s="70"/>
    </row>
    <row r="91">
      <c r="G91" s="70"/>
    </row>
    <row r="92">
      <c r="G92" s="70"/>
    </row>
    <row r="93">
      <c r="G93" s="70"/>
    </row>
    <row r="94">
      <c r="G94" s="70"/>
    </row>
    <row r="95">
      <c r="G95" s="70"/>
    </row>
    <row r="96">
      <c r="G96" s="70"/>
    </row>
    <row r="97">
      <c r="G97" s="70"/>
    </row>
    <row r="98">
      <c r="G98" s="70"/>
    </row>
    <row r="99">
      <c r="G99" s="70"/>
    </row>
    <row r="100">
      <c r="G100" s="70"/>
    </row>
    <row r="101">
      <c r="G101" s="70"/>
    </row>
    <row r="102">
      <c r="G102" s="70"/>
    </row>
    <row r="103">
      <c r="G103" s="70"/>
    </row>
    <row r="104">
      <c r="G104" s="70"/>
    </row>
    <row r="105">
      <c r="G105" s="70"/>
    </row>
    <row r="106">
      <c r="G106" s="70"/>
    </row>
    <row r="107">
      <c r="G107" s="70"/>
    </row>
    <row r="108">
      <c r="G108" s="70"/>
    </row>
    <row r="109">
      <c r="G109" s="70"/>
    </row>
    <row r="110">
      <c r="G110" s="70"/>
    </row>
    <row r="111">
      <c r="G111" s="70"/>
    </row>
    <row r="112">
      <c r="G112" s="70"/>
    </row>
    <row r="113">
      <c r="G113" s="70"/>
    </row>
    <row r="114">
      <c r="G114" s="70"/>
    </row>
    <row r="115">
      <c r="G115" s="70"/>
    </row>
    <row r="116">
      <c r="G116" s="70"/>
    </row>
    <row r="117">
      <c r="G117" s="70"/>
    </row>
    <row r="118">
      <c r="G118" s="70"/>
    </row>
    <row r="119">
      <c r="G119" s="70"/>
    </row>
    <row r="120">
      <c r="G120" s="70"/>
    </row>
    <row r="121">
      <c r="G121" s="70"/>
    </row>
    <row r="122">
      <c r="G122" s="70"/>
    </row>
    <row r="123">
      <c r="G123" s="70"/>
    </row>
    <row r="124">
      <c r="G124" s="70"/>
    </row>
    <row r="125">
      <c r="G125" s="70"/>
    </row>
    <row r="126">
      <c r="G126" s="70"/>
    </row>
    <row r="127">
      <c r="G127" s="70"/>
    </row>
    <row r="128">
      <c r="G128" s="70"/>
    </row>
    <row r="129">
      <c r="G129" s="70"/>
    </row>
    <row r="130">
      <c r="G130" s="70"/>
    </row>
    <row r="131">
      <c r="G131" s="70"/>
    </row>
    <row r="132">
      <c r="G132" s="70"/>
    </row>
    <row r="133">
      <c r="G133" s="70"/>
    </row>
    <row r="134">
      <c r="G134" s="70"/>
    </row>
    <row r="135">
      <c r="G135" s="70"/>
    </row>
    <row r="136">
      <c r="G136" s="70"/>
    </row>
    <row r="137">
      <c r="G137" s="70"/>
    </row>
    <row r="138">
      <c r="G138" s="70"/>
    </row>
    <row r="139">
      <c r="G139" s="70"/>
    </row>
    <row r="140">
      <c r="G140" s="70"/>
    </row>
    <row r="141">
      <c r="G141" s="70"/>
    </row>
    <row r="142">
      <c r="G142" s="70"/>
    </row>
    <row r="143">
      <c r="G143" s="70"/>
    </row>
    <row r="144">
      <c r="G144" s="70"/>
    </row>
    <row r="145">
      <c r="G145" s="70"/>
    </row>
    <row r="146">
      <c r="G146" s="70"/>
    </row>
    <row r="147">
      <c r="G147" s="70"/>
    </row>
    <row r="148">
      <c r="G148" s="70"/>
    </row>
    <row r="149">
      <c r="G149" s="70"/>
    </row>
    <row r="150">
      <c r="G150" s="70"/>
    </row>
    <row r="151">
      <c r="G151" s="70"/>
    </row>
    <row r="152">
      <c r="G152" s="70"/>
    </row>
    <row r="153">
      <c r="G153" s="70"/>
    </row>
    <row r="154">
      <c r="G154" s="70"/>
    </row>
    <row r="155">
      <c r="G155" s="70"/>
    </row>
    <row r="156">
      <c r="G156" s="70"/>
    </row>
    <row r="157">
      <c r="G157" s="70"/>
    </row>
    <row r="158">
      <c r="G158" s="70"/>
    </row>
    <row r="159">
      <c r="G159" s="70"/>
    </row>
    <row r="160">
      <c r="G160" s="70"/>
    </row>
    <row r="161">
      <c r="G161" s="70"/>
    </row>
    <row r="162">
      <c r="G162" s="70"/>
    </row>
    <row r="163">
      <c r="G163" s="70"/>
    </row>
    <row r="164">
      <c r="G164" s="70"/>
    </row>
    <row r="165">
      <c r="G165" s="70"/>
    </row>
    <row r="166">
      <c r="G166" s="70"/>
    </row>
    <row r="167">
      <c r="G167" s="70"/>
    </row>
    <row r="168">
      <c r="G168" s="70"/>
    </row>
    <row r="169">
      <c r="G169" s="70"/>
    </row>
    <row r="170">
      <c r="G170" s="70"/>
    </row>
    <row r="171">
      <c r="G171" s="70"/>
    </row>
    <row r="172">
      <c r="G172" s="70"/>
    </row>
    <row r="173">
      <c r="G173" s="70"/>
    </row>
    <row r="174">
      <c r="G174" s="70"/>
    </row>
    <row r="175">
      <c r="G175" s="70"/>
    </row>
    <row r="176">
      <c r="G176" s="70"/>
    </row>
    <row r="177">
      <c r="G177" s="70"/>
    </row>
    <row r="178">
      <c r="G178" s="70"/>
    </row>
    <row r="179">
      <c r="G179" s="70"/>
    </row>
    <row r="180">
      <c r="G180" s="70"/>
    </row>
    <row r="181">
      <c r="G181" s="70"/>
    </row>
    <row r="182">
      <c r="G182" s="70"/>
    </row>
    <row r="183">
      <c r="G183" s="70"/>
    </row>
    <row r="184">
      <c r="G184" s="70"/>
    </row>
    <row r="185">
      <c r="G185" s="70"/>
    </row>
    <row r="186">
      <c r="G186" s="70"/>
    </row>
    <row r="187">
      <c r="G187" s="70"/>
    </row>
    <row r="188">
      <c r="G188" s="70"/>
    </row>
    <row r="189">
      <c r="G189" s="70"/>
    </row>
    <row r="190">
      <c r="G190" s="70"/>
    </row>
    <row r="191">
      <c r="G191" s="70"/>
    </row>
    <row r="192">
      <c r="G192" s="70"/>
    </row>
    <row r="193">
      <c r="G193" s="70"/>
    </row>
    <row r="194">
      <c r="G194" s="70"/>
    </row>
    <row r="195">
      <c r="G195" s="70"/>
    </row>
    <row r="196">
      <c r="G196" s="70"/>
    </row>
    <row r="197">
      <c r="G197" s="70"/>
    </row>
    <row r="198">
      <c r="G198" s="70"/>
    </row>
    <row r="199">
      <c r="G199" s="70"/>
    </row>
    <row r="200">
      <c r="G200" s="70"/>
    </row>
    <row r="201">
      <c r="G201" s="70"/>
    </row>
    <row r="202">
      <c r="G202" s="70"/>
    </row>
    <row r="203">
      <c r="G203" s="70"/>
    </row>
    <row r="204">
      <c r="G204" s="70"/>
    </row>
    <row r="205">
      <c r="G205" s="70"/>
    </row>
    <row r="206">
      <c r="G206" s="70"/>
    </row>
    <row r="207">
      <c r="G207" s="70"/>
    </row>
    <row r="208">
      <c r="G208" s="70"/>
    </row>
    <row r="209">
      <c r="G209" s="70"/>
    </row>
    <row r="210">
      <c r="G210" s="70"/>
    </row>
    <row r="211">
      <c r="G211" s="70"/>
    </row>
    <row r="212">
      <c r="G212" s="70"/>
    </row>
    <row r="213">
      <c r="G213" s="70"/>
    </row>
    <row r="214">
      <c r="G214" s="70"/>
    </row>
    <row r="215">
      <c r="G215" s="70"/>
    </row>
    <row r="216">
      <c r="G216" s="70"/>
    </row>
    <row r="217">
      <c r="G217" s="70"/>
    </row>
    <row r="218">
      <c r="G218" s="70"/>
    </row>
    <row r="219">
      <c r="G219" s="70"/>
    </row>
    <row r="220">
      <c r="G220" s="70"/>
    </row>
    <row r="221">
      <c r="G221" s="70"/>
    </row>
    <row r="222">
      <c r="G222" s="70"/>
    </row>
    <row r="223">
      <c r="G223" s="70"/>
    </row>
    <row r="224">
      <c r="G224" s="70"/>
    </row>
    <row r="225">
      <c r="G225" s="70"/>
    </row>
    <row r="226">
      <c r="G226" s="70"/>
    </row>
    <row r="227">
      <c r="G227" s="70"/>
    </row>
    <row r="228">
      <c r="G228" s="70"/>
    </row>
    <row r="229">
      <c r="G229" s="70"/>
    </row>
    <row r="230">
      <c r="G230" s="70"/>
    </row>
    <row r="231">
      <c r="G231" s="70"/>
    </row>
    <row r="232">
      <c r="G232" s="70"/>
    </row>
    <row r="233">
      <c r="G233" s="70"/>
    </row>
    <row r="234">
      <c r="G234" s="70"/>
    </row>
    <row r="235">
      <c r="G235" s="70"/>
    </row>
    <row r="236">
      <c r="G236" s="70"/>
    </row>
    <row r="237">
      <c r="G237" s="70"/>
    </row>
    <row r="238">
      <c r="G238" s="70"/>
    </row>
    <row r="239">
      <c r="G239" s="70"/>
    </row>
    <row r="240">
      <c r="G240" s="70"/>
    </row>
    <row r="241">
      <c r="G241" s="70"/>
    </row>
    <row r="242">
      <c r="G242" s="70"/>
    </row>
    <row r="243">
      <c r="G243" s="70"/>
    </row>
    <row r="244">
      <c r="G244" s="70"/>
    </row>
    <row r="245">
      <c r="G245" s="70"/>
    </row>
    <row r="246">
      <c r="G246" s="70"/>
    </row>
    <row r="247">
      <c r="G247" s="70"/>
    </row>
    <row r="248">
      <c r="G248" s="70"/>
    </row>
    <row r="249">
      <c r="G249" s="70"/>
    </row>
    <row r="250">
      <c r="G250" s="70"/>
    </row>
    <row r="251">
      <c r="G251" s="70"/>
    </row>
    <row r="252">
      <c r="G252" s="70"/>
    </row>
    <row r="253">
      <c r="G253" s="70"/>
    </row>
    <row r="254">
      <c r="G254" s="70"/>
    </row>
    <row r="255">
      <c r="G255" s="70"/>
    </row>
    <row r="256">
      <c r="G256" s="70"/>
    </row>
    <row r="257">
      <c r="G257" s="70"/>
    </row>
    <row r="258">
      <c r="G258" s="70"/>
    </row>
    <row r="259">
      <c r="G259" s="70"/>
    </row>
    <row r="260">
      <c r="G260" s="70"/>
    </row>
    <row r="261">
      <c r="G261" s="70"/>
    </row>
    <row r="262">
      <c r="G262" s="70"/>
    </row>
    <row r="263">
      <c r="G263" s="70"/>
    </row>
    <row r="264">
      <c r="G264" s="70"/>
    </row>
    <row r="265">
      <c r="G265" s="70"/>
    </row>
    <row r="266">
      <c r="G266" s="70"/>
    </row>
    <row r="267">
      <c r="G267" s="70"/>
    </row>
    <row r="268">
      <c r="G268" s="70"/>
    </row>
    <row r="269">
      <c r="G269" s="70"/>
    </row>
    <row r="270">
      <c r="G270" s="70"/>
    </row>
    <row r="271">
      <c r="G271" s="70"/>
    </row>
    <row r="272">
      <c r="G272" s="70"/>
    </row>
    <row r="273">
      <c r="G273" s="70"/>
    </row>
    <row r="274">
      <c r="G274" s="70"/>
    </row>
    <row r="275">
      <c r="G275" s="70"/>
    </row>
    <row r="276">
      <c r="G276" s="70"/>
    </row>
    <row r="277">
      <c r="G277" s="70"/>
    </row>
    <row r="278">
      <c r="G278" s="70"/>
    </row>
    <row r="279">
      <c r="G279" s="70"/>
    </row>
    <row r="280">
      <c r="G280" s="70"/>
    </row>
    <row r="281">
      <c r="G281" s="70"/>
    </row>
    <row r="282">
      <c r="G282" s="70"/>
    </row>
    <row r="283">
      <c r="G283" s="70"/>
    </row>
    <row r="284">
      <c r="G284" s="70"/>
    </row>
    <row r="285">
      <c r="G285" s="70"/>
    </row>
    <row r="286">
      <c r="G286" s="70"/>
    </row>
    <row r="287">
      <c r="G287" s="70"/>
    </row>
    <row r="288">
      <c r="G288" s="70"/>
    </row>
    <row r="289">
      <c r="G289" s="70"/>
    </row>
    <row r="290">
      <c r="G290" s="70"/>
    </row>
    <row r="291">
      <c r="G291" s="70"/>
    </row>
    <row r="292">
      <c r="G292" s="70"/>
    </row>
    <row r="293">
      <c r="G293" s="70"/>
    </row>
    <row r="294">
      <c r="G294" s="70"/>
    </row>
    <row r="295">
      <c r="G295" s="70"/>
    </row>
    <row r="296">
      <c r="G296" s="70"/>
    </row>
    <row r="297">
      <c r="G297" s="70"/>
    </row>
    <row r="298">
      <c r="G298" s="70"/>
    </row>
    <row r="299">
      <c r="G299" s="70"/>
    </row>
    <row r="300">
      <c r="G300" s="70"/>
    </row>
    <row r="301">
      <c r="G301" s="70"/>
    </row>
    <row r="302">
      <c r="G302" s="70"/>
    </row>
    <row r="303">
      <c r="G303" s="70"/>
    </row>
    <row r="304">
      <c r="G304" s="70"/>
    </row>
    <row r="305">
      <c r="G305" s="70"/>
    </row>
    <row r="306">
      <c r="G306" s="70"/>
    </row>
    <row r="307">
      <c r="G307" s="70"/>
    </row>
    <row r="308">
      <c r="G308" s="70"/>
    </row>
    <row r="309">
      <c r="G309" s="70"/>
    </row>
    <row r="310">
      <c r="G310" s="70"/>
    </row>
    <row r="311">
      <c r="G311" s="70"/>
    </row>
    <row r="312">
      <c r="G312" s="70"/>
    </row>
    <row r="313">
      <c r="G313" s="70"/>
    </row>
    <row r="314">
      <c r="G314" s="70"/>
    </row>
    <row r="315">
      <c r="G315" s="70"/>
    </row>
    <row r="316">
      <c r="G316" s="70"/>
    </row>
    <row r="317">
      <c r="G317" s="70"/>
    </row>
    <row r="318">
      <c r="G318" s="70"/>
    </row>
    <row r="319">
      <c r="G319" s="70"/>
    </row>
    <row r="320">
      <c r="G320" s="70"/>
    </row>
    <row r="321">
      <c r="G321" s="70"/>
    </row>
    <row r="322">
      <c r="G322" s="70"/>
    </row>
    <row r="323">
      <c r="G323" s="70"/>
    </row>
    <row r="324">
      <c r="G324" s="70"/>
    </row>
    <row r="325">
      <c r="G325" s="70"/>
    </row>
    <row r="326">
      <c r="G326" s="70"/>
    </row>
    <row r="327">
      <c r="G327" s="70"/>
    </row>
    <row r="328">
      <c r="G328" s="70"/>
    </row>
    <row r="329">
      <c r="G329" s="70"/>
    </row>
    <row r="330">
      <c r="G330" s="70"/>
    </row>
    <row r="331">
      <c r="G331" s="70"/>
    </row>
    <row r="332">
      <c r="G332" s="70"/>
    </row>
    <row r="333">
      <c r="G333" s="70"/>
    </row>
    <row r="334">
      <c r="G334" s="70"/>
    </row>
    <row r="335">
      <c r="G335" s="70"/>
    </row>
    <row r="336">
      <c r="G336" s="70"/>
    </row>
    <row r="337">
      <c r="G337" s="70"/>
    </row>
    <row r="338">
      <c r="G338" s="70"/>
    </row>
    <row r="339">
      <c r="G339" s="70"/>
    </row>
    <row r="340">
      <c r="G340" s="70"/>
    </row>
    <row r="341">
      <c r="G341" s="70"/>
    </row>
    <row r="342">
      <c r="G342" s="70"/>
    </row>
    <row r="343">
      <c r="G343" s="70"/>
    </row>
    <row r="344">
      <c r="G344" s="70"/>
    </row>
    <row r="345">
      <c r="G345" s="70"/>
    </row>
    <row r="346">
      <c r="G346" s="70"/>
    </row>
    <row r="347">
      <c r="G347" s="70"/>
    </row>
    <row r="348">
      <c r="G348" s="70"/>
    </row>
    <row r="349">
      <c r="G349" s="70"/>
    </row>
    <row r="350">
      <c r="G350" s="70"/>
    </row>
    <row r="351">
      <c r="G351" s="70"/>
    </row>
    <row r="352">
      <c r="G352" s="70"/>
    </row>
    <row r="353">
      <c r="G353" s="70"/>
    </row>
    <row r="354">
      <c r="G354" s="70"/>
    </row>
    <row r="355">
      <c r="G355" s="70"/>
    </row>
    <row r="356">
      <c r="G356" s="70"/>
    </row>
    <row r="357">
      <c r="G357" s="70"/>
    </row>
    <row r="358">
      <c r="G358" s="70"/>
    </row>
    <row r="359">
      <c r="G359" s="70"/>
    </row>
    <row r="360">
      <c r="G360" s="70"/>
    </row>
    <row r="361">
      <c r="G361" s="70"/>
    </row>
    <row r="362">
      <c r="G362" s="70"/>
    </row>
    <row r="363">
      <c r="G363" s="70"/>
    </row>
    <row r="364">
      <c r="G364" s="70"/>
    </row>
    <row r="365">
      <c r="G365" s="70"/>
    </row>
    <row r="366">
      <c r="G366" s="70"/>
    </row>
    <row r="367">
      <c r="G367" s="70"/>
    </row>
    <row r="368">
      <c r="G368" s="70"/>
    </row>
    <row r="369">
      <c r="G369" s="70"/>
    </row>
    <row r="370">
      <c r="G370" s="70"/>
    </row>
    <row r="371">
      <c r="G371" s="70"/>
    </row>
    <row r="372">
      <c r="G372" s="70"/>
    </row>
    <row r="373">
      <c r="G373" s="70"/>
    </row>
    <row r="374">
      <c r="G374" s="70"/>
    </row>
    <row r="375">
      <c r="G375" s="70"/>
    </row>
    <row r="376">
      <c r="G376" s="70"/>
    </row>
    <row r="377">
      <c r="G377" s="70"/>
    </row>
    <row r="378">
      <c r="G378" s="70"/>
    </row>
    <row r="379">
      <c r="G379" s="70"/>
    </row>
    <row r="380">
      <c r="G380" s="70"/>
    </row>
    <row r="381">
      <c r="G381" s="70"/>
    </row>
    <row r="382">
      <c r="G382" s="70"/>
    </row>
    <row r="383">
      <c r="G383" s="70"/>
    </row>
    <row r="384">
      <c r="G384" s="70"/>
    </row>
    <row r="385">
      <c r="G385" s="70"/>
    </row>
    <row r="386">
      <c r="G386" s="70"/>
    </row>
    <row r="387">
      <c r="G387" s="70"/>
    </row>
    <row r="388">
      <c r="G388" s="70"/>
    </row>
    <row r="389">
      <c r="G389" s="70"/>
    </row>
    <row r="390">
      <c r="G390" s="70"/>
    </row>
    <row r="391">
      <c r="G391" s="70"/>
    </row>
    <row r="392">
      <c r="G392" s="70"/>
    </row>
    <row r="393">
      <c r="G393" s="70"/>
    </row>
    <row r="394">
      <c r="G394" s="70"/>
    </row>
    <row r="395">
      <c r="G395" s="70"/>
    </row>
    <row r="396">
      <c r="G396" s="70"/>
    </row>
    <row r="397">
      <c r="G397" s="70"/>
    </row>
    <row r="398">
      <c r="G398" s="70"/>
    </row>
    <row r="399">
      <c r="G399" s="70"/>
    </row>
    <row r="400">
      <c r="G400" s="70"/>
    </row>
    <row r="401">
      <c r="G401" s="70"/>
    </row>
    <row r="402">
      <c r="G402" s="70"/>
    </row>
    <row r="403">
      <c r="G403" s="70"/>
    </row>
    <row r="404">
      <c r="G404" s="70"/>
    </row>
    <row r="405">
      <c r="G405" s="70"/>
    </row>
    <row r="406">
      <c r="G406" s="70"/>
    </row>
    <row r="407">
      <c r="G407" s="70"/>
    </row>
    <row r="408">
      <c r="G408" s="70"/>
    </row>
    <row r="409">
      <c r="G409" s="70"/>
    </row>
    <row r="410">
      <c r="G410" s="70"/>
    </row>
    <row r="411">
      <c r="G411" s="70"/>
    </row>
    <row r="412">
      <c r="G412" s="70"/>
    </row>
    <row r="413">
      <c r="G413" s="70"/>
    </row>
    <row r="414">
      <c r="G414" s="70"/>
    </row>
    <row r="415">
      <c r="G415" s="70"/>
    </row>
    <row r="416">
      <c r="G416" s="70"/>
    </row>
    <row r="417">
      <c r="G417" s="70"/>
    </row>
    <row r="418">
      <c r="G418" s="70"/>
    </row>
    <row r="419">
      <c r="G419" s="70"/>
    </row>
    <row r="420">
      <c r="G420" s="70"/>
    </row>
    <row r="421">
      <c r="G421" s="70"/>
    </row>
    <row r="422">
      <c r="G422" s="70"/>
    </row>
    <row r="423">
      <c r="G423" s="70"/>
    </row>
    <row r="424">
      <c r="G424" s="70"/>
    </row>
    <row r="425">
      <c r="G425" s="70"/>
    </row>
    <row r="426">
      <c r="G426" s="70"/>
    </row>
    <row r="427">
      <c r="G427" s="70"/>
    </row>
    <row r="428">
      <c r="G428" s="70"/>
    </row>
    <row r="429">
      <c r="G429" s="70"/>
    </row>
    <row r="430">
      <c r="G430" s="70"/>
    </row>
    <row r="431">
      <c r="G431" s="70"/>
    </row>
    <row r="432">
      <c r="G432" s="70"/>
    </row>
    <row r="433">
      <c r="G433" s="70"/>
    </row>
    <row r="434">
      <c r="G434" s="70"/>
    </row>
    <row r="435">
      <c r="G435" s="70"/>
    </row>
    <row r="436">
      <c r="G436" s="70"/>
    </row>
    <row r="437">
      <c r="G437" s="70"/>
    </row>
    <row r="438">
      <c r="G438" s="70"/>
    </row>
    <row r="439">
      <c r="G439" s="70"/>
    </row>
    <row r="440">
      <c r="G440" s="70"/>
    </row>
    <row r="441">
      <c r="G441" s="70"/>
    </row>
    <row r="442">
      <c r="G442" s="70"/>
    </row>
    <row r="443">
      <c r="G443" s="70"/>
    </row>
    <row r="444">
      <c r="G444" s="70"/>
    </row>
    <row r="445">
      <c r="G445" s="70"/>
    </row>
    <row r="446">
      <c r="G446" s="70"/>
    </row>
    <row r="447">
      <c r="G447" s="70"/>
    </row>
    <row r="448">
      <c r="G448" s="70"/>
    </row>
    <row r="449">
      <c r="G449" s="70"/>
    </row>
    <row r="450">
      <c r="G450" s="70"/>
    </row>
    <row r="451">
      <c r="G451" s="70"/>
    </row>
    <row r="452">
      <c r="G452" s="70"/>
    </row>
    <row r="453">
      <c r="G453" s="70"/>
    </row>
    <row r="454">
      <c r="G454" s="70"/>
    </row>
    <row r="455">
      <c r="G455" s="70"/>
    </row>
    <row r="456">
      <c r="G456" s="70"/>
    </row>
    <row r="457">
      <c r="G457" s="70"/>
    </row>
    <row r="458">
      <c r="G458" s="70"/>
    </row>
    <row r="459">
      <c r="G459" s="70"/>
    </row>
    <row r="460">
      <c r="G460" s="70"/>
    </row>
    <row r="461">
      <c r="G461" s="70"/>
    </row>
    <row r="462">
      <c r="G462" s="70"/>
    </row>
    <row r="463">
      <c r="G463" s="70"/>
    </row>
    <row r="464">
      <c r="G464" s="70"/>
    </row>
    <row r="465">
      <c r="G465" s="70"/>
    </row>
    <row r="466">
      <c r="G466" s="70"/>
    </row>
    <row r="467">
      <c r="G467" s="70"/>
    </row>
    <row r="468">
      <c r="G468" s="70"/>
    </row>
    <row r="469">
      <c r="G469" s="70"/>
    </row>
    <row r="470">
      <c r="G470" s="70"/>
    </row>
    <row r="471">
      <c r="G471" s="70"/>
    </row>
    <row r="472">
      <c r="G472" s="70"/>
    </row>
    <row r="473">
      <c r="G473" s="70"/>
    </row>
    <row r="474">
      <c r="G474" s="70"/>
    </row>
    <row r="475">
      <c r="G475" s="70"/>
    </row>
    <row r="476">
      <c r="G476" s="70"/>
    </row>
    <row r="477">
      <c r="G477" s="70"/>
    </row>
    <row r="478">
      <c r="G478" s="70"/>
    </row>
    <row r="479">
      <c r="G479" s="70"/>
    </row>
    <row r="480">
      <c r="G480" s="70"/>
    </row>
    <row r="481">
      <c r="G481" s="70"/>
    </row>
    <row r="482">
      <c r="G482" s="70"/>
    </row>
    <row r="483">
      <c r="G483" s="70"/>
    </row>
    <row r="484">
      <c r="G484" s="70"/>
    </row>
    <row r="485">
      <c r="G485" s="70"/>
    </row>
    <row r="486">
      <c r="G486" s="70"/>
    </row>
    <row r="487">
      <c r="G487" s="70"/>
    </row>
    <row r="488">
      <c r="G488" s="70"/>
    </row>
    <row r="489">
      <c r="G489" s="70"/>
    </row>
    <row r="490">
      <c r="G490" s="70"/>
    </row>
    <row r="491">
      <c r="G491" s="70"/>
    </row>
    <row r="492">
      <c r="G492" s="70"/>
    </row>
    <row r="493">
      <c r="G493" s="70"/>
    </row>
    <row r="494">
      <c r="G494" s="70"/>
    </row>
    <row r="495">
      <c r="G495" s="70"/>
    </row>
    <row r="496">
      <c r="G496" s="70"/>
    </row>
    <row r="497">
      <c r="G497" s="70"/>
    </row>
    <row r="498">
      <c r="G498" s="70"/>
    </row>
    <row r="499">
      <c r="G499" s="70"/>
    </row>
    <row r="500">
      <c r="G500" s="70"/>
    </row>
    <row r="501">
      <c r="G501" s="70"/>
    </row>
    <row r="502">
      <c r="G502" s="70"/>
    </row>
    <row r="503">
      <c r="G503" s="70"/>
    </row>
    <row r="504">
      <c r="G504" s="70"/>
    </row>
    <row r="505">
      <c r="G505" s="70"/>
    </row>
    <row r="506">
      <c r="G506" s="70"/>
    </row>
    <row r="507">
      <c r="G507" s="70"/>
    </row>
    <row r="508">
      <c r="G508" s="70"/>
    </row>
    <row r="509">
      <c r="G509" s="70"/>
    </row>
    <row r="510">
      <c r="G510" s="70"/>
    </row>
    <row r="511">
      <c r="G511" s="70"/>
    </row>
    <row r="512">
      <c r="G512" s="70"/>
    </row>
    <row r="513">
      <c r="G513" s="70"/>
    </row>
    <row r="514">
      <c r="G514" s="70"/>
    </row>
    <row r="515">
      <c r="G515" s="70"/>
    </row>
    <row r="516">
      <c r="G516" s="70"/>
    </row>
    <row r="517">
      <c r="G517" s="70"/>
    </row>
    <row r="518">
      <c r="G518" s="70"/>
    </row>
    <row r="519">
      <c r="G519" s="70"/>
    </row>
    <row r="520">
      <c r="G520" s="70"/>
    </row>
    <row r="521">
      <c r="G521" s="70"/>
    </row>
    <row r="522">
      <c r="G522" s="70"/>
    </row>
    <row r="523">
      <c r="G523" s="70"/>
    </row>
    <row r="524">
      <c r="G524" s="70"/>
    </row>
    <row r="525">
      <c r="G525" s="70"/>
    </row>
    <row r="526">
      <c r="G526" s="70"/>
    </row>
    <row r="527">
      <c r="G527" s="70"/>
    </row>
    <row r="528">
      <c r="G528" s="70"/>
    </row>
    <row r="529">
      <c r="G529" s="70"/>
    </row>
    <row r="530">
      <c r="G530" s="70"/>
    </row>
    <row r="531">
      <c r="G531" s="70"/>
    </row>
    <row r="532">
      <c r="G532" s="70"/>
    </row>
    <row r="533">
      <c r="G533" s="70"/>
    </row>
    <row r="534">
      <c r="G534" s="70"/>
    </row>
    <row r="535">
      <c r="G535" s="70"/>
    </row>
    <row r="536">
      <c r="G536" s="70"/>
    </row>
    <row r="537">
      <c r="G537" s="70"/>
    </row>
    <row r="538">
      <c r="G538" s="70"/>
    </row>
    <row r="539">
      <c r="G539" s="70"/>
    </row>
    <row r="540">
      <c r="G540" s="70"/>
    </row>
    <row r="541">
      <c r="G541" s="70"/>
    </row>
    <row r="542">
      <c r="G542" s="70"/>
    </row>
    <row r="543">
      <c r="G543" s="70"/>
    </row>
    <row r="544">
      <c r="G544" s="70"/>
    </row>
    <row r="545">
      <c r="G545" s="70"/>
    </row>
    <row r="546">
      <c r="G546" s="70"/>
    </row>
    <row r="547">
      <c r="G547" s="70"/>
    </row>
    <row r="548">
      <c r="G548" s="70"/>
    </row>
    <row r="549">
      <c r="G549" s="70"/>
    </row>
    <row r="550">
      <c r="G550" s="70"/>
    </row>
    <row r="551">
      <c r="G551" s="70"/>
    </row>
    <row r="552">
      <c r="G552" s="70"/>
    </row>
    <row r="553">
      <c r="G553" s="70"/>
    </row>
    <row r="554">
      <c r="G554" s="70"/>
    </row>
    <row r="555">
      <c r="G555" s="70"/>
    </row>
    <row r="556">
      <c r="G556" s="70"/>
    </row>
    <row r="557">
      <c r="G557" s="70"/>
    </row>
    <row r="558">
      <c r="G558" s="70"/>
    </row>
    <row r="559">
      <c r="G559" s="70"/>
    </row>
    <row r="560">
      <c r="G560" s="70"/>
    </row>
    <row r="561">
      <c r="G561" s="70"/>
    </row>
    <row r="562">
      <c r="G562" s="70"/>
    </row>
    <row r="563">
      <c r="G563" s="70"/>
    </row>
    <row r="564">
      <c r="G564" s="70"/>
    </row>
    <row r="565">
      <c r="G565" s="70"/>
    </row>
    <row r="566">
      <c r="G566" s="70"/>
    </row>
    <row r="567">
      <c r="G567" s="70"/>
    </row>
    <row r="568">
      <c r="G568" s="70"/>
    </row>
    <row r="569">
      <c r="G569" s="70"/>
    </row>
    <row r="570">
      <c r="G570" s="70"/>
    </row>
    <row r="571">
      <c r="G571" s="70"/>
    </row>
    <row r="572">
      <c r="G572" s="70"/>
    </row>
    <row r="573">
      <c r="G573" s="70"/>
    </row>
    <row r="574">
      <c r="G574" s="70"/>
    </row>
    <row r="575">
      <c r="G575" s="70"/>
    </row>
    <row r="576">
      <c r="G576" s="70"/>
    </row>
    <row r="577">
      <c r="G577" s="70"/>
    </row>
    <row r="578">
      <c r="G578" s="70"/>
    </row>
    <row r="579">
      <c r="G579" s="70"/>
    </row>
    <row r="580">
      <c r="G580" s="70"/>
    </row>
    <row r="581">
      <c r="G581" s="70"/>
    </row>
    <row r="582">
      <c r="G582" s="70"/>
    </row>
    <row r="583">
      <c r="G583" s="70"/>
    </row>
    <row r="584">
      <c r="G584" s="70"/>
    </row>
    <row r="585">
      <c r="G585" s="70"/>
    </row>
    <row r="586">
      <c r="G586" s="70"/>
    </row>
    <row r="587">
      <c r="G587" s="70"/>
    </row>
    <row r="588">
      <c r="G588" s="70"/>
    </row>
    <row r="589">
      <c r="G589" s="70"/>
    </row>
    <row r="590">
      <c r="G590" s="70"/>
    </row>
    <row r="591">
      <c r="G591" s="70"/>
    </row>
    <row r="592">
      <c r="G592" s="70"/>
    </row>
    <row r="593">
      <c r="G593" s="70"/>
    </row>
    <row r="594">
      <c r="G594" s="70"/>
    </row>
    <row r="595">
      <c r="G595" s="70"/>
    </row>
    <row r="596">
      <c r="G596" s="70"/>
    </row>
    <row r="597">
      <c r="G597" s="70"/>
    </row>
    <row r="598">
      <c r="G598" s="70"/>
    </row>
    <row r="599">
      <c r="G599" s="70"/>
    </row>
    <row r="600">
      <c r="G600" s="70"/>
    </row>
    <row r="601">
      <c r="G601" s="70"/>
    </row>
    <row r="602">
      <c r="G602" s="70"/>
    </row>
    <row r="603">
      <c r="G603" s="70"/>
    </row>
    <row r="604">
      <c r="G604" s="70"/>
    </row>
    <row r="605">
      <c r="G605" s="70"/>
    </row>
    <row r="606">
      <c r="G606" s="70"/>
    </row>
    <row r="607">
      <c r="G607" s="70"/>
    </row>
    <row r="608">
      <c r="G608" s="70"/>
    </row>
    <row r="609">
      <c r="G609" s="70"/>
    </row>
    <row r="610">
      <c r="G610" s="70"/>
    </row>
    <row r="611">
      <c r="G611" s="70"/>
    </row>
    <row r="612">
      <c r="G612" s="70"/>
    </row>
    <row r="613">
      <c r="G613" s="70"/>
    </row>
    <row r="614">
      <c r="G614" s="70"/>
    </row>
    <row r="615">
      <c r="G615" s="70"/>
    </row>
    <row r="616">
      <c r="G616" s="70"/>
    </row>
    <row r="617">
      <c r="G617" s="70"/>
    </row>
    <row r="618">
      <c r="G618" s="70"/>
    </row>
    <row r="619">
      <c r="G619" s="70"/>
    </row>
    <row r="620">
      <c r="G620" s="70"/>
    </row>
    <row r="621">
      <c r="G621" s="70"/>
    </row>
    <row r="622">
      <c r="G622" s="70"/>
    </row>
    <row r="623">
      <c r="G623" s="70"/>
    </row>
    <row r="624">
      <c r="G624" s="70"/>
    </row>
    <row r="625">
      <c r="G625" s="70"/>
    </row>
    <row r="626">
      <c r="G626" s="70"/>
    </row>
    <row r="627">
      <c r="G627" s="70"/>
    </row>
    <row r="628">
      <c r="G628" s="70"/>
    </row>
    <row r="629">
      <c r="G629" s="70"/>
    </row>
    <row r="630">
      <c r="G630" s="70"/>
    </row>
    <row r="631">
      <c r="G631" s="70"/>
    </row>
    <row r="632">
      <c r="G632" s="70"/>
    </row>
    <row r="633">
      <c r="G633" s="70"/>
    </row>
    <row r="634">
      <c r="G634" s="70"/>
    </row>
    <row r="635">
      <c r="G635" s="70"/>
    </row>
    <row r="636">
      <c r="G636" s="70"/>
    </row>
    <row r="637">
      <c r="G637" s="70"/>
    </row>
    <row r="638">
      <c r="G638" s="70"/>
    </row>
    <row r="639">
      <c r="G639" s="70"/>
    </row>
    <row r="640">
      <c r="G640" s="70"/>
    </row>
    <row r="641">
      <c r="G641" s="70"/>
    </row>
    <row r="642">
      <c r="G642" s="70"/>
    </row>
    <row r="643">
      <c r="G643" s="70"/>
    </row>
    <row r="644">
      <c r="G644" s="70"/>
    </row>
    <row r="645">
      <c r="G645" s="70"/>
    </row>
    <row r="646">
      <c r="G646" s="70"/>
    </row>
    <row r="647">
      <c r="G647" s="70"/>
    </row>
    <row r="648">
      <c r="G648" s="70"/>
    </row>
    <row r="649">
      <c r="G649" s="70"/>
    </row>
    <row r="650">
      <c r="G650" s="70"/>
    </row>
    <row r="651">
      <c r="G651" s="70"/>
    </row>
    <row r="652">
      <c r="G652" s="70"/>
    </row>
    <row r="653">
      <c r="G653" s="70"/>
    </row>
    <row r="654">
      <c r="G654" s="70"/>
    </row>
    <row r="655">
      <c r="G655" s="70"/>
    </row>
    <row r="656">
      <c r="G656" s="70"/>
    </row>
    <row r="657">
      <c r="G657" s="70"/>
    </row>
    <row r="658">
      <c r="G658" s="70"/>
    </row>
    <row r="659">
      <c r="G659" s="70"/>
    </row>
    <row r="660">
      <c r="G660" s="70"/>
    </row>
    <row r="661">
      <c r="G661" s="70"/>
    </row>
    <row r="662">
      <c r="G662" s="70"/>
    </row>
    <row r="663">
      <c r="G663" s="70"/>
    </row>
    <row r="664">
      <c r="G664" s="70"/>
    </row>
    <row r="665">
      <c r="G665" s="70"/>
    </row>
    <row r="666">
      <c r="G666" s="70"/>
    </row>
    <row r="667">
      <c r="G667" s="70"/>
    </row>
    <row r="668">
      <c r="G668" s="70"/>
    </row>
    <row r="669">
      <c r="G669" s="70"/>
    </row>
    <row r="670">
      <c r="G670" s="70"/>
    </row>
    <row r="671">
      <c r="G671" s="70"/>
    </row>
    <row r="672">
      <c r="G672" s="70"/>
    </row>
    <row r="673">
      <c r="G673" s="70"/>
    </row>
    <row r="674">
      <c r="G674" s="70"/>
    </row>
    <row r="675">
      <c r="G675" s="70"/>
    </row>
    <row r="676">
      <c r="G676" s="70"/>
    </row>
    <row r="677">
      <c r="G677" s="70"/>
    </row>
    <row r="678">
      <c r="G678" s="70"/>
    </row>
    <row r="679">
      <c r="G679" s="70"/>
    </row>
    <row r="680">
      <c r="G680" s="70"/>
    </row>
    <row r="681">
      <c r="G681" s="70"/>
    </row>
    <row r="682">
      <c r="G682" s="70"/>
    </row>
    <row r="683">
      <c r="G683" s="70"/>
    </row>
    <row r="684">
      <c r="G684" s="70"/>
    </row>
    <row r="685">
      <c r="G685" s="70"/>
    </row>
    <row r="686">
      <c r="G686" s="70"/>
    </row>
    <row r="687">
      <c r="G687" s="70"/>
    </row>
    <row r="688">
      <c r="G688" s="70"/>
    </row>
    <row r="689">
      <c r="G689" s="70"/>
    </row>
    <row r="690">
      <c r="G690" s="70"/>
    </row>
    <row r="691">
      <c r="G691" s="70"/>
    </row>
    <row r="692">
      <c r="G692" s="70"/>
    </row>
    <row r="693">
      <c r="G693" s="70"/>
    </row>
    <row r="694">
      <c r="G694" s="70"/>
    </row>
    <row r="695">
      <c r="G695" s="70"/>
    </row>
    <row r="696">
      <c r="G696" s="70"/>
    </row>
    <row r="697">
      <c r="G697" s="70"/>
    </row>
    <row r="698">
      <c r="G698" s="70"/>
    </row>
    <row r="699">
      <c r="G699" s="70"/>
    </row>
    <row r="700">
      <c r="G700" s="70"/>
    </row>
    <row r="701">
      <c r="G701" s="70"/>
    </row>
    <row r="702">
      <c r="G702" s="70"/>
    </row>
    <row r="703">
      <c r="G703" s="70"/>
    </row>
    <row r="704">
      <c r="G704" s="70"/>
    </row>
    <row r="705">
      <c r="G705" s="70"/>
    </row>
    <row r="706">
      <c r="G706" s="70"/>
    </row>
    <row r="707">
      <c r="G707" s="70"/>
    </row>
    <row r="708">
      <c r="G708" s="70"/>
    </row>
    <row r="709">
      <c r="G709" s="70"/>
    </row>
    <row r="710">
      <c r="G710" s="70"/>
    </row>
    <row r="711">
      <c r="G711" s="70"/>
    </row>
    <row r="712">
      <c r="G712" s="70"/>
    </row>
    <row r="713">
      <c r="G713" s="70"/>
    </row>
    <row r="714">
      <c r="G714" s="70"/>
    </row>
    <row r="715">
      <c r="G715" s="70"/>
    </row>
    <row r="716">
      <c r="G716" s="70"/>
    </row>
    <row r="717">
      <c r="G717" s="70"/>
    </row>
    <row r="718">
      <c r="G718" s="70"/>
    </row>
    <row r="719">
      <c r="G719" s="70"/>
    </row>
    <row r="720">
      <c r="G720" s="70"/>
    </row>
    <row r="721">
      <c r="G721" s="70"/>
    </row>
    <row r="722">
      <c r="G722" s="70"/>
    </row>
    <row r="723">
      <c r="G723" s="70"/>
    </row>
    <row r="724">
      <c r="G724" s="70"/>
    </row>
    <row r="725">
      <c r="G725" s="70"/>
    </row>
    <row r="726">
      <c r="G726" s="70"/>
    </row>
    <row r="727">
      <c r="G727" s="70"/>
    </row>
    <row r="728">
      <c r="G728" s="70"/>
    </row>
    <row r="729">
      <c r="G729" s="70"/>
    </row>
    <row r="730">
      <c r="G730" s="70"/>
    </row>
    <row r="731">
      <c r="G731" s="70"/>
    </row>
    <row r="732">
      <c r="G732" s="70"/>
    </row>
    <row r="733">
      <c r="G733" s="70"/>
    </row>
    <row r="734">
      <c r="G734" s="70"/>
    </row>
    <row r="735">
      <c r="G735" s="70"/>
    </row>
    <row r="736">
      <c r="G736" s="70"/>
    </row>
    <row r="737">
      <c r="G737" s="70"/>
    </row>
    <row r="738">
      <c r="G738" s="70"/>
    </row>
    <row r="739">
      <c r="G739" s="70"/>
    </row>
    <row r="740">
      <c r="G740" s="70"/>
    </row>
    <row r="741">
      <c r="G741" s="70"/>
    </row>
    <row r="742">
      <c r="G742" s="70"/>
    </row>
    <row r="743">
      <c r="G743" s="70"/>
    </row>
    <row r="744">
      <c r="G744" s="70"/>
    </row>
    <row r="745">
      <c r="G745" s="70"/>
    </row>
    <row r="746">
      <c r="G746" s="70"/>
    </row>
    <row r="747">
      <c r="G747" s="70"/>
    </row>
    <row r="748">
      <c r="G748" s="70"/>
    </row>
    <row r="749">
      <c r="G749" s="70"/>
    </row>
    <row r="750">
      <c r="G750" s="70"/>
    </row>
    <row r="751">
      <c r="G751" s="70"/>
    </row>
    <row r="752">
      <c r="G752" s="70"/>
    </row>
    <row r="753">
      <c r="G753" s="70"/>
    </row>
    <row r="754">
      <c r="G754" s="70"/>
    </row>
    <row r="755">
      <c r="G755" s="70"/>
    </row>
    <row r="756">
      <c r="G756" s="70"/>
    </row>
    <row r="757">
      <c r="G757" s="70"/>
    </row>
    <row r="758">
      <c r="G758" s="70"/>
    </row>
    <row r="759">
      <c r="G759" s="70"/>
    </row>
    <row r="760">
      <c r="G760" s="70"/>
    </row>
    <row r="761">
      <c r="G761" s="70"/>
    </row>
    <row r="762">
      <c r="G762" s="70"/>
    </row>
    <row r="763">
      <c r="G763" s="70"/>
    </row>
    <row r="764">
      <c r="G764" s="70"/>
    </row>
    <row r="765">
      <c r="G765" s="70"/>
    </row>
    <row r="766">
      <c r="G766" s="70"/>
    </row>
    <row r="767">
      <c r="G767" s="70"/>
    </row>
    <row r="768">
      <c r="G768" s="70"/>
    </row>
    <row r="769">
      <c r="G769" s="70"/>
    </row>
    <row r="770">
      <c r="G770" s="70"/>
    </row>
    <row r="771">
      <c r="G771" s="70"/>
    </row>
    <row r="772">
      <c r="G772" s="70"/>
    </row>
    <row r="773">
      <c r="G773" s="70"/>
    </row>
    <row r="774">
      <c r="G774" s="70"/>
    </row>
    <row r="775">
      <c r="G775" s="70"/>
    </row>
    <row r="776">
      <c r="G776" s="70"/>
    </row>
    <row r="777">
      <c r="G777" s="70"/>
    </row>
    <row r="778">
      <c r="G778" s="70"/>
    </row>
    <row r="779">
      <c r="G779" s="70"/>
    </row>
    <row r="780">
      <c r="G780" s="70"/>
    </row>
    <row r="781">
      <c r="G781" s="70"/>
    </row>
    <row r="782">
      <c r="G782" s="70"/>
    </row>
    <row r="783">
      <c r="G783" s="70"/>
    </row>
    <row r="784">
      <c r="G784" s="70"/>
    </row>
    <row r="785">
      <c r="G785" s="70"/>
    </row>
    <row r="786">
      <c r="G786" s="70"/>
    </row>
    <row r="787">
      <c r="G787" s="70"/>
    </row>
    <row r="788">
      <c r="G788" s="70"/>
    </row>
    <row r="789">
      <c r="G789" s="70"/>
    </row>
    <row r="790">
      <c r="G790" s="70"/>
    </row>
    <row r="791">
      <c r="G791" s="70"/>
    </row>
    <row r="792">
      <c r="G792" s="70"/>
    </row>
    <row r="793">
      <c r="G793" s="70"/>
    </row>
    <row r="794">
      <c r="G794" s="70"/>
    </row>
    <row r="795">
      <c r="G795" s="70"/>
    </row>
    <row r="796">
      <c r="G796" s="70"/>
    </row>
    <row r="797">
      <c r="G797" s="70"/>
    </row>
    <row r="798">
      <c r="G798" s="70"/>
    </row>
    <row r="799">
      <c r="G799" s="70"/>
    </row>
    <row r="800">
      <c r="G800" s="70"/>
    </row>
    <row r="801">
      <c r="G801" s="70"/>
    </row>
    <row r="802">
      <c r="G802" s="70"/>
    </row>
    <row r="803">
      <c r="G803" s="70"/>
    </row>
    <row r="804">
      <c r="G804" s="70"/>
    </row>
    <row r="805">
      <c r="G805" s="70"/>
    </row>
    <row r="806">
      <c r="G806" s="70"/>
    </row>
    <row r="807">
      <c r="G807" s="70"/>
    </row>
    <row r="808">
      <c r="G808" s="70"/>
    </row>
    <row r="809">
      <c r="G809" s="70"/>
    </row>
    <row r="810">
      <c r="G810" s="70"/>
    </row>
    <row r="811">
      <c r="G811" s="70"/>
    </row>
    <row r="812">
      <c r="G812" s="70"/>
    </row>
    <row r="813">
      <c r="G813" s="70"/>
    </row>
    <row r="814">
      <c r="G814" s="70"/>
    </row>
    <row r="815">
      <c r="G815" s="70"/>
    </row>
    <row r="816">
      <c r="G816" s="70"/>
    </row>
    <row r="817">
      <c r="G817" s="70"/>
    </row>
    <row r="818">
      <c r="G818" s="70"/>
    </row>
    <row r="819">
      <c r="G819" s="70"/>
    </row>
    <row r="820">
      <c r="G820" s="70"/>
    </row>
    <row r="821">
      <c r="G821" s="70"/>
    </row>
    <row r="822">
      <c r="G822" s="70"/>
    </row>
    <row r="823">
      <c r="G823" s="70"/>
    </row>
    <row r="824">
      <c r="G824" s="70"/>
    </row>
    <row r="825">
      <c r="G825" s="70"/>
    </row>
    <row r="826">
      <c r="G826" s="70"/>
    </row>
    <row r="827">
      <c r="G827" s="70"/>
    </row>
    <row r="828">
      <c r="G828" s="70"/>
    </row>
    <row r="829">
      <c r="G829" s="70"/>
    </row>
    <row r="830">
      <c r="G830" s="70"/>
    </row>
    <row r="831">
      <c r="G831" s="70"/>
    </row>
    <row r="832">
      <c r="G832" s="70"/>
    </row>
    <row r="833">
      <c r="G833" s="70"/>
    </row>
    <row r="834">
      <c r="G834" s="70"/>
    </row>
    <row r="835">
      <c r="G835" s="70"/>
    </row>
    <row r="836">
      <c r="G836" s="70"/>
    </row>
    <row r="837">
      <c r="G837" s="70"/>
    </row>
    <row r="838">
      <c r="G838" s="70"/>
    </row>
    <row r="839">
      <c r="G839" s="70"/>
    </row>
    <row r="840">
      <c r="G840" s="70"/>
    </row>
    <row r="841">
      <c r="G841" s="70"/>
    </row>
    <row r="842">
      <c r="G842" s="70"/>
    </row>
    <row r="843">
      <c r="G843" s="70"/>
    </row>
    <row r="844">
      <c r="G844" s="70"/>
    </row>
    <row r="845">
      <c r="G845" s="70"/>
    </row>
    <row r="846">
      <c r="G846" s="70"/>
    </row>
    <row r="847">
      <c r="G847" s="70"/>
    </row>
    <row r="848">
      <c r="G848" s="70"/>
    </row>
    <row r="849">
      <c r="G849" s="70"/>
    </row>
    <row r="850">
      <c r="G850" s="70"/>
    </row>
    <row r="851">
      <c r="G851" s="70"/>
    </row>
    <row r="852">
      <c r="G852" s="70"/>
    </row>
    <row r="853">
      <c r="G853" s="70"/>
    </row>
    <row r="854">
      <c r="G854" s="70"/>
    </row>
    <row r="855">
      <c r="G855" s="70"/>
    </row>
    <row r="856">
      <c r="G856" s="70"/>
    </row>
    <row r="857">
      <c r="G857" s="70"/>
    </row>
    <row r="858">
      <c r="G858" s="70"/>
    </row>
    <row r="859">
      <c r="G859" s="70"/>
    </row>
    <row r="860">
      <c r="G860" s="70"/>
    </row>
    <row r="861">
      <c r="G861" s="70"/>
    </row>
    <row r="862">
      <c r="G862" s="70"/>
    </row>
    <row r="863">
      <c r="G863" s="70"/>
    </row>
    <row r="864">
      <c r="G864" s="70"/>
    </row>
    <row r="865">
      <c r="G865" s="70"/>
    </row>
    <row r="866">
      <c r="G866" s="70"/>
    </row>
    <row r="867">
      <c r="G867" s="70"/>
    </row>
    <row r="868">
      <c r="G868" s="70"/>
    </row>
    <row r="869">
      <c r="G869" s="70"/>
    </row>
    <row r="870">
      <c r="G870" s="70"/>
    </row>
    <row r="871">
      <c r="G871" s="70"/>
    </row>
    <row r="872">
      <c r="G872" s="70"/>
    </row>
    <row r="873">
      <c r="G873" s="70"/>
    </row>
    <row r="874">
      <c r="G874" s="70"/>
    </row>
    <row r="875">
      <c r="G875" s="70"/>
    </row>
    <row r="876">
      <c r="G876" s="70"/>
    </row>
    <row r="877">
      <c r="G877" s="70"/>
    </row>
    <row r="878">
      <c r="G878" s="70"/>
    </row>
    <row r="879">
      <c r="G879" s="70"/>
    </row>
    <row r="880">
      <c r="G880" s="70"/>
    </row>
    <row r="881">
      <c r="G881" s="70"/>
    </row>
    <row r="882">
      <c r="G882" s="70"/>
    </row>
    <row r="883">
      <c r="G883" s="70"/>
    </row>
    <row r="884">
      <c r="G884" s="70"/>
    </row>
    <row r="885">
      <c r="G885" s="70"/>
    </row>
    <row r="886">
      <c r="G886" s="70"/>
    </row>
    <row r="887">
      <c r="G887" s="70"/>
    </row>
    <row r="888">
      <c r="G888" s="70"/>
    </row>
    <row r="889">
      <c r="G889" s="70"/>
    </row>
    <row r="890">
      <c r="G890" s="70"/>
    </row>
    <row r="891">
      <c r="G891" s="70"/>
    </row>
    <row r="892">
      <c r="G892" s="70"/>
    </row>
    <row r="893">
      <c r="G893" s="70"/>
    </row>
    <row r="894">
      <c r="G894" s="70"/>
    </row>
    <row r="895">
      <c r="G895" s="70"/>
    </row>
    <row r="896">
      <c r="G896" s="70"/>
    </row>
    <row r="897">
      <c r="G897" s="70"/>
    </row>
    <row r="898">
      <c r="G898" s="70"/>
    </row>
    <row r="899">
      <c r="G899" s="70"/>
    </row>
    <row r="900">
      <c r="G900" s="70"/>
    </row>
    <row r="901">
      <c r="G901" s="70"/>
    </row>
    <row r="902">
      <c r="G902" s="70"/>
    </row>
    <row r="903">
      <c r="G903" s="70"/>
    </row>
    <row r="904">
      <c r="G904" s="70"/>
    </row>
    <row r="905">
      <c r="G905" s="70"/>
    </row>
    <row r="906">
      <c r="G906" s="70"/>
    </row>
    <row r="907">
      <c r="G907" s="70"/>
    </row>
    <row r="908">
      <c r="G908" s="70"/>
    </row>
    <row r="909">
      <c r="G909" s="70"/>
    </row>
    <row r="910">
      <c r="G910" s="70"/>
    </row>
    <row r="911">
      <c r="G911" s="70"/>
    </row>
    <row r="912">
      <c r="G912" s="70"/>
    </row>
    <row r="913">
      <c r="G913" s="70"/>
    </row>
    <row r="914">
      <c r="G914" s="70"/>
    </row>
    <row r="915">
      <c r="G915" s="70"/>
    </row>
    <row r="916">
      <c r="G916" s="70"/>
    </row>
    <row r="917">
      <c r="G917" s="70"/>
    </row>
    <row r="918">
      <c r="G918" s="70"/>
    </row>
    <row r="919">
      <c r="G919" s="70"/>
    </row>
    <row r="920">
      <c r="G920" s="70"/>
    </row>
    <row r="921">
      <c r="G921" s="70"/>
    </row>
    <row r="922">
      <c r="G922" s="70"/>
    </row>
    <row r="923">
      <c r="G923" s="70"/>
    </row>
    <row r="924">
      <c r="G924" s="70"/>
    </row>
    <row r="925">
      <c r="G925" s="70"/>
    </row>
    <row r="926">
      <c r="G926" s="70"/>
    </row>
    <row r="927">
      <c r="G927" s="70"/>
    </row>
    <row r="928">
      <c r="G928" s="70"/>
    </row>
    <row r="929">
      <c r="G929" s="70"/>
    </row>
    <row r="930">
      <c r="G930" s="70"/>
    </row>
    <row r="931">
      <c r="G931" s="70"/>
    </row>
    <row r="932">
      <c r="G932" s="70"/>
    </row>
    <row r="933">
      <c r="G933" s="70"/>
    </row>
    <row r="934">
      <c r="G934" s="70"/>
    </row>
    <row r="935">
      <c r="G935" s="70"/>
    </row>
    <row r="936">
      <c r="G936" s="70"/>
    </row>
    <row r="937">
      <c r="G937" s="70"/>
    </row>
    <row r="938">
      <c r="G938" s="70"/>
    </row>
    <row r="939">
      <c r="G939" s="70"/>
    </row>
    <row r="940">
      <c r="G940" s="70"/>
    </row>
    <row r="941">
      <c r="G941" s="70"/>
    </row>
    <row r="942">
      <c r="G942" s="70"/>
    </row>
    <row r="943">
      <c r="G943" s="70"/>
    </row>
    <row r="944">
      <c r="G944" s="70"/>
    </row>
    <row r="945">
      <c r="G945" s="70"/>
    </row>
    <row r="946">
      <c r="G946" s="70"/>
    </row>
    <row r="947">
      <c r="G947" s="70"/>
    </row>
    <row r="948">
      <c r="G948" s="70"/>
    </row>
    <row r="949">
      <c r="G949" s="70"/>
    </row>
    <row r="950">
      <c r="G950" s="70"/>
    </row>
    <row r="951">
      <c r="G951" s="70"/>
    </row>
    <row r="952">
      <c r="G952" s="70"/>
    </row>
    <row r="953">
      <c r="G953" s="70"/>
    </row>
    <row r="954">
      <c r="G954" s="70"/>
    </row>
    <row r="955">
      <c r="G955" s="70"/>
    </row>
    <row r="956">
      <c r="G956" s="70"/>
    </row>
    <row r="957">
      <c r="G957" s="70"/>
    </row>
    <row r="958">
      <c r="G958" s="70"/>
    </row>
    <row r="959">
      <c r="G959" s="70"/>
    </row>
    <row r="960">
      <c r="G960" s="70"/>
    </row>
    <row r="961">
      <c r="G961" s="70"/>
    </row>
    <row r="962">
      <c r="G962" s="70"/>
    </row>
    <row r="963">
      <c r="G963" s="70"/>
    </row>
    <row r="964">
      <c r="G964" s="70"/>
    </row>
    <row r="965">
      <c r="G965" s="70"/>
    </row>
    <row r="966">
      <c r="G966" s="70"/>
    </row>
    <row r="967">
      <c r="G967" s="70"/>
    </row>
    <row r="968">
      <c r="G968" s="70"/>
    </row>
    <row r="969">
      <c r="G969" s="70"/>
    </row>
    <row r="970">
      <c r="G970" s="70"/>
    </row>
    <row r="971">
      <c r="G971" s="70"/>
    </row>
    <row r="972">
      <c r="G972" s="70"/>
    </row>
    <row r="973">
      <c r="G973" s="70"/>
    </row>
    <row r="974">
      <c r="G974" s="70"/>
    </row>
    <row r="975">
      <c r="G975" s="70"/>
    </row>
    <row r="976">
      <c r="G976" s="70"/>
    </row>
    <row r="977">
      <c r="G977" s="70"/>
    </row>
    <row r="978">
      <c r="G978" s="70"/>
    </row>
    <row r="979">
      <c r="G979" s="70"/>
    </row>
    <row r="980">
      <c r="G980" s="70"/>
    </row>
    <row r="981">
      <c r="G981" s="70"/>
    </row>
    <row r="982">
      <c r="G982" s="70"/>
    </row>
    <row r="983">
      <c r="G983" s="70"/>
    </row>
    <row r="984">
      <c r="G984" s="70"/>
    </row>
    <row r="985">
      <c r="G985" s="70"/>
    </row>
    <row r="986">
      <c r="G986" s="70"/>
    </row>
    <row r="987">
      <c r="G987" s="70"/>
    </row>
    <row r="988">
      <c r="G988" s="70"/>
    </row>
    <row r="989">
      <c r="G989" s="70"/>
    </row>
    <row r="990">
      <c r="G990" s="70"/>
    </row>
    <row r="991">
      <c r="G991" s="70"/>
    </row>
    <row r="992">
      <c r="G992" s="70"/>
    </row>
    <row r="993">
      <c r="G993" s="70"/>
    </row>
    <row r="994">
      <c r="G994" s="70"/>
    </row>
    <row r="995">
      <c r="G995" s="70"/>
    </row>
    <row r="996">
      <c r="G996" s="70"/>
    </row>
    <row r="997">
      <c r="G997" s="70"/>
    </row>
    <row r="998">
      <c r="G998" s="70"/>
    </row>
    <row r="999">
      <c r="G999" s="70"/>
    </row>
  </sheetData>
  <drawing r:id="rId1"/>
</worksheet>
</file>