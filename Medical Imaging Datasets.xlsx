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cript Examples" sheetId="2" r:id="rId6"/>
    <sheet state="visible" name="Mod&amp;path" sheetId="3" r:id="rId7"/>
    <sheet state="visible" name="Sheet7" sheetId="4" r:id="rId8"/>
  </sheets>
  <definedNames/>
  <calcPr/>
</workbook>
</file>

<file path=xl/sharedStrings.xml><?xml version="1.0" encoding="utf-8"?>
<sst xmlns="http://schemas.openxmlformats.org/spreadsheetml/2006/main" count="13372" uniqueCount="5290">
  <si>
    <t>Manually Checked</t>
  </si>
  <si>
    <t>Compilation</t>
  </si>
  <si>
    <t>Source</t>
  </si>
  <si>
    <t>Downloaded</t>
  </si>
  <si>
    <t>File (Server name: File name)</t>
  </si>
  <si>
    <t>NoDerivatives</t>
  </si>
  <si>
    <t>Unavailable</t>
  </si>
  <si>
    <t>Downloading</t>
  </si>
  <si>
    <t>Notes</t>
  </si>
  <si>
    <t>Name</t>
  </si>
  <si>
    <t>Body Part</t>
  </si>
  <si>
    <t>Anatomical Area</t>
  </si>
  <si>
    <t>Modality</t>
  </si>
  <si>
    <t>Task</t>
  </si>
  <si>
    <t>Annotations</t>
  </si>
  <si>
    <t># Samples</t>
  </si>
  <si>
    <t># Images</t>
  </si>
  <si>
    <t>Format</t>
  </si>
  <si>
    <t>Resolution</t>
  </si>
  <si>
    <t>Size (GB)</t>
  </si>
  <si>
    <t>Compression</t>
  </si>
  <si>
    <t>Ready for Download</t>
  </si>
  <si>
    <t>Year</t>
  </si>
  <si>
    <t>Dimension</t>
  </si>
  <si>
    <t>Location</t>
  </si>
  <si>
    <t>Website</t>
  </si>
  <si>
    <t>Reference</t>
  </si>
  <si>
    <t>Hosting Platform</t>
  </si>
  <si>
    <t>Download</t>
  </si>
  <si>
    <t>Download 2</t>
  </si>
  <si>
    <t>nih-chest-xrays.zip</t>
  </si>
  <si>
    <t>NIH Chest X-rays</t>
  </si>
  <si>
    <t>Chest</t>
  </si>
  <si>
    <t>X-ray</t>
  </si>
  <si>
    <t>Classification</t>
  </si>
  <si>
    <t>Disease labels, Bounding boxes</t>
  </si>
  <si>
    <t>112K</t>
  </si>
  <si>
    <t>PNG</t>
  </si>
  <si>
    <t>1024x1024</t>
  </si>
  <si>
    <t>https://www.kaggle.com/datasets/nih-chest-xrays/data</t>
  </si>
  <si>
    <r>
      <rPr/>
      <t xml:space="preserve">curl -L -o nih-chest-xrays.zip  </t>
    </r>
    <r>
      <rPr>
        <color rgb="FF1155CC"/>
        <u/>
      </rPr>
      <t>https://www.kaggle.com/api/v1/datasets/download/nih-chest-xrays/data</t>
    </r>
  </si>
  <si>
    <t>Faster:/scratch/group/optmai/chenlang/datasets/: mimic-cxr-jpg-2.1.0</t>
  </si>
  <si>
    <t>MIMIC-CXR-JPG</t>
  </si>
  <si>
    <t>Disease labels, Radiology reports</t>
  </si>
  <si>
    <t>377K</t>
  </si>
  <si>
    <t>JPG</t>
  </si>
  <si>
    <t>https://physionet.org/content/mimic-cxr-jpg/2.1.0/</t>
  </si>
  <si>
    <t>chexpert</t>
  </si>
  <si>
    <t>CheXpert</t>
  </si>
  <si>
    <t>Disease labels, Reports</t>
  </si>
  <si>
    <t>224K</t>
  </si>
  <si>
    <t>https://stanfordaimi.azurewebsites.net/datasets/8cbd9ed4-2eb9-4565-affc-111cf4f7ebe2</t>
  </si>
  <si>
    <t>./azcopy copy "https://aimistanforddatasets01.blob.core.windows.net/chexpertchestxrays-u20210408?sv=2019-02-02&amp;sr=c&amp;sig=sv8KYxRvPNst0QnKEMz0ghB1Scunlxm3d%2F1yxQsLSNQ%3D&amp;st=2025-11-20T23%3A59%3A21Z&amp;se=2025-12-21T00%3A04%3A21Z&amp;sp=rl" chexpert --recursive</t>
  </si>
  <si>
    <t>/mnt/data-nas/biovfm/PadChest</t>
  </si>
  <si>
    <t>PadChest</t>
  </si>
  <si>
    <t>160K</t>
  </si>
  <si>
    <t>https://bimcv.cipf.es/bimcv-projects/padchest/</t>
  </si>
  <si>
    <r>
      <rPr>
        <color rgb="FF1155CC"/>
        <u/>
      </rPr>
      <t>https://b2drop.bsc.es/index.php/s/BIMCV-PadChest-FULL</t>
    </r>
  </si>
  <si>
    <t>LIDC-IDRI</t>
  </si>
  <si>
    <t>Lung</t>
  </si>
  <si>
    <t>CT</t>
  </si>
  <si>
    <t>Detection</t>
  </si>
  <si>
    <t>Nodule locations</t>
  </si>
  <si>
    <t>DICOM</t>
  </si>
  <si>
    <t>512x512</t>
  </si>
  <si>
    <t>https://www.cancerimagingarchive.net/collection/lidc-idri/</t>
  </si>
  <si>
    <t>Cancer Imaging Archive</t>
  </si>
  <si>
    <t>luna16</t>
  </si>
  <si>
    <t>LUNA16</t>
  </si>
  <si>
    <t>MHD/RAW</t>
  </si>
  <si>
    <t>512x512x95 to 512x512x764</t>
  </si>
  <si>
    <t>https://luna16.grand-challenge.org/Data/</t>
  </si>
  <si>
    <t>Zenodo</t>
  </si>
  <si>
    <t>totalsegmentator.zip</t>
  </si>
  <si>
    <t>TotalSegmentator</t>
  </si>
  <si>
    <t>CT, MRI</t>
  </si>
  <si>
    <t>Segmentation</t>
  </si>
  <si>
    <t>Segmentations</t>
  </si>
  <si>
    <t>2K</t>
  </si>
  <si>
    <t>NIfTI</t>
  </si>
  <si>
    <t>https://zenodo.org/records/10047292</t>
  </si>
  <si>
    <t>https://zenodo.org/records/11367005</t>
  </si>
  <si>
    <t>jsrt</t>
  </si>
  <si>
    <t>local</t>
  </si>
  <si>
    <t>miniJSRT</t>
  </si>
  <si>
    <t>Classification, Segmentation</t>
  </si>
  <si>
    <t>Orientation labels, Segmentations</t>
  </si>
  <si>
    <t>1K</t>
  </si>
  <si>
    <t>128x128</t>
  </si>
  <si>
    <t>http://imgcom.jsrt.or.jp/minijsrtdb/</t>
  </si>
  <si>
    <t>crass12</t>
  </si>
  <si>
    <t>CRASS12</t>
  </si>
  <si>
    <t>Clavicle</t>
  </si>
  <si>
    <t>1560x1520 to 1768x1812</t>
  </si>
  <si>
    <t>https://crass.grand-challenge.org/Home/</t>
  </si>
  <si>
    <t>QIBA-VolCT-1B</t>
  </si>
  <si>
    <t>corrupted</t>
  </si>
  <si>
    <t>512x512x(20 to 321)</t>
  </si>
  <si>
    <t>https://www.cancerimagingarchive.net/analysis-result/qiba-volct-1b/</t>
  </si>
  <si>
    <t>tuberculosis-chest-xrays-shenzhen.zip</t>
  </si>
  <si>
    <t>SZ-CXR</t>
  </si>
  <si>
    <t>Labels, Segmentations</t>
  </si>
  <si>
    <t>989*1225 to 3001*3001</t>
  </si>
  <si>
    <t>https://www.kaggle.com/datasets/raddar/tuberculosis-chest-xrays-shenzhen</t>
  </si>
  <si>
    <t>https://ieeexplore.ieee.org/stamp/stamp.jsp?tp=&amp;arnumber=8477564&amp;tag=1</t>
  </si>
  <si>
    <t>Kaggle</t>
  </si>
  <si>
    <t>requires complete submission</t>
  </si>
  <si>
    <t>Breast Ultrasound Dataset B</t>
  </si>
  <si>
    <t>Ultrasound</t>
  </si>
  <si>
    <t>344x233 to 753x617</t>
  </si>
  <si>
    <t>https://helward.mmu.ac.uk/STAFF/M.Yap/dataset.php</t>
  </si>
  <si>
    <t>https://ieeexplore.ieee.org/stamp/stamp.jsp?arnumber=8003418&amp;tag=1</t>
  </si>
  <si>
    <t>fumpe.zip</t>
  </si>
  <si>
    <t>FUMPE</t>
  </si>
  <si>
    <t>512x512x139 to 512x512x475</t>
  </si>
  <si>
    <t>https://figshare.com/collections/FUMPE/4107803/1</t>
  </si>
  <si>
    <t>https://www.nature.com/articles/sdata2018180</t>
  </si>
  <si>
    <t>https://www.kaggle.com/datasets/andrewmvd/pulmonary-embolism-in-ct-images</t>
  </si>
  <si>
    <t>QIN-LungCT-Seg</t>
  </si>
  <si>
    <t>Encountered some errors downloading a few of 'CT &amp; Segmentations Combined', tried again but persist</t>
  </si>
  <si>
    <t>512x512x103 to 512x512x481</t>
  </si>
  <si>
    <t>https://www.cancerimagingarchive.net/analysis-result/qin-lungct-seg/</t>
  </si>
  <si>
    <t>https://link.springer.com/article/10.1007/s10278-016-9859-z</t>
  </si>
  <si>
    <t>Need to register for competition (awaiting response)</t>
  </si>
  <si>
    <t>StructSeg 2019 Task3</t>
  </si>
  <si>
    <t>512x512x80 to 512x512x127</t>
  </si>
  <si>
    <t>https://structseg2019.grand-challenge.org</t>
  </si>
  <si>
    <t>Pneumothorax_Masks.zip</t>
  </si>
  <si>
    <t>Pneumothorax Masks X-Ray</t>
  </si>
  <si>
    <t>https://www.kaggle.com/datasets/vbookshelf/pneumothorax-chest-xray-images-and-masks/data</t>
  </si>
  <si>
    <t>StructSeg2019 Task4</t>
  </si>
  <si>
    <t>Registered (download not working)</t>
  </si>
  <si>
    <t>SegTHOR</t>
  </si>
  <si>
    <t>512x512x147 to 512x512x284</t>
  </si>
  <si>
    <t>https://competitions.codalab.org/competitions/21145</t>
  </si>
  <si>
    <t>https://ieeexplore.ieee.org/document/9286453</t>
  </si>
  <si>
    <t>msd</t>
  </si>
  <si>
    <t>MSD Lung Tumours</t>
  </si>
  <si>
    <t>NIFTI</t>
  </si>
  <si>
    <t>512x512x112 to 512x512x636</t>
  </si>
  <si>
    <t>http://medicaldecathlon.com/</t>
  </si>
  <si>
    <t>https://www.nature.com/articles/s41467-022-30695-9, https://arxiv.org/abs/1902.09063</t>
  </si>
  <si>
    <t>https://drive.google.com/drive/folders/1HqEgzS8BV2c7xYNrZdEAnrHk7osJJ--2</t>
  </si>
  <si>
    <t>LNDb</t>
  </si>
  <si>
    <t>Train: 236 Test: 58</t>
  </si>
  <si>
    <t>512x512x251 to 804x512x631</t>
  </si>
  <si>
    <t>https://lndb.grand-challenge.org/</t>
  </si>
  <si>
    <t>https://doi.org/10.5281/zenodo.7153205</t>
  </si>
  <si>
    <t>https://zenodo.org/record/7153205#.Yz_oVHbMJPZ</t>
  </si>
  <si>
    <t>Dataset_BUSI.zip</t>
  </si>
  <si>
    <t>BUSI</t>
  </si>
  <si>
    <t>310x190 to 719x190</t>
  </si>
  <si>
    <t>https://scholar.cu.edu.eg/?q=afahmy/pages/dataset</t>
  </si>
  <si>
    <t>https://www.sciencedirect.com/science/article/pii/S2352340919312181</t>
  </si>
  <si>
    <t>RIDER-LungCT-Seg</t>
  </si>
  <si>
    <t>corrupt</t>
  </si>
  <si>
    <t>512x512x189 to 512x512x321</t>
  </si>
  <si>
    <t>https://www.cancerimagingarchive.net/analysis-result/rider-lungct-seg/</t>
  </si>
  <si>
    <t>https://www.nature.com/articles/ncomms5006</t>
  </si>
  <si>
    <t>PleThora</t>
  </si>
  <si>
    <t>Chest cavity</t>
  </si>
  <si>
    <t>DICOM, .NII.GZ</t>
  </si>
  <si>
    <t>512x512x75 to 512x512x297</t>
  </si>
  <si>
    <t>https://www.cancerimagingarchive.net/analysis-result/plethora</t>
  </si>
  <si>
    <t>https://aapm.onlinelibrary.wiley.com/doi/epdf/10.1002/mp.14424</t>
  </si>
  <si>
    <t>sars_covid_2_ct.zip</t>
  </si>
  <si>
    <t>SARS-COV-2 Ct-Scan</t>
  </si>
  <si>
    <t>Labels</t>
  </si>
  <si>
    <t>182x129 to 484x416</t>
  </si>
  <si>
    <t>https://www.kaggle.com/datasets/plameneduardo/sarscov2-ctscan-dataset</t>
  </si>
  <si>
    <t>https://www.medrxiv.org/content/10.1101/2020.04.24.20078584v3.full.pdf</t>
  </si>
  <si>
    <t>COVID_CT_COVID-CT.zip</t>
  </si>
  <si>
    <t>COVID_CT_COVID-CT</t>
  </si>
  <si>
    <t>JPG, PNG</t>
  </si>
  <si>
    <t>148x61 to 1637x1225</t>
  </si>
  <si>
    <t>https://tianchi.aliyun.com/dataset/106604</t>
  </si>
  <si>
    <t>https://arxiv.org/pdf/2003.13865.pdf</t>
  </si>
  <si>
    <t>coronahack.zip</t>
  </si>
  <si>
    <t>CoronaHack</t>
  </si>
  <si>
    <t>Cxr</t>
  </si>
  <si>
    <t>384x127 to 4248x3480</t>
  </si>
  <si>
    <t>https://www.kaggle.com/datasets/praveengovi/coronahack-chest-xraydataset/data</t>
  </si>
  <si>
    <t>https://arxiv.org/abs/2006.11988</t>
  </si>
  <si>
    <t>COVIDGR_1.0/COVIDGR_1.0.zip</t>
  </si>
  <si>
    <t>COVIDGR</t>
  </si>
  <si>
    <t>534x224 to 3000x3000</t>
  </si>
  <si>
    <t>https://github.com/ari-dasci/covidgr</t>
  </si>
  <si>
    <t>https://ieeexplore.ieee.org/stamp/stamp.jsp?tp=&amp;arnumber=9254002</t>
  </si>
  <si>
    <t>https://github.com/ari-dasci/covidgr, https://opendatalab.com/OpenDataLab/COVIDGR</t>
  </si>
  <si>
    <t>CMMD</t>
  </si>
  <si>
    <t>2294x1914</t>
  </si>
  <si>
    <t>https://www.cancerimagingarchive.net/collection/cmmd/</t>
  </si>
  <si>
    <t>https://doi.org/10.7937/tcia.eqde-4b16</t>
  </si>
  <si>
    <t>siim-covid19-detection.zip</t>
  </si>
  <si>
    <t>SIIM-FISABIO-RSNA COVID-19</t>
  </si>
  <si>
    <t>JPEG</t>
  </si>
  <si>
    <t>1115x1228 to 3480x4248</t>
  </si>
  <si>
    <t>https://www.kaggle.com/competitions/siim-covid19-detection/data</t>
  </si>
  <si>
    <t>https://link.springer.com/article/10.1007/s10278-022-00706-8</t>
  </si>
  <si>
    <t>WSSS4LUAD</t>
  </si>
  <si>
    <t>Pathology</t>
  </si>
  <si>
    <t>150x150 to 5000x5000</t>
  </si>
  <si>
    <t>https://wsss4luad.grand-challenge.org/WSSS4LUAD/</t>
  </si>
  <si>
    <t>https://arxiv.org/abs/2204.06455</t>
  </si>
  <si>
    <t>https://drive.google.com/drive/folders/1qTTTaHAp8HOnvxnKi1RXp-bC7sito9DF</t>
  </si>
  <si>
    <t>COVID-19_Radiography_Database.zip</t>
  </si>
  <si>
    <t>COVID-19 CHEST X-RAY DATABASE</t>
  </si>
  <si>
    <t>256*256 to 1024*1024</t>
  </si>
  <si>
    <t>https://www.heywhale.com/mw/dataset/6027caee891f960015c863d7/content</t>
  </si>
  <si>
    <t>https://ieeexplore.ieee.org/abstract/document/9144185</t>
  </si>
  <si>
    <t>https://drive.google.com/file/d/1xt7g5LkZuX09e1a8rK9sRXIrGFN6rjzl/view?usp=sharing</t>
  </si>
  <si>
    <t>chest-ctscan/chest-ctscan-images_datasets.zip</t>
  </si>
  <si>
    <t>Chest CT-Scan images</t>
  </si>
  <si>
    <t>172x110 to 1200x874</t>
  </si>
  <si>
    <t>https://tianchi.aliyun.com/dataset/93929</t>
  </si>
  <si>
    <t>None</t>
  </si>
  <si>
    <t>COVID-19-CT/COVID-19-CT_SCAN_IMAGES_datasets.zip</t>
  </si>
  <si>
    <t>COVID-19-CT SCAN IMAGES</t>
  </si>
  <si>
    <t>PNG, .JPG, .JPEG</t>
  </si>
  <si>
    <t>256x247 to 4248x3480</t>
  </si>
  <si>
    <t>https://tianchi.aliyun.com/dataset/93666</t>
  </si>
  <si>
    <t>-</t>
  </si>
  <si>
    <t>xray-pd.zip</t>
  </si>
  <si>
    <t>Chest X-ray PD Dataset</t>
  </si>
  <si>
    <t>224x224 to 5623x4757</t>
  </si>
  <si>
    <t>https://data.mendeley.com/datasets/jctsfj2sfn/1</t>
  </si>
  <si>
    <t>https://prod-dcd-datasets-cache-zipfiles.s3.eu-west-1.amazonaws.com/jctsfj2sfn-1.zip</t>
  </si>
  <si>
    <t>ChinaSet_AllFIles.zip</t>
  </si>
  <si>
    <t>Shenzhen chest X-ray set</t>
  </si>
  <si>
    <t>1130x948 to 3001x3001</t>
  </si>
  <si>
    <t>https://lhncbc.nlm.nih.gov/LHC-downloads/downloads.html#tuberculosis-image-data-sets</t>
  </si>
  <si>
    <t>https://www.ncbi.nlm.nih.gov/pmc/articles/PMC4256233/</t>
  </si>
  <si>
    <t>https://openi.nlm.nih.gov/imgs/collections/ChinaSet_AllFiles.zip</t>
  </si>
  <si>
    <t>ispy1</t>
  </si>
  <si>
    <t>ISPY1-Tumor-SEG-Radiomics</t>
  </si>
  <si>
    <t>MRI</t>
  </si>
  <si>
    <t>180x180x83 to 300x300x384</t>
  </si>
  <si>
    <t>https://www.cancerimagingarchive.net/analysis-result/ispy1-tumor-seg-radiomics/</t>
  </si>
  <si>
    <t>needs chinese</t>
  </si>
  <si>
    <t>Chest X-Ray Imaging_(Pneumonia)</t>
  </si>
  <si>
    <t>JEPG</t>
  </si>
  <si>
    <t>384x127 to 2916x2583</t>
  </si>
  <si>
    <t>https://www.heywhale.com/mw/dataset/62c2ac49913a54a66037f872/content</t>
  </si>
  <si>
    <t>https://www.heywhale.com/mw/dataset/62c2ac49913a54a66037f872/content, https://data.mendeley.com/datasets/rscbjbr9sj/2</t>
  </si>
  <si>
    <t>https://www.heywhale.com/mw/dataset/62c2ac49913a54a66037f872/file</t>
  </si>
  <si>
    <t>Participants should use the data only for the Challenge. Any other use of the data (including redistribution and developing other algorithms) is not allowed.</t>
  </si>
  <si>
    <t>Parse 2022</t>
  </si>
  <si>
    <t>Train: 100 Val: 30 Test: 70</t>
  </si>
  <si>
    <t>512x512x228 to 512x512x390</t>
  </si>
  <si>
    <t>https://parse2022.grand-challenge.org/</t>
  </si>
  <si>
    <t>https://arxiv.org/abs/2304.03708</t>
  </si>
  <si>
    <t>https://parse2022.grand-challenge.org/Dataset/</t>
  </si>
  <si>
    <t>ATM22</t>
  </si>
  <si>
    <t>Train: 300 Val: 50 Test: 150</t>
  </si>
  <si>
    <t>512x512x84 to 512x512x1125</t>
  </si>
  <si>
    <t>https://atm22.grand-challenge.org/</t>
  </si>
  <si>
    <t>https://www.sciencedirect.com/science/article/pii/S1361841523002177</t>
  </si>
  <si>
    <t>needs course</t>
  </si>
  <si>
    <t>Scientific Data BRAX</t>
  </si>
  <si>
    <t>24959 cases 19351 patients 40967 images</t>
  </si>
  <si>
    <t>PNG, DICOM</t>
  </si>
  <si>
    <t>1024x1082</t>
  </si>
  <si>
    <t>https://physionet.org/content/brax/1.1.0/</t>
  </si>
  <si>
    <t>mvseg2023</t>
  </si>
  <si>
    <t>MVSeg-3DTEE 2023</t>
  </si>
  <si>
    <t>Us</t>
  </si>
  <si>
    <t>train 105 val 30 test 40</t>
  </si>
  <si>
    <t>176x112x208 to 336x256x208</t>
  </si>
  <si>
    <t>https://www.synapse.org/#!Synapse:syn51186045/wiki/621356</t>
  </si>
  <si>
    <t>https://ir.lib.uwo.ca/cgi/viewcontent.cgi?article=12693&amp;context=etd</t>
  </si>
  <si>
    <t>needs joining the challenge</t>
  </si>
  <si>
    <t>TDSC-ABUS2023</t>
  </si>
  <si>
    <t>Whole body</t>
  </si>
  <si>
    <t>NRRD</t>
  </si>
  <si>
    <t>https://tdsc-abus2023.grand-challenge.org/TDSC-ABUS2023/</t>
  </si>
  <si>
    <t>TBD</t>
  </si>
  <si>
    <t>https://tdsc-abus2023.grand-challenge.org/Dataset/</t>
  </si>
  <si>
    <t>AIIB23</t>
  </si>
  <si>
    <t>Train: 120 Val: 52 Test: 140</t>
  </si>
  <si>
    <t>512x512x146 to 768x768x947</t>
  </si>
  <si>
    <t>https://codalab.lisn.upsaclay.fr/competitions/13238</t>
  </si>
  <si>
    <t>https://codalab.lisn.upsaclay.fr/competitions/13238#learn_the_details-dataset</t>
  </si>
  <si>
    <t>SEG.A.</t>
  </si>
  <si>
    <t>Cta</t>
  </si>
  <si>
    <t>512x512x94 to 512x666x1140</t>
  </si>
  <si>
    <t>https://multicenteraorta.grand-challenge.org/</t>
  </si>
  <si>
    <t>https://doi.org/10.1016/j.dib.2022.107801</t>
  </si>
  <si>
    <t>https://multicenteraorta.grand-challenge.org/data/</t>
  </si>
  <si>
    <t>LNQ_2023</t>
  </si>
  <si>
    <t>LNQ 2023</t>
  </si>
  <si>
    <t>Train: 393 Val: 20 Test: 100</t>
  </si>
  <si>
    <t>512x512x56 to 512x512x656</t>
  </si>
  <si>
    <t>https://lnq2023.grand-challenge.org/lnq2023/</t>
  </si>
  <si>
    <t>https://lnq2023.grand-challenge.org/data/</t>
  </si>
  <si>
    <t>requested email access</t>
  </si>
  <si>
    <t>MICCAI2024 TriALS 2024 Task1</t>
  </si>
  <si>
    <t>512x512x344 to 512x512x819</t>
  </si>
  <si>
    <t>https://www.synapse.org/Synapse:syn53285416/wiki/</t>
  </si>
  <si>
    <t>https://www.synapse.org/Synapse:syn53285416/wiki/626914</t>
  </si>
  <si>
    <t>LungHist700.rar</t>
  </si>
  <si>
    <t>LungHist700</t>
  </si>
  <si>
    <t>Pathological images</t>
  </si>
  <si>
    <t>1200x1600</t>
  </si>
  <si>
    <t>https://www.nature.com/articles/s41597-024-03944-3</t>
  </si>
  <si>
    <t>https://figshare.com/articles/dataset/LungHist700_A_Dataset_of_Histological_Images_for_Deep_Learning_in_Pulmonary_Pathology/25459174?file=45206104</t>
  </si>
  <si>
    <t>VESSEL12.zip</t>
  </si>
  <si>
    <t>VESSEL12</t>
  </si>
  <si>
    <t>TAR.BZ2</t>
  </si>
  <si>
    <t>512x512x355 to 512x512x543</t>
  </si>
  <si>
    <t>https://vessel12.grand-challenge.org/</t>
  </si>
  <si>
    <t>https://www.sciencedirect.com/science/article/pii/S136184151400111X?via%3Dihub</t>
  </si>
  <si>
    <t>CBIS-DDSM</t>
  </si>
  <si>
    <t>Breast</t>
  </si>
  <si>
    <t>Segmentations, Pathology information</t>
  </si>
  <si>
    <t>3K</t>
  </si>
  <si>
    <t>https://www.cancerimagingarchive.net/collection/cbis-ddsm/</t>
  </si>
  <si>
    <t>mias-mammography.zip</t>
  </si>
  <si>
    <t>MIAS</t>
  </si>
  <si>
    <t>PGM</t>
  </si>
  <si>
    <t>https://doi.org/10.17863/CAM.105113</t>
  </si>
  <si>
    <t>https://github.com/escuccim/mias-mammography/blob/master/Report.md</t>
  </si>
  <si>
    <t>https://www.kaggle.com/datasets/kmader/mias-mammography</t>
  </si>
  <si>
    <t>DeepLesion</t>
  </si>
  <si>
    <t>Bounding boxes, Semantic labels</t>
  </si>
  <si>
    <t>32K</t>
  </si>
  <si>
    <t>https://nihcc.app.box.com/v/DeepLesion</t>
  </si>
  <si>
    <t>ACRIN_6688</t>
  </si>
  <si>
    <t>ACRIN-FLT-Breast (ACRIN 6688)</t>
  </si>
  <si>
    <t>PET/CT</t>
  </si>
  <si>
    <t>Treatment response assessment</t>
  </si>
  <si>
    <t>Clinical data</t>
  </si>
  <si>
    <t>3D</t>
  </si>
  <si>
    <t>USA</t>
  </si>
  <si>
    <t>https://www.cancerimagingarchive.net/collection/acrin-flt-breast</t>
  </si>
  <si>
    <t>TCIA</t>
  </si>
  <si>
    <t>https://www.cancerimagingarchive.net/collections/acrin-6688/</t>
  </si>
  <si>
    <t>NAS: ACROBAT</t>
  </si>
  <si>
    <t>ACROBAT</t>
  </si>
  <si>
    <t>Histopathology (H&amp;E &amp; IHC WSI)</t>
  </si>
  <si>
    <t>Registration, Subtype classification</t>
  </si>
  <si>
    <t>37,000 landmark pairs; IHC markers (ER, PGR, HER2, KI67)</t>
  </si>
  <si>
    <t>TIFF</t>
  </si>
  <si>
    <t>10×</t>
  </si>
  <si>
    <t>2D</t>
  </si>
  <si>
    <t>Karolinska Institutet, Sweden</t>
  </si>
  <si>
    <t>https://acrobat.grand-challenge.org</t>
  </si>
  <si>
    <t>Grand Challenge</t>
  </si>
  <si>
    <t>https://acrobat.grand-challenge.org/</t>
  </si>
  <si>
    <t>Advanced-MRI-Breast-Lesions</t>
  </si>
  <si>
    <t>MRI (DCE)</t>
  </si>
  <si>
    <t>Lesion classification, Segmentation</t>
  </si>
  <si>
    <t>Manual segmentation masks; clinical &amp; pathology data</t>
  </si>
  <si>
    <t>https://www.cancerimagingarchive.net/collection/advanced-mri-breast-lesions</t>
  </si>
  <si>
    <t>https://www.cancerimagingarchive.net/collections/advanced-mri-breast-lesions/</t>
  </si>
  <si>
    <t>BCNB</t>
  </si>
  <si>
    <t>Histopathology (WSI)</t>
  </si>
  <si>
    <t>Axillary lymph-node status prediction, Receptor status prediction, Histological grade</t>
  </si>
  <si>
    <t>Tumor region annotations; clinical data</t>
  </si>
  <si>
    <t>JPG, XLSX</t>
  </si>
  <si>
    <t>https://bcnb.grand-challenge.org</t>
  </si>
  <si>
    <t>https://bcnb.grand-challenge.org/</t>
  </si>
  <si>
    <t>https://arxiv.org/abs/2112.02222</t>
  </si>
  <si>
    <t>https://github.com/bupt-ai-cz/BALNMP</t>
  </si>
  <si>
    <t>BCSS</t>
  </si>
  <si>
    <t>Histopathology (H&amp;E)</t>
  </si>
  <si>
    <t>Semantic segmentation (tissue classes)</t>
  </si>
  <si>
    <t>Pixel-wise segmentation masks for 22 tissue classes</t>
  </si>
  <si>
    <t>≈20,000 patches</t>
  </si>
  <si>
    <t>PNG, TSV labels</t>
  </si>
  <si>
    <t>224×224 &amp; 512×512</t>
  </si>
  <si>
    <t>USA (TCGA-derived)</t>
  </si>
  <si>
    <t>https://github.com/PathologyDataScience/BCSS</t>
  </si>
  <si>
    <t>GitHub</t>
  </si>
  <si>
    <t>BreakHis.zip</t>
  </si>
  <si>
    <t>BreakHis</t>
  </si>
  <si>
    <t>Histopathology (microscopy)</t>
  </si>
  <si>
    <t>Benign/malignant labels with eight subtypes and magnification levels</t>
  </si>
  <si>
    <t>700×460</t>
  </si>
  <si>
    <t>Brazil (Federal University of Paraná)</t>
  </si>
  <si>
    <t>https://web.inf.ufpr.br/vri/databases/breast-cancer-histopathological-database-breakhis</t>
  </si>
  <si>
    <t>VRI lab / UFPR</t>
  </si>
  <si>
    <t>https://web.inf.ufpr.br/vri/databases/breast-cancer-histopathological-database-breakhis/</t>
  </si>
  <si>
    <t>https://www.kaggle.com/datasets/ambarish/breakhis</t>
  </si>
  <si>
    <t>bcfpp.zip</t>
  </si>
  <si>
    <t>Breast Cancer CT</t>
  </si>
  <si>
    <t>Class labels (cancer, benign, normal) and mass masks</t>
  </si>
  <si>
    <t>Joblib (.jlb)</t>
  </si>
  <si>
    <t>https://www.kaggle.com/datasets/sabermalek/bcfpp</t>
  </si>
  <si>
    <t>breast-cancer-screening-dbt</t>
  </si>
  <si>
    <t>Breast-Cancer-Screening-DBT</t>
  </si>
  <si>
    <t>Digital Breast Tomosynthesis (DBT)</t>
  </si>
  <si>
    <t>Screening / Lesion detection</t>
  </si>
  <si>
    <t>Bounding boxes and exam-level labels</t>
  </si>
  <si>
    <t>https://www.cancerimagingarchive.net/collection/breast-cancer-screening-dbt</t>
  </si>
  <si>
    <t>https://wiki.cancerimagingarchive.net/display/Public/Breast-Cancer-Screening-DBT</t>
  </si>
  <si>
    <t>BREAST-DIAGNOSIS</t>
  </si>
  <si>
    <t>MRI, CT, Mammography, PET</t>
  </si>
  <si>
    <t>Diagnosis, Classification</t>
  </si>
  <si>
    <t>BIRADS features and pathology reports</t>
  </si>
  <si>
    <t>https://www.cancerimagingarchive.net/collection/breast-diagnosis</t>
  </si>
  <si>
    <t>https://wiki.cancerimagingarchive.net/display/Public/BREAST-DIAGNOSIS</t>
  </si>
  <si>
    <t>Breast-MRI-NACT-Pilot</t>
  </si>
  <si>
    <t>Neoadjuvant therapy monitoring</t>
  </si>
  <si>
    <t>Breast and tumor segmentations; derived features</t>
  </si>
  <si>
    <t>University of California San Francisco, USA</t>
  </si>
  <si>
    <t>https://www.cancerimagingarchive.net/collection/breast-mri-nact-pilot</t>
  </si>
  <si>
    <t>https://wiki.cancerimagingarchive.net/display/Public/Breast-MRI-NACT-Pilot</t>
  </si>
  <si>
    <t>BreastPathQ</t>
  </si>
  <si>
    <t>Cancer cellularity scoring</t>
  </si>
  <si>
    <t>Cellularity scores for patches</t>
  </si>
  <si>
    <t>96 WSI, 2,579 patches</t>
  </si>
  <si>
    <t>SVS, JPEG</t>
  </si>
  <si>
    <t>0.5 µm/pixel (20×)</t>
  </si>
  <si>
    <t>Sunnybrook Health Sciences Centre, Toronto, Canada</t>
  </si>
  <si>
    <t>https://breastpathq.grand-challenge.org/</t>
  </si>
  <si>
    <t>BUS-UCLM.zip</t>
  </si>
  <si>
    <t>BUS-UCLM</t>
  </si>
  <si>
    <t>Segmentation, Classification</t>
  </si>
  <si>
    <t>Segmentation masks and class labels (benign, malignant, normal)</t>
  </si>
  <si>
    <t>PNG images, RGB masks</t>
  </si>
  <si>
    <t>Spain (UCLM &amp; Hospital General de Ciudad Real)</t>
  </si>
  <si>
    <t>https://data.mendeley.com/datasets/7fvgj4jsp7</t>
  </si>
  <si>
    <t>Mendeley Data</t>
  </si>
  <si>
    <t>https://data.mendeley.com/datasets/7fvgj4jsp7/1</t>
  </si>
  <si>
    <t>manual download/script</t>
  </si>
  <si>
    <t>DMR-IR</t>
  </si>
  <si>
    <t>Infrared Thermography</t>
  </si>
  <si>
    <t>Labels (healthy vs cancer); temperature matrices</t>
  </si>
  <si>
    <t>JPEG, TXT</t>
  </si>
  <si>
    <t>640×480 (converted to 224×224)</t>
  </si>
  <si>
    <t>Brazil (Fluminense Federal University)</t>
  </si>
  <si>
    <t>https://visual.ic.uff.br/dmi</t>
  </si>
  <si>
    <t>Visual DMI / Kaggle</t>
  </si>
  <si>
    <t>https://www.kaggle.com/datasets/andrewmvd/thermal-images-for-breast-cancer-dmr-ir</t>
  </si>
  <si>
    <t>duke_breast_cancer_mri</t>
  </si>
  <si>
    <t>masks only</t>
  </si>
  <si>
    <t>Duke Breast Cancer MRI</t>
  </si>
  <si>
    <t>Segmentation, Classification, Radiogenomics</t>
  </si>
  <si>
    <t>Lesion segmentations; clinical &amp; genomic data; imaging features</t>
  </si>
  <si>
    <t>Duke University Medical Center, USA</t>
  </si>
  <si>
    <t>https://www.cancerimagingarchive.net/collection/duke-breast-cancer-mri</t>
  </si>
  <si>
    <t>https://wiki.cancerimagingarchive.net/display/Public/Duke-Breast-Cancer-MRI</t>
  </si>
  <si>
    <t>HEROHE</t>
  </si>
  <si>
    <t>HER2 status classification</t>
  </si>
  <si>
    <t>HER2 positive/negative labels</t>
  </si>
  <si>
    <t>WSI (H&amp;E)</t>
  </si>
  <si>
    <t>Portugal (European Congress on Digital Pathology)</t>
  </si>
  <si>
    <t>https://ecdp2020.grand-challenge.org</t>
  </si>
  <si>
    <t>https://ecdp2020.grand-challenge.org/</t>
  </si>
  <si>
    <t>https://www.mdpi.com/2313-433X/8/8/213</t>
  </si>
  <si>
    <t>INbreast.zip</t>
  </si>
  <si>
    <t>INbreast</t>
  </si>
  <si>
    <t>https://www.kaggle.com/datasets/martholi/inbreast</t>
  </si>
  <si>
    <t>ispy1_trial</t>
  </si>
  <si>
    <t>ISPY1 - Trial</t>
  </si>
  <si>
    <t>Segmentation; Classification</t>
  </si>
  <si>
    <t>Segmentation; Labels</t>
  </si>
  <si>
    <t>≤1 mm in‑plane; 256×192; ≤2.5 mm slice</t>
  </si>
  <si>
    <t>USA (multi‑center)</t>
  </si>
  <si>
    <t>https://www.cancerimagingarchive.net/collection/ispy1</t>
  </si>
  <si>
    <t>https://doi.org/10.7937/K9/TCIA.2016.HdHpgJLK</t>
  </si>
  <si>
    <t>https://www.cancerimagingarchive.net/collection/ispy1/</t>
  </si>
  <si>
    <t>ispy2_trial</t>
  </si>
  <si>
    <t>ISPY2 - Trial</t>
  </si>
  <si>
    <t>https://www.cancerimagingarchive.net/collection/ispy2</t>
  </si>
  <si>
    <t>https://doi.org/10.7937/TCIA.2022.mn8yxqa1</t>
  </si>
  <si>
    <t>https://www.cancerimagingarchive.net/collection/ispy2-acrin-6698/</t>
  </si>
  <si>
    <t>midog2021</t>
  </si>
  <si>
    <t>MIDOG 2021</t>
  </si>
  <si>
    <t>Histopathology</t>
  </si>
  <si>
    <t>Point annotations (mitoses)</t>
  </si>
  <si>
    <t>Netherlands (UMC Utrecht)</t>
  </si>
  <si>
    <t>https://imig.science/midog2021</t>
  </si>
  <si>
    <t>https://doi.org/10.5281/zenodo.4643381</t>
  </si>
  <si>
    <t>Zenodo; Google Drive</t>
  </si>
  <si>
    <t>https://imig.science/midog2021/download-dataset/</t>
  </si>
  <si>
    <t>midog2022</t>
  </si>
  <si>
    <t>MIDOG 2022</t>
  </si>
  <si>
    <t>Multi‑site (human/dog/cat)</t>
  </si>
  <si>
    <t>https://imig.science/midog</t>
  </si>
  <si>
    <t>https://doi.org/10.5281/zenodo.6362337</t>
  </si>
  <si>
    <t>https://zenodo.org/records/6547151</t>
  </si>
  <si>
    <t>Mini-DDSM.zip</t>
  </si>
  <si>
    <t>Mini-DDSM</t>
  </si>
  <si>
    <t>Mammography</t>
  </si>
  <si>
    <t>Classification; Segmentation</t>
  </si>
  <si>
    <t>Labels; Segmentation masks</t>
  </si>
  <si>
    <t>USA (from DDSM)</t>
  </si>
  <si>
    <t>https://www.kaggle.com/datasets/cheddad/miniddsm2</t>
  </si>
  <si>
    <t>https://arxiv.org/abs/2010.00494</t>
  </si>
  <si>
    <t>MITOS-ATYPIA-14</t>
  </si>
  <si>
    <t>Detection; Classification</t>
  </si>
  <si>
    <t>Point annotations (mitoses); Labels (atypia score)</t>
  </si>
  <si>
    <t>284 (20×) + 1,136 (40×) frames (train)</t>
  </si>
  <si>
    <t>20× and 40× magnification</t>
  </si>
  <si>
    <t>France</t>
  </si>
  <si>
    <t>https://mitos-atypia-14.grand-challenge.org</t>
  </si>
  <si>
    <t>https://mitos-atypia-14.grand-challenge.org/</t>
  </si>
  <si>
    <t>https://mitos-atypia-14.grand-challenge.org/Donwload/</t>
  </si>
  <si>
    <t>Post-NAT-BRCA</t>
  </si>
  <si>
    <t>SVS; XML</t>
  </si>
  <si>
    <t>20× (0.5 µm/px)</t>
  </si>
  <si>
    <t>Canada (Sunnybrook Health Sciences Centre)</t>
  </si>
  <si>
    <t>https://www.cancerimagingarchive.net/collection/post-nat-brca</t>
  </si>
  <si>
    <t>https://doi.org/10.7937/TCIA.2019.4YIBTJNO</t>
  </si>
  <si>
    <t>TCIA (Aspera)</t>
  </si>
  <si>
    <t>https://www.cancerimagingarchive.net/collection/post-nat-brca/</t>
  </si>
  <si>
    <t>QIN-Breast</t>
  </si>
  <si>
    <t>https://www.cancerimagingarchive.net/collection/qin-breast</t>
  </si>
  <si>
    <t>https://www.cancerimagingarchive.net/collection/qin-breast-dce-mri/</t>
  </si>
  <si>
    <t>QIN-Breast-02</t>
  </si>
  <si>
    <t>USA (VUMC; UChicago)</t>
  </si>
  <si>
    <t>https://www.cancerimagingarchive.net/collection/qin-breast-02</t>
  </si>
  <si>
    <t>https://doi.org/10.7937/TCIA.2019.4cfm06rr</t>
  </si>
  <si>
    <t>https://www.cancerimagingarchive.net/collection/qin-breast-02/</t>
  </si>
  <si>
    <t>RIDER_Breast_MRI</t>
  </si>
  <si>
    <t>RIDER Breast MRI</t>
  </si>
  <si>
    <t>https://www.cancerimagingarchive.net/collection/rider-breast-mri</t>
  </si>
  <si>
    <t>https://wiki.cancerimagingarchive.net/display/Public/RIDER+Collections</t>
  </si>
  <si>
    <t>https://www.cancerimagingarchive.net/collection/rider-breast-mri/</t>
  </si>
  <si>
    <t>RSNAScreeningMammographyBreastCancerDetection</t>
  </si>
  <si>
    <t>RSNA Screening Mammography Breast Cancer Detection</t>
  </si>
  <si>
    <t>Mammography (DBT)</t>
  </si>
  <si>
    <t>Bounding boxes</t>
  </si>
  <si>
    <t>2,596 (train) + 395 (val) DBT volumes</t>
  </si>
  <si>
    <t>USA (Duke Health)</t>
  </si>
  <si>
    <t>https://www.rsna.org/rsnai/ai-image-challenge/screening-mammography-breast-cancer-detection-ai-challenge</t>
  </si>
  <si>
    <t>https://arxiv.org/abs/2011.07995</t>
  </si>
  <si>
    <t>https://www.cancerimagingarchive.net/collection/bcs-dbt/</t>
  </si>
  <si>
    <t>sln-breast</t>
  </si>
  <si>
    <t>SLN-Breast</t>
  </si>
  <si>
    <t>SVS</t>
  </si>
  <si>
    <t>USA (MSKCC)</t>
  </si>
  <si>
    <t>https://www.cancerimagingarchive.net/collection/sln-breast</t>
  </si>
  <si>
    <t>https://doi.org/10.7937/tcia.2019.3xbn2jcc</t>
  </si>
  <si>
    <t>https://www.cancerimagingarchive.net/collection/sln-breast/</t>
  </si>
  <si>
    <t>TCGA-BRCA</t>
  </si>
  <si>
    <t>MRI; Mammography; Histopathology</t>
  </si>
  <si>
    <t>Labels; Segmentation (subset)</t>
  </si>
  <si>
    <t>DICOM; SVS</t>
  </si>
  <si>
    <t>2D/3D</t>
  </si>
  <si>
    <t>https://www.cancerimagingarchive.net/collection/tcga-brca</t>
  </si>
  <si>
    <t>https://www.cancerimagingarchive.net/collection/tcga-brca/</t>
  </si>
  <si>
    <t>TCIA; IDC</t>
  </si>
  <si>
    <t>TIGER</t>
  </si>
  <si>
    <t>Segmentation; Detection</t>
  </si>
  <si>
    <t>Segmentation masks; Point annotations; TIL scores</t>
  </si>
  <si>
    <t>277 WSI (195 ROIs + 82 TILs)</t>
  </si>
  <si>
    <t>SVS; TIFF</t>
  </si>
  <si>
    <t>0.5 µm/px (TCGA subset)</t>
  </si>
  <si>
    <t>Multi‑site (EU/US)</t>
  </si>
  <si>
    <t>https://tiger.grand-challenge.org</t>
  </si>
  <si>
    <t>https://arxiv.org/abs/2206.11943</t>
  </si>
  <si>
    <t>Amazon S3 (AWS Open Data); Grand Challenge</t>
  </si>
  <si>
    <t>https://tiger.grand-challenge.org/Data/</t>
  </si>
  <si>
    <t>TUPAC</t>
  </si>
  <si>
    <t>Classification (Proliferation score); Detection (Mitosis)</t>
  </si>
  <si>
    <t>Slide-level mitotic grade &amp; PAM50 proliferation; mitosis annotations (auxiliary)</t>
  </si>
  <si>
    <t>500 train WSIs; 321 test WSIs</t>
  </si>
  <si>
    <t>USA (TCGA main); Netherlands (auxiliary)</t>
  </si>
  <si>
    <t>https://tupac.grand-challenge.org</t>
  </si>
  <si>
    <t>arXiv:1807.08284 (TUPAC16)</t>
  </si>
  <si>
    <t>http://tupac.tue-image.nl</t>
  </si>
  <si>
    <t>UTA4</t>
  </si>
  <si>
    <t>Mammography; Ultrasound; MRI (DICOM)</t>
  </si>
  <si>
    <t>Portugal (Lisbon, Coimbra, HFF, Santa Maria)</t>
  </si>
  <si>
    <t>https://github.com/MIMBCD-UI/dataset-uta4-dicom</t>
  </si>
  <si>
    <t>AVI 2020 (doi:10.1145/3399715.3399744)</t>
  </si>
  <si>
    <t>GitHub; Kaggle; data.world</t>
  </si>
  <si>
    <t>https://mimbcd-ui.github.io/dataset-uta4-dicom</t>
  </si>
  <si>
    <t>4D-Lung</t>
  </si>
  <si>
    <t>4D Lung</t>
  </si>
  <si>
    <t>Lungs</t>
  </si>
  <si>
    <t>CT, RTSTRUCT</t>
  </si>
  <si>
    <t>Radiotherapy planning, Segmentation</t>
  </si>
  <si>
    <t>Delineations</t>
  </si>
  <si>
    <t>4D</t>
  </si>
  <si>
    <t>USA (MD Anderson)</t>
  </si>
  <si>
    <t>https://www.cancerimagingarchive.net/collection/4d-lung</t>
  </si>
  <si>
    <t>TCIA 4D-Lung collection</t>
  </si>
  <si>
    <t>4DCT</t>
  </si>
  <si>
    <t>requested access</t>
  </si>
  <si>
    <t>Registration, Segmentation</t>
  </si>
  <si>
    <t>Landmarks, Registration pairs</t>
  </si>
  <si>
    <t>256×256×94 to 512×512×128</t>
  </si>
  <si>
    <t>https://med.emory.edu/departments/radiation-oncology/research-laboratories/deformable-image-registration/downloads-and-reference-data/4dct.html</t>
  </si>
  <si>
    <t>Emory 4DCT dataset</t>
  </si>
  <si>
    <t>Emory</t>
  </si>
  <si>
    <t>ACRIN-NSCLC-FDG-PET</t>
  </si>
  <si>
    <t>PT, CT, NM, MR, CR, DX, SC</t>
  </si>
  <si>
    <t>Survival analysis, Classification</t>
  </si>
  <si>
    <t>https://www.cancerimagingarchive.net/collection/acrin-nsclc-fdg-pet</t>
  </si>
  <si>
    <t>ACRIN 6668 trial dataset</t>
  </si>
  <si>
    <t>Airway</t>
  </si>
  <si>
    <t>Segmentation, Centerline extraction</t>
  </si>
  <si>
    <t>Airway segmentation</t>
  </si>
  <si>
    <t>MHD</t>
  </si>
  <si>
    <t>Unknown</t>
  </si>
  <si>
    <t>https://datadryad.org/stash/dataset/doi:10.5061/dryad.mj76c</t>
  </si>
  <si>
    <t>Dryad Airway dataset</t>
  </si>
  <si>
    <t>Dryad</t>
  </si>
  <si>
    <t>ANODE09.zip</t>
  </si>
  <si>
    <t>ANODE09</t>
  </si>
  <si>
    <t>Nodule detection</t>
  </si>
  <si>
    <t>Coordinates</t>
  </si>
  <si>
    <t>https://anode09.grand-challenge.org/</t>
  </si>
  <si>
    <t>ANODE09 challenge</t>
  </si>
  <si>
    <t>BIMCV-COVID-19</t>
  </si>
  <si>
    <t>positive server, neg todo</t>
  </si>
  <si>
    <t>BIMCV COVID-19</t>
  </si>
  <si>
    <t>CR, DX, CT</t>
  </si>
  <si>
    <t>Labels, Segmentation masks, Radiological findings</t>
  </si>
  <si>
    <t>MIDS</t>
  </si>
  <si>
    <t>Valencia, Spain</t>
  </si>
  <si>
    <t>https://github.com/BIMCV-CSUSP/BIMCV-COVID-19</t>
  </si>
  <si>
    <t>BIMCV COVID-19+ dataset paper</t>
  </si>
  <si>
    <t>BrixIA</t>
  </si>
  <si>
    <t>CR, DX</t>
  </si>
  <si>
    <t>Severity scoring</t>
  </si>
  <si>
    <t>Brixia scores, Segmentation masks</t>
  </si>
  <si>
    <t>Brescia, Italy</t>
  </si>
  <si>
    <t>https://brixia.github.io</t>
  </si>
  <si>
    <t>BrixIA dataset</t>
  </si>
  <si>
    <t>BSTI COVID19</t>
  </si>
  <si>
    <t>UK</t>
  </si>
  <si>
    <t>https://www.bsti.org.uk/training-and-education/covid-19-bsti-imaging-database</t>
  </si>
  <si>
    <t>BSTI COVID-19 database summary</t>
  </si>
  <si>
    <t>BSTI</t>
  </si>
  <si>
    <t>CANDID-PTX</t>
  </si>
  <si>
    <t>Segmentation masks (RLE), Labels</t>
  </si>
  <si>
    <t>1024×1024</t>
  </si>
  <si>
    <t>Dunedin, New Zealand</t>
  </si>
  <si>
    <t>https://auckland.figshare.com/articles/dataset/CANDID-PTX/14173982</t>
  </si>
  <si>
    <t>CANDID-PTX figshare</t>
  </si>
  <si>
    <t>Figshare</t>
  </si>
  <si>
    <t>chest-xray-pneumonia.zip</t>
  </si>
  <si>
    <t>Chest X-Ray Images (Pneumonia)</t>
  </si>
  <si>
    <t>https://www.kaggle.com/datasets/paultimothymooney/chest-xray-pneumonia</t>
  </si>
  <si>
    <t>Kaggle Chest X-Ray Pneumonia dataset</t>
  </si>
  <si>
    <t>Chest XR COVID-19 detection</t>
  </si>
  <si>
    <t>https://cxr-covid19.grand-challenge.org</t>
  </si>
  <si>
    <t>Grand Challenge Chest XR COVID-19 detection</t>
  </si>
  <si>
    <t>ChestX-Det</t>
  </si>
  <si>
    <t>Bounding boxes, Segmentation polygons</t>
  </si>
  <si>
    <t>China</t>
  </si>
  <si>
    <t>https://github.com/Deepwise-AILab/ChestX-Det-Dataset</t>
  </si>
  <si>
    <t>ChestX-Det dataset</t>
  </si>
  <si>
    <t>ChestX-ray8</t>
  </si>
  <si>
    <t>Classification, Localization</t>
  </si>
  <si>
    <t>Labels, Bounding boxes</t>
  </si>
  <si>
    <t>USA (NIH)</t>
  </si>
  <si>
    <t>https://www.nih.gov/news-events/news-releases/nih-clinical-center-provides-one-largest-publicly-available-chest-x-ray-datasets-scientific-community</t>
  </si>
  <si>
    <t>ChestX-ray8 paper</t>
  </si>
  <si>
    <t>NIH</t>
  </si>
  <si>
    <t>Stamp: ChestXray-14</t>
  </si>
  <si>
    <t>ChestX-ray14</t>
  </si>
  <si>
    <t>Labels (14 pathologies)</t>
  </si>
  <si>
    <t>https://www.v7labs.com/open-datasets/chestx-ray14</t>
  </si>
  <si>
    <t>ChestX-ray14 dataset (112,120 images)</t>
  </si>
  <si>
    <t>V7</t>
  </si>
  <si>
    <t>CheXlocalize</t>
  </si>
  <si>
    <t>Segmentation, Localization</t>
  </si>
  <si>
    <t>Pixel-level segmentations, Representative points</t>
  </si>
  <si>
    <t>USA (Stanford)</t>
  </si>
  <si>
    <t>https://stanfordaimi.azurewebsites.net/datasets/23c56a0d-15de-405b-87c8-99c30138950c</t>
  </si>
  <si>
    <t>CheXlocalize dataset (Nature Machine Intelligence 2022)</t>
  </si>
  <si>
    <t>Stanford AIMI</t>
  </si>
  <si>
    <t>CheXmask</t>
  </si>
  <si>
    <t>Lung and heart segmentation masks (RLE)</t>
  </si>
  <si>
    <t>657,566 masks</t>
  </si>
  <si>
    <t>RLE (masks)</t>
  </si>
  <si>
    <t>Multiple countries (aggregated)</t>
  </si>
  <si>
    <t>https://physionet.org/content/chexmask-cxr-segmentation-data</t>
  </si>
  <si>
    <t>PhysioNet</t>
  </si>
  <si>
    <t>CheXphoto</t>
  </si>
  <si>
    <t>Labels for 14 pathologies</t>
  </si>
  <si>
    <t>11,409 photos (10,507 train, 234 val, 668 test)</t>
  </si>
  <si>
    <t>Stanford, USA</t>
  </si>
  <si>
    <t>https://stanfordaimi.azurewebsites.net/datasets/f1577fbd-6f5c-417e-be81-850939f90daa</t>
  </si>
  <si>
    <t>CMB-LCA</t>
  </si>
  <si>
    <t>CT, MR, PT, NM, DX, US</t>
  </si>
  <si>
    <t>138,175 images</t>
  </si>
  <si>
    <t>United States</t>
  </si>
  <si>
    <t>https://www.cancerimagingarchive.net/collection/cmb-lca</t>
  </si>
  <si>
    <t>COPDgene</t>
  </si>
  <si>
    <t>Registration</t>
  </si>
  <si>
    <t>Manual landmark coordinates</t>
  </si>
  <si>
    <t>10 cases (inspiratory/expiratory pairs)</t>
  </si>
  <si>
    <t>DICOM/Metaheader</t>
  </si>
  <si>
    <t>Various (e.g., 512×512×121; voxel 0.97×0.97×2.5 mm)</t>
  </si>
  <si>
    <t>3D/4D</t>
  </si>
  <si>
    <t>MD Anderson &amp; Emory (USA)</t>
  </si>
  <si>
    <t>https://med.emory.edu/departments/radiation-oncology/research-laboratories/deformable-image-registration/downloads-and-reference-data/copdgene.html</t>
  </si>
  <si>
    <t>Emory University</t>
  </si>
  <si>
    <t>COVID-19-20</t>
  </si>
  <si>
    <t>Lesion segmentation masks</t>
  </si>
  <si>
    <t>295 CT cases (199 train, 50 validation, 46 test)</t>
  </si>
  <si>
    <t>NIfTI/DICOM</t>
  </si>
  <si>
    <t>512×512</t>
  </si>
  <si>
    <t>Multiple countries</t>
  </si>
  <si>
    <t>https://covid-segmentation.grand-challenge.org</t>
  </si>
  <si>
    <t>COVID-19-AR</t>
  </si>
  <si>
    <t>CT, CR, DX</t>
  </si>
  <si>
    <t>Clinical metadata</t>
  </si>
  <si>
    <t>105 patients</t>
  </si>
  <si>
    <t>31,935 images</t>
  </si>
  <si>
    <t>Arkansas, USA</t>
  </si>
  <si>
    <t>https://www.cancerimagingarchive.net/collection/covid-19-ar</t>
  </si>
  <si>
    <t>covid-chest-xray.zip</t>
  </si>
  <si>
    <t>COVID-19 chest xray</t>
  </si>
  <si>
    <t>X-ray/CT</t>
  </si>
  <si>
    <t>Labels (COVID vs others)</t>
  </si>
  <si>
    <t>359 images</t>
  </si>
  <si>
    <t>JPEG/PNG</t>
  </si>
  <si>
    <t>Global</t>
  </si>
  <si>
    <t>https://www.kaggle.com/datasets/bachrr/covid-chest-xray</t>
  </si>
  <si>
    <t>COVID-19 CT Images Segmentation</t>
  </si>
  <si>
    <t>Pixel-level masks (ground glass, consolidation, lungs other, background)</t>
  </si>
  <si>
    <t>109 CT studies (100 training slices + 9 volumetric cases)</t>
  </si>
  <si>
    <t>≈929 slices</t>
  </si>
  <si>
    <t>PNG/NPY</t>
  </si>
  <si>
    <t>https://www.kaggle.com/competitions/covid-segmentation</t>
  </si>
  <si>
    <t>COVID-19 CT Lung and Infection</t>
  </si>
  <si>
    <t>Left lung, right lung and infection masks</t>
  </si>
  <si>
    <t>20 CT scans</t>
  </si>
  <si>
    <t>https://zenodo.org/records/3757476</t>
  </si>
  <si>
    <t>covid19-ct-scans.zip</t>
  </si>
  <si>
    <t>COVID-19 CT scans</t>
  </si>
  <si>
    <t>Lung and infection masks</t>
  </si>
  <si>
    <t>NIfTI/NPY</t>
  </si>
  <si>
    <t>https://www.kaggle.com/datasets/andrewmvd/covid19-ct-scans</t>
  </si>
  <si>
    <t>covid19-image-dataset.zip</t>
  </si>
  <si>
    <t>Covid-19 Image</t>
  </si>
  <si>
    <t>Labels (COVID-19, Viral pneumonia, Normal)</t>
  </si>
  <si>
    <t>317 images (137 COVID-19)</t>
  </si>
  <si>
    <t>https://www.kaggle.com/datasets/pranavraikokte/covid19-image-dataset</t>
  </si>
  <si>
    <t>/mnt/data-nas/med_anant/covid19-IR</t>
  </si>
  <si>
    <t>COVID-19 Image Repository</t>
  </si>
  <si>
    <t>Hannover, Germany</t>
  </si>
  <si>
    <t>https://data.uni-hannover.de/dataset/cov-19-img</t>
  </si>
  <si>
    <t>Hannover Medical School</t>
  </si>
  <si>
    <t>/mnt/data-nas/med_anant</t>
  </si>
  <si>
    <t>Covid-19 Infection Percentage Estimation</t>
  </si>
  <si>
    <t>Regression, Segmentation</t>
  </si>
  <si>
    <t>Infection masks and percentage labels</t>
  </si>
  <si>
    <t>189 patients (132 train, 57 validation)</t>
  </si>
  <si>
    <t>3054 training slices</t>
  </si>
  <si>
    <t>DICOM/NIfTI</t>
  </si>
  <si>
    <t>Two hospitals</t>
  </si>
  <si>
    <t>https://codalab.lisn.upsaclay.fr/competitions/7065</t>
  </si>
  <si>
    <t>CodaLab</t>
  </si>
  <si>
    <t>/mnt/data-nas/med_anant/TCIA-DICOM/COVID-19-NY-SBU</t>
  </si>
  <si>
    <t>COVID-19-NY-SBU</t>
  </si>
  <si>
    <t>CT, CR, DX, MR, SR, NM, PT, OT</t>
  </si>
  <si>
    <t>562,376 images</t>
  </si>
  <si>
    <t>Stony Brook University, NY, USA</t>
  </si>
  <si>
    <t>https://www.cancerimagingarchive.net/collection/covid-19-ny-sbu</t>
  </si>
  <si>
    <t>COVID-19 Radiography Database</t>
  </si>
  <si>
    <t>Labels (COVID-19, Normal, Viral Pneumonia)</t>
  </si>
  <si>
    <t>2,905 images</t>
  </si>
  <si>
    <t>Italy &amp; global</t>
  </si>
  <si>
    <t>https://www.kaggle.com/datasets/tawsifurrahman/covid19-radiography-database</t>
  </si>
  <si>
    <t>COVID-19 Ultrasound</t>
  </si>
  <si>
    <t>Severity scores; segmentation masks for subset</t>
  </si>
  <si>
    <t>&gt;200 videos</t>
  </si>
  <si>
    <t>Video (MP4)</t>
  </si>
  <si>
    <t>2D (time-series)</t>
  </si>
  <si>
    <t>https://github.com/jannisborn/covid19_ultrasound</t>
  </si>
  <si>
    <t>COVID-19 xray</t>
  </si>
  <si>
    <t>Detection, Segmentation</t>
  </si>
  <si>
    <t>Bounding boxes and segmentation masks</t>
  </si>
  <si>
    <t>654 images (481 PA/AP + 173 supine)</t>
  </si>
  <si>
    <t>https://github.com/v7labs/covid-19-xray-dataset</t>
  </si>
  <si>
    <t>COVID-BLUES</t>
  </si>
  <si>
    <t>Severity scores</t>
  </si>
  <si>
    <t>371 videos from 63 patients</t>
  </si>
  <si>
    <t>Video</t>
  </si>
  <si>
    <t>https://github.com/NinaWie/COVID-BLUES</t>
  </si>
  <si>
    <t>COVID-ChestXRay</t>
  </si>
  <si>
    <t>X-ray, CT</t>
  </si>
  <si>
    <t>Classification, Detection</t>
  </si>
  <si>
    <t>Bounding boxes, segmentation masks</t>
  </si>
  <si>
    <t>931 images, 20 CT volumes</t>
  </si>
  <si>
    <t>JPG, NIfTI</t>
  </si>
  <si>
    <t>https://github.com/ieee8023/covid-chestxray-dataset</t>
  </si>
  <si>
    <t>COVID-CT-MD</t>
  </si>
  <si>
    <t>Slice-level infection labels</t>
  </si>
  <si>
    <t>305 patients (169 COVID, 60 CAP, 76 normal)</t>
  </si>
  <si>
    <t>23,349 labelled slices (4,957 infection + 18,392 non-infection)</t>
  </si>
  <si>
    <t>https://github.com/ShahinSHH/COVID-CT-MD</t>
  </si>
  <si>
    <t>GitHub/Figshare</t>
  </si>
  <si>
    <t>COVID-CTset</t>
  </si>
  <si>
    <t>Labels (COVID vs normal)</t>
  </si>
  <si>
    <t>377 patients (95 COVID, 282 normal)</t>
  </si>
  <si>
    <t>63,849 slices (15,589 COVID, 48,260 normal)</t>
  </si>
  <si>
    <t>TIFF (16-bit)</t>
  </si>
  <si>
    <t>Negin Medical Center, Iran</t>
  </si>
  <si>
    <t>https://github.com/mr7495/COVID-CTset</t>
  </si>
  <si>
    <t>COVID19-CT</t>
  </si>
  <si>
    <t>Labels (COVID vs non-COVID)</t>
  </si>
  <si>
    <t>216 patients with 349 CT images</t>
  </si>
  <si>
    <t>Global (preprint articles)</t>
  </si>
  <si>
    <t>https://dataverse.harvard.edu/dataset.xhtml?persistentId=doi:10.7910/DVN/6ACUZJ</t>
  </si>
  <si>
    <t>GitHub/Harvard Dataverse</t>
  </si>
  <si>
    <t>COVIDx</t>
  </si>
  <si>
    <t>Labels (COVID-19, Pneumonia, Normal)</t>
  </si>
  <si>
    <t>13,870 patient cases</t>
  </si>
  <si>
    <t>13,975 images</t>
  </si>
  <si>
    <t>https://github.com/lindawangg/COVID-Net/blob/master/docs/COVIDx.md</t>
  </si>
  <si>
    <t>/mnt/data-nas/med_anant/TCIA/CIC19</t>
  </si>
  <si>
    <t>CPTAC-LSCC</t>
  </si>
  <si>
    <t>CT, PT, Histopathology</t>
  </si>
  <si>
    <t>≈51,000 images (radiology)</t>
  </si>
  <si>
    <t>https://www.cancerimagingarchive.net/collection/cptac-lscc</t>
  </si>
  <si>
    <t>CT Images in COVID-19</t>
  </si>
  <si>
    <t>CT, Histopathology</t>
  </si>
  <si>
    <t>661 subjects (632 + 29)</t>
  </si>
  <si>
    <t>https://www.cancerimagingarchive.net/collection/ct-images-in-covid-19</t>
  </si>
  <si>
    <t>MSD Pancreas Tumour</t>
  </si>
  <si>
    <t>Abdomen</t>
  </si>
  <si>
    <t>512x512x37 to 512x512x751</t>
  </si>
  <si>
    <t>MSD Hepatic Vessel</t>
  </si>
  <si>
    <t>512x512x24 to 512x512x181</t>
  </si>
  <si>
    <t>https://drive.google.com/drive/folders/1HqEgzS8BV2c7xYNrZdEAnrHk7osJJ--2?usp=sharing</t>
  </si>
  <si>
    <t>MSD Spleen</t>
  </si>
  <si>
    <t>512x512x31 to 512x512x168</t>
  </si>
  <si>
    <t>MSD Colon Cancer</t>
  </si>
  <si>
    <t>512x512x37 to 512x512x729</t>
  </si>
  <si>
    <t>MSD Prostate</t>
  </si>
  <si>
    <t>256x256x11 to 384x384x24</t>
  </si>
  <si>
    <t>EMPIRE10</t>
  </si>
  <si>
    <t>Binary lung masks</t>
  </si>
  <si>
    <t>30 pairs (~30 subjects)</t>
  </si>
  <si>
    <t>60 scans</t>
  </si>
  <si>
    <t>≈512×512, 1 mm spacing</t>
  </si>
  <si>
    <t>Multiple hospitals</t>
  </si>
  <si>
    <t>https://empire10.grand-challenge.org</t>
  </si>
  <si>
    <t>EMPIRE10 challenge (2010)</t>
  </si>
  <si>
    <t>EXACT09</t>
  </si>
  <si>
    <t>Airway trees &amp; masks</t>
  </si>
  <si>
    <t>40 cases</t>
  </si>
  <si>
    <t>DICOM/MHD</t>
  </si>
  <si>
    <t>Varies (~0.5 mm)</t>
  </si>
  <si>
    <t>Multiple sites</t>
  </si>
  <si>
    <t>http://image.diku.dk/exact</t>
  </si>
  <si>
    <t>EXACT09 challenge</t>
  </si>
  <si>
    <t>EXACT challenge</t>
  </si>
  <si>
    <t>Indiana U. Chest X-rays</t>
  </si>
  <si>
    <t>X‑ray</t>
  </si>
  <si>
    <t>Report generation / classification</t>
  </si>
  <si>
    <t>Radiology reports</t>
  </si>
  <si>
    <t>3,955 studies</t>
  </si>
  <si>
    <t>7,470 images</t>
  </si>
  <si>
    <t>Up to 2048×2048</t>
  </si>
  <si>
    <t>https://www.kaggle.com/datasets/raddar/chest-xrays-indiana-university</t>
  </si>
  <si>
    <t>IU Chest X‑ray dataset</t>
  </si>
  <si>
    <t>Open‑I / Kaggle</t>
  </si>
  <si>
    <t>https://service.tib.eu/ldmservice/dataset/iu-x-ray-dataset</t>
  </si>
  <si>
    <t>INSPECT</t>
  </si>
  <si>
    <t>CT (CTPA) + EHR + reports</t>
  </si>
  <si>
    <t>Diagnosis &amp; prognosis</t>
  </si>
  <si>
    <t>Radiology reports &amp; EHR labels</t>
  </si>
  <si>
    <t>19,402 patients (23,248 studies)</t>
  </si>
  <si>
    <t>DICOM &amp; tabular</t>
  </si>
  <si>
    <t>512×512 (CT)</t>
  </si>
  <si>
    <t>United States (Stanford)</t>
  </si>
  <si>
    <t>https://som-shahlab.github.io/inspect-website</t>
  </si>
  <si>
    <t>INSPECT dataset (2023)</t>
  </si>
  <si>
    <t>Stanford AIMI (Azure/Redivis)</t>
  </si>
  <si>
    <t>IQ-OTH/NCCD</t>
  </si>
  <si>
    <t>Case labels (malignant/benign/normal)</t>
  </si>
  <si>
    <t>110 cases</t>
  </si>
  <si>
    <t>1,190 slices</t>
  </si>
  <si>
    <t>512×512, 1 mm slices</t>
  </si>
  <si>
    <t>Iraq</t>
  </si>
  <si>
    <t>https://www.kaggle.com/datasets/hamdallak/the-iqothnccd-lung-cancer-dataset</t>
  </si>
  <si>
    <t>Al-Shabi et al., 2020 (Mendeley)</t>
  </si>
  <si>
    <t>https://data.mendeley.com/datasets/bhmdr45bh2/1</t>
  </si>
  <si>
    <t>/mnt/data-nas/medical_datasets/TCIA-DICOM/LCTSC</t>
  </si>
  <si>
    <t>LCTSC</t>
  </si>
  <si>
    <t>Organ-at-risk contours (esophagus, heart, lungs, spinal cord)</t>
  </si>
  <si>
    <t>60 subjects</t>
  </si>
  <si>
    <t>9,593 images</t>
  </si>
  <si>
    <t>DICOM (CT &amp; RTSTRUCT)</t>
  </si>
  <si>
    <t>Multiple institutions</t>
  </si>
  <si>
    <t>https://www.cancerimagingarchive.net/collection/lctsc</t>
  </si>
  <si>
    <t>AAPM thoracic auto‑segmentation challenge</t>
  </si>
  <si>
    <t>https://www.cancerimagingarchive.net/collection/lctsc/</t>
  </si>
  <si>
    <t>/mnt/data-nas/med_anant/LOLA11</t>
  </si>
  <si>
    <t>LOLA11</t>
  </si>
  <si>
    <t>Lung and lobe segmentation</t>
  </si>
  <si>
    <t>Manual lung &amp; lobe masks</t>
  </si>
  <si>
    <t>55 scans</t>
  </si>
  <si>
    <t>.mha</t>
  </si>
  <si>
    <t>Max slice spacing 1.5 mm</t>
  </si>
  <si>
    <t>Multiple sources</t>
  </si>
  <si>
    <t>https://lola11.grand-challenge.org/</t>
  </si>
  <si>
    <t>LOLA11 challenge (MICCAI 2011)</t>
  </si>
  <si>
    <t>Grand Challenge / Zenodo</t>
  </si>
  <si>
    <t>https://lola11.grand-challenge.org/Details/</t>
  </si>
  <si>
    <t>/mnt/data-nas/med_anant/LUMIC</t>
  </si>
  <si>
    <t>LUMIC</t>
  </si>
  <si>
    <t>CT (digital phantom)</t>
  </si>
  <si>
    <t>Lung mask &amp; displacement field</t>
  </si>
  <si>
    <t>1 phantom (multiple scans)</t>
  </si>
  <si>
    <t>Simulated (XCAT phantom)</t>
  </si>
  <si>
    <t>https://lumic.grand-challenge.org</t>
  </si>
  <si>
    <t>LUMIC registration challenge</t>
  </si>
  <si>
    <t>https://lumic.grand-challenge.org/Dataset/</t>
  </si>
  <si>
    <t xml:space="preserve">/mnt/data-nas/medical_datasets/TCIA/Lung-Fused-CT-Pathology
</t>
  </si>
  <si>
    <t>Lung-Fused-CT-Pathology</t>
  </si>
  <si>
    <t>CT &amp; histopathology</t>
  </si>
  <si>
    <t>Registration / segmentation</t>
  </si>
  <si>
    <t>Tumor compartments mapped on CT &amp; path slides</t>
  </si>
  <si>
    <t>6 subjects</t>
  </si>
  <si>
    <t>11,210 CT images</t>
  </si>
  <si>
    <t>DICOM (CT &amp; SEG), TIFF (WSI)</t>
  </si>
  <si>
    <t>512×512 (CT); high‑res pathology</t>
  </si>
  <si>
    <t>3D (CT), 2D (WSI)</t>
  </si>
  <si>
    <t>https://www.cancerimagingarchive.net/collection/lung-fused-ct-pathology</t>
  </si>
  <si>
    <t>Rusu et al., European Radiology 2017</t>
  </si>
  <si>
    <t>https://www.cancerimagingarchive.net/collection/lung-fused-ct-pathology/</t>
  </si>
  <si>
    <t>/mnt/data-nas/medical_datasets/TCIA-DICOM/Lung-PET-CT-Dx</t>
  </si>
  <si>
    <t>Lung-PET-CT-Dx</t>
  </si>
  <si>
    <t>Detection &amp; classification</t>
  </si>
  <si>
    <t>Radiologist bounding boxes &amp; clinical labels</t>
  </si>
  <si>
    <t>251,135 images</t>
  </si>
  <si>
    <t>CT 512×512×1 mm, PET 200×200×4.07 mm</t>
  </si>
  <si>
    <t>Multiple sites (international)</t>
  </si>
  <si>
    <t>https://www.cancerimagingarchive.net/collection/lung-pet-ct-dx</t>
  </si>
  <si>
    <t>Lung PET‑CT Dx dataset (TCIA)</t>
  </si>
  <si>
    <t>https://www.cancerimagingarchive.net/collection/lung-pet-ct-dx/</t>
  </si>
  <si>
    <t>MedSeg Covid Dataset</t>
  </si>
  <si>
    <t>Masks for ground‑glass, consolidation &amp; pleural effusion</t>
  </si>
  <si>
    <t>&gt;40 patients (~100 slices &amp; 9 volumes)</t>
  </si>
  <si>
    <t>~929 slices</t>
  </si>
  <si>
    <t>.nii.gz</t>
  </si>
  <si>
    <t>512×512 (dataset 1); variable (dataset 2)</t>
  </si>
  <si>
    <t>2D &amp; 3D</t>
  </si>
  <si>
    <t>International (SIRM &amp; Radiopaedia)</t>
  </si>
  <si>
    <t>https://figshare.com/articles/dataset/MedSeg_Covid_Dataset_1/13521488</t>
  </si>
  <si>
    <t>MedSeg COVID‑19 dataset</t>
  </si>
  <si>
    <t>Figshare / MedSeg</t>
  </si>
  <si>
    <t>https://medicalsegmentation.com/covid19/</t>
  </si>
  <si>
    <t>/mnt/data-nas/medical_datasets/MELA</t>
  </si>
  <si>
    <t>MELA</t>
  </si>
  <si>
    <t>Lesion detection</t>
  </si>
  <si>
    <t>Bounding boxes for mediastinal lesions</t>
  </si>
  <si>
    <t>1,100 scans</t>
  </si>
  <si>
    <t>1,100 CT volumes</t>
  </si>
  <si>
    <t>https://mela.grand-challenge.org</t>
  </si>
  <si>
    <t>MELa challenge</t>
  </si>
  <si>
    <t xml:space="preserve">/mnt/data-nas/med_anant/TCIA-DICOM/MIDRC-RICORD-1A
</t>
  </si>
  <si>
    <t>MIDRC-RICORD-1A</t>
  </si>
  <si>
    <t>Classification &amp; segmentation</t>
  </si>
  <si>
    <t>Segmentations &amp; diagnostic labels</t>
  </si>
  <si>
    <t>110 subjects (120 studies)</t>
  </si>
  <si>
    <t>31,856 images</t>
  </si>
  <si>
    <t>DICOM &amp; DICOM-SEG</t>
  </si>
  <si>
    <t>International (USA, China, Italy, Iran)</t>
  </si>
  <si>
    <t>https://www.cancerimagingarchive.net/collection/midrc-ricord-1a</t>
  </si>
  <si>
    <t>MIDRC RICORD Release 1a</t>
  </si>
  <si>
    <t>https://www.cancerimagingarchive.net/collection/midrc-ricord-1a/</t>
  </si>
  <si>
    <t xml:space="preserve">/mnt/data-nas/med_anant/TCIA-DICOM/MIDRC-RICORD-1B
</t>
  </si>
  <si>
    <t>MIDRC-RICORD-1B</t>
  </si>
  <si>
    <t>Clinical labels (COVID‑negative)</t>
  </si>
  <si>
    <t>117 subjects (120 studies)</t>
  </si>
  <si>
    <t>21,220 images</t>
  </si>
  <si>
    <t>International</t>
  </si>
  <si>
    <t>https://www.cancerimagingarchive.net/collection/midrc-ricord-1b</t>
  </si>
  <si>
    <t>MIDRC RICORD Release 1b</t>
  </si>
  <si>
    <t>https://www.cancerimagingarchive.net/collection/midrc-ricord-1b/</t>
  </si>
  <si>
    <t xml:space="preserve">/mnt/data-nas/med_anant/TCIA-DICOM/MIDRC-RICORD-1C
</t>
  </si>
  <si>
    <t>MIDRC-RICORD-1C</t>
  </si>
  <si>
    <t>Diagnostic labels &amp; severity grades</t>
  </si>
  <si>
    <t>361 subjects (998 exams)</t>
  </si>
  <si>
    <t>1,257 images</t>
  </si>
  <si>
    <t>Varies</t>
  </si>
  <si>
    <t>https://www.cancerimagingarchive.net/collection/midrc-ricord-1c</t>
  </si>
  <si>
    <t>MIDRC RICORD Release 1c</t>
  </si>
  <si>
    <t>https://www.cancerimagingarchive.net/collection/midrc-ricord-1c/</t>
  </si>
  <si>
    <t>NLST</t>
  </si>
  <si>
    <t>CT &amp; Histopathology</t>
  </si>
  <si>
    <t>Screening &amp; classification</t>
  </si>
  <si>
    <t>Diagnostic outcomes &amp; histology slides</t>
  </si>
  <si>
    <t>26,254 subjects</t>
  </si>
  <si>
    <t>21,082,265 CT images (plus 51,462 slides)</t>
  </si>
  <si>
    <t>DICOM (CT), SVS (histology)</t>
  </si>
  <si>
    <t>https://www.cancerimagingarchive.net/collection/nlst</t>
  </si>
  <si>
    <t>NLST trial dataset</t>
  </si>
  <si>
    <t>https://www.cancerimagingarchive.net/collection/nlst/</t>
  </si>
  <si>
    <t>NODE21</t>
  </si>
  <si>
    <t>Nodule detection &amp; generation</t>
  </si>
  <si>
    <t>Bounding boxes &amp; labels</t>
  </si>
  <si>
    <t>4,882 images</t>
  </si>
  <si>
    <t>4,882</t>
  </si>
  <si>
    <t>DICOM/PNG &amp; .mha</t>
  </si>
  <si>
    <t>Japan, Spain &amp; USA</t>
  </si>
  <si>
    <t>https://node21.grand-challenge.org</t>
  </si>
  <si>
    <t>NODE21 challenge</t>
  </si>
  <si>
    <t>NSCLC Radiogenomics</t>
  </si>
  <si>
    <t>CT &amp; PET/CT</t>
  </si>
  <si>
    <t>Radiogenomic analysis &amp; segmentation</t>
  </si>
  <si>
    <t>Tumor segmentations &amp; genomic data</t>
  </si>
  <si>
    <t>286,754 images</t>
  </si>
  <si>
    <t>United States (multiple)</t>
  </si>
  <si>
    <t>https://www.cancerimagingarchive.net/collection/nsclc-radiogenomics</t>
  </si>
  <si>
    <t>NSCLC radiogenomics dataset</t>
  </si>
  <si>
    <t>https://www.cancerimagingarchive.net/collection/nsclc-radiogenomics/</t>
  </si>
  <si>
    <t>NSCLC Radiogenomics-Stanford</t>
  </si>
  <si>
    <t>Radiogenomic analysis</t>
  </si>
  <si>
    <t>Tumor segmentation &amp; microarray expression</t>
  </si>
  <si>
    <t>22,083 images</t>
  </si>
  <si>
    <t>https://www.cancerimagingarchive.net/analysis-result/nsclc-radiogenomics-stanford</t>
  </si>
  <si>
    <t>NSCLC radiogenomics–Stanford subset</t>
  </si>
  <si>
    <t>https://www.cancerimagingarchive.net/analysis-results/stanford-radiogenomics/</t>
  </si>
  <si>
    <t>/mnt/data-nas/medical_datasets/TCIA-DICOM/NSCLC-Radiomics</t>
  </si>
  <si>
    <t>NSCLC-Radiomics</t>
  </si>
  <si>
    <t>Radiomics &amp; segmentation</t>
  </si>
  <si>
    <t>3D tumor delineations &amp; clinical data</t>
  </si>
  <si>
    <t>422 subjects</t>
  </si>
  <si>
    <t>52,073 images</t>
  </si>
  <si>
    <t>Netherlands / USA</t>
  </si>
  <si>
    <t>https://www.cancerimagingarchive.net/collection/nsclc-radiomics</t>
  </si>
  <si>
    <t>Aerts et al., 2014 (Lung1)</t>
  </si>
  <si>
    <t>https://www.cancerimagingarchive.net/collection/nsclc-radiomics/</t>
  </si>
  <si>
    <t>/mnt/data-nas/medical_datasets/TCIA-DICOM/NSCLC-Radiomics-Interobserver1</t>
  </si>
  <si>
    <t>NSCLC-Radiomics-Interobserver1</t>
  </si>
  <si>
    <t>Interobserver variability &amp; segmentation</t>
  </si>
  <si>
    <t>Multiple GTV contours by five oncologists</t>
  </si>
  <si>
    <t>22 subjects</t>
  </si>
  <si>
    <t>3,886 images</t>
  </si>
  <si>
    <t>DICOM (CT &amp; SEG)</t>
  </si>
  <si>
    <t>Netherlands</t>
  </si>
  <si>
    <t>https://www.cancerimagingarchive.net/collection/nsclc-radiomics-interobserver1/</t>
  </si>
  <si>
    <t>NSCLC radiomics interobserver dataset</t>
  </si>
  <si>
    <t>/mnt/data-nas/medical_datasets/TCIA-DICOM/Phantom_FDA</t>
  </si>
  <si>
    <t>Phantom FDA</t>
  </si>
  <si>
    <t>Nodule measurement &amp; segmentation</t>
  </si>
  <si>
    <t>Synthetic nodule metadata &amp; measurement notes</t>
  </si>
  <si>
    <t>7 phantom settings</t>
  </si>
  <si>
    <t>1,468,751 images</t>
  </si>
  <si>
    <t>Varies (1–5 mm)</t>
  </si>
  <si>
    <t>https://www.cancerimagingarchive.net/collection/phantom-fda</t>
  </si>
  <si>
    <t>FDA phantom dataset</t>
  </si>
  <si>
    <t>https://www.cancerimagingarchive.net/collection/phantom-fda/</t>
  </si>
  <si>
    <t>Pulmonary Chest X-Ray Abnormalities</t>
  </si>
  <si>
    <t>Disease labels (TB, normal, etc.)</t>
  </si>
  <si>
    <t>&gt;500 scans (Shenzhen &amp; Montgomery)</t>
  </si>
  <si>
    <t>≈800 images</t>
  </si>
  <si>
    <t>PNG/JPEG</t>
  </si>
  <si>
    <t>High‑resolution (up to 4896×4896)</t>
  </si>
  <si>
    <t>China &amp; USA</t>
  </si>
  <si>
    <t>https://www.kaggle.com/datasets/kmader/pulmonary-chest-xray-abnormalities</t>
  </si>
  <si>
    <t>TB datasets (Shenzhen &amp; Montgomery)</t>
  </si>
  <si>
    <t>/mnt/data-nas/medical_datasets/TCIA-DICOM/RIDER_LUNG_CT</t>
  </si>
  <si>
    <t>RIDER Lung CT</t>
  </si>
  <si>
    <t>Repeatability study &amp; segmentation</t>
  </si>
  <si>
    <t>Lesion contours &amp; measurements</t>
  </si>
  <si>
    <t>32 patients</t>
  </si>
  <si>
    <t>81,548 images</t>
  </si>
  <si>
    <t>512×512, 1.25–5 mm slice thickness</t>
  </si>
  <si>
    <t>https://www.cancerimagingarchive.net/collection/rider-lung-ct</t>
  </si>
  <si>
    <t>RIDER lung CT dataset</t>
  </si>
  <si>
    <t>https://www.cancerimagingarchive.net/collection/rider-lung-ct/</t>
  </si>
  <si>
    <t>/mnt/data-nas/medical_datasets/RSNA_PD</t>
  </si>
  <si>
    <t>RSNA Pneumonia Detection</t>
  </si>
  <si>
    <t>Detection (bounding boxes) &amp; classification</t>
  </si>
  <si>
    <t>Bounding boxes &amp; class labels</t>
  </si>
  <si>
    <t>~30,000 images (26,684 training)</t>
  </si>
  <si>
    <t>30,000</t>
  </si>
  <si>
    <t>https://www.rsna.org/rsnai/ai-image-challenge/RSNA-Pneumonia-Detection-Challenge-2018</t>
  </si>
  <si>
    <t>RSNA pneumonia challenge dataset description</t>
  </si>
  <si>
    <t>RSNA / Kaggle</t>
  </si>
  <si>
    <t>https://www.rsna.org/rsnai/ai-image-challenge/rsna-pneumonia-detection-challenge-2018</t>
  </si>
  <si>
    <t>RSNA Pulmonary Embolism</t>
  </si>
  <si>
    <t>CT (CTPA)</t>
  </si>
  <si>
    <t>Classification (PE presence)</t>
  </si>
  <si>
    <t>Study &amp; image level labels (PE positive/negative, chronicity, RV/LV ratio)</t>
  </si>
  <si>
    <t>12,195 patients (9,446 exams in challenge)</t>
  </si>
  <si>
    <t>2,995,147 images</t>
  </si>
  <si>
    <t>2.5–3 mm slices</t>
  </si>
  <si>
    <t>International (5 institutions)</t>
  </si>
  <si>
    <t>https://www.rsna.org/rsnai/ai-image-challenge/rsna-pe-detection-challenge-2020</t>
  </si>
  <si>
    <t>Colak et al., 2021 (Radiology: AI)</t>
  </si>
  <si>
    <t>SHCXR Lung Mask</t>
  </si>
  <si>
    <t>https://www.kaggle.com/datasets/yoctoman/shcxr-lung-mask</t>
  </si>
  <si>
    <t>SIIM-ACR Pneumothorax Segmentation</t>
  </si>
  <si>
    <t>Pixel masks and binary labels for pneumothorax</t>
  </si>
  <si>
    <t>https://www.kaggle.com/c/siim-acr-pneumothorax-segmentation</t>
  </si>
  <si>
    <t>SIIM-ACR Pneumothorax Segmentation challenge page</t>
  </si>
  <si>
    <t>SIMBA</t>
  </si>
  <si>
    <t>Nodule detection; Classification</t>
  </si>
  <si>
    <t>1.25 mm slice thickness</t>
  </si>
  <si>
    <t>http://www.via.cornell.edu/databases/simbadb.html</t>
  </si>
  <si>
    <t>ELCAP Public Lung Image Database</t>
  </si>
  <si>
    <t>Cornell VIA</t>
  </si>
  <si>
    <t>/mnt/data-nas/medical_datasets/TCIA-DICOM/SPIE-AAPM</t>
  </si>
  <si>
    <t>SPIE-AAPM Lung CT Challenge</t>
  </si>
  <si>
    <t>Nodule classification; Detection</t>
  </si>
  <si>
    <t>Bounding box locations and diagnosis</t>
  </si>
  <si>
    <t>https://www.cancerimagingarchive.net/collection/spie-aapm-lung-ct-challenge</t>
  </si>
  <si>
    <t>SPIE-AAPM Lung CT Challenge (LUNGx)</t>
  </si>
  <si>
    <t>https://www.cancerimagingarchive.net/collection/lungx/</t>
  </si>
  <si>
    <t>STOIC2021</t>
  </si>
  <si>
    <t>COVID-19 detection and severity prediction</t>
  </si>
  <si>
    <t>COVID presence and severity labels</t>
  </si>
  <si>
    <t>MHA</t>
  </si>
  <si>
    <t>https://stoic2021.grand-challenge.org</t>
  </si>
  <si>
    <t>STOIC project training dataset</t>
  </si>
  <si>
    <t>/mnt/data-nas/medical_datasets/TCIA-DICOM/TCGA-LUAD</t>
  </si>
  <si>
    <t>TCGA-LUAD</t>
  </si>
  <si>
    <t>CT; PET; Nuclear medicine</t>
  </si>
  <si>
    <t>Radiogenomic analysis; Classification</t>
  </si>
  <si>
    <t>Genomic and clinical data</t>
  </si>
  <si>
    <t>https://www.cancerimagingarchive.net/collection/tcga-luad</t>
  </si>
  <si>
    <t>TCGA-LUAD collection</t>
  </si>
  <si>
    <t>https://www.cancerimagingarchive.net/collection/tcga-luad/</t>
  </si>
  <si>
    <t>/mnt/data-nas/medical_datasets/TCIA-DICOM/4D-Lung</t>
  </si>
  <si>
    <t>VAMPIRE</t>
  </si>
  <si>
    <t>CT; Ventilation scans</t>
  </si>
  <si>
    <t>CT ventilation imaging; Registration</t>
  </si>
  <si>
    <t>Ventilation images</t>
  </si>
  <si>
    <t>Australia; USA</t>
  </si>
  <si>
    <t>https://image-x.sydney.edu.au/vampire-challenge</t>
  </si>
  <si>
    <t>VAMPIRE challenge dataset</t>
  </si>
  <si>
    <t>Image-X Institute</t>
  </si>
  <si>
    <t>VIA/I-ELCAP</t>
  </si>
  <si>
    <t>http://www.via.cornell.edu/databases/crpf.html</t>
  </si>
  <si>
    <t>VinDr-PCXR</t>
  </si>
  <si>
    <t>Classification; Detection</t>
  </si>
  <si>
    <t>Bounding boxes; Image-level labels</t>
  </si>
  <si>
    <t>Vietnam</t>
  </si>
  <si>
    <t>https://physionet.org/content/vindr-pcxr</t>
  </si>
  <si>
    <t>VinDr-PCXR dataset</t>
  </si>
  <si>
    <t xml:space="preserve">Asked </t>
  </si>
  <si>
    <t>ADNI</t>
  </si>
  <si>
    <t>Brain</t>
  </si>
  <si>
    <t>MRI, PET</t>
  </si>
  <si>
    <t>Clinical, cognitive, genetic, biomarkers</t>
  </si>
  <si>
    <t>adni.loni.usc.edu</t>
  </si>
  <si>
    <t>/mnt/data-nas/med_anant/OAISIS</t>
  </si>
  <si>
    <t>OASIS</t>
  </si>
  <si>
    <t>Head and neck</t>
  </si>
  <si>
    <t>Clinical data, cognitive scores, segmentations</t>
  </si>
  <si>
    <t>oasis-brains.org</t>
  </si>
  <si>
    <t>https://dash.harvard.edu/bitstream/handle/1/33896768/Buckner_OpenAccess.pdf?sequence=2</t>
  </si>
  <si>
    <t>Other</t>
  </si>
  <si>
    <t>OpenNeuro (General)</t>
  </si>
  <si>
    <t>MRI, PET, EEG, MEG</t>
  </si>
  <si>
    <t>OpenNeuro</t>
  </si>
  <si>
    <t>Yes</t>
  </si>
  <si>
    <t>FOMO Challenge Dataset</t>
  </si>
  <si>
    <t>Self-Supervised Pretraining</t>
  </si>
  <si>
    <t>N/A</t>
  </si>
  <si>
    <t>https://fomo25.github.io/</t>
  </si>
  <si>
    <t>Huggingface</t>
  </si>
  <si>
    <t>https://huggingface.co/datasets/FOMO25/FOMO-MRI</t>
  </si>
  <si>
    <t>Partial</t>
  </si>
  <si>
    <t>MSseg08</t>
  </si>
  <si>
    <t>Head</t>
  </si>
  <si>
    <t>https://www.nitrc.org/projects/msseg</t>
  </si>
  <si>
    <t>https://www.researchgate.net/profile/Martin-Styner/publication/237785665_3D_Segmentation_in_the_Clinic_A_Grand_Challenge_II_MS_lesion_segmentation/links/02e7e528cc921cb769000000/3D-Segmentation-in-the-Clinic-A-Grand-Challenge-II-MS-lesion-segmentation.pdf</t>
  </si>
  <si>
    <t>http://www.ia.unc.edu/MSseg/index.html</t>
  </si>
  <si>
    <t>NITRC</t>
  </si>
  <si>
    <t>MRBrains13</t>
  </si>
  <si>
    <t>https://mrbrains13.isi.uu.nl/index.html</t>
  </si>
  <si>
    <t>https://onlinelibrary.wiley.com/doi/full/10.1155/2015/813696</t>
  </si>
  <si>
    <t>https://dataverse.nl/dataset.xhtml?persistentId=doi:10.34894/645ZIN</t>
  </si>
  <si>
    <t>DDTI</t>
  </si>
  <si>
    <t>Colombia</t>
  </si>
  <si>
    <t>https://www.kaggle.com/datasets/dasmehdixtr/ddti-thyroid-ultrasound-images</t>
  </si>
  <si>
    <t>https://www.spiedigitallibrary.org/conference-proceedings-of-spie/9287/92870W/An-open-access-thyroid-ultrasound-image-database/10.1117/12.2073532.short?SSO=1</t>
  </si>
  <si>
    <t>http://cimalab.intec.co/applications/thyroid/</t>
  </si>
  <si>
    <t>/mnt/data-nas/med_anant/ultrasound_nerve_seg</t>
  </si>
  <si>
    <t>Ultrasound Nerve Segmentation</t>
  </si>
  <si>
    <t>https://kaggle.com/competitions/ultrasound-nerve-segmentation</t>
  </si>
  <si>
    <t>https://www.kaggle.com/c/ultrasound-nerve-segmentation/data</t>
  </si>
  <si>
    <t>/mnt/data-nas/med_anant/TCIA/BraTS-TCGA-LGG</t>
  </si>
  <si>
    <t>BraTS-TCGA-LGG</t>
  </si>
  <si>
    <t>United States, Switzerland, Germany, Hungary, Italy, India</t>
  </si>
  <si>
    <t>https://www.med.upenn.edu/sbia/brats2017.html</t>
  </si>
  <si>
    <t>https://arxiv.org/abs/1811.02629</t>
  </si>
  <si>
    <t>https://www.cancerimagingarchive.net/analysis-result/brats-tcga-lgg/</t>
  </si>
  <si>
    <t>/mnt/data-nas/med_anant/TCIA/BraTS-TCGA-GBM</t>
  </si>
  <si>
    <t>BraTS-TCGA-GBM</t>
  </si>
  <si>
    <t>https://www.cancerimagingarchive.net/analysis-result/brats-tcga-gbm/</t>
  </si>
  <si>
    <t>PDDCA</t>
  </si>
  <si>
    <t>https://www.imagenglab.com/newsite/pddca/</t>
  </si>
  <si>
    <t>https://aapm.onlinelibrary.wiley.com/doi/10.1002/mp.12197</t>
  </si>
  <si>
    <t>ZuCo</t>
  </si>
  <si>
    <t>Eyes</t>
  </si>
  <si>
    <t>EEG</t>
  </si>
  <si>
    <t>EEG-to-text</t>
  </si>
  <si>
    <t>Canada, United States, United Kindom or Australia</t>
  </si>
  <si>
    <t>https://osf.io/q3zws/wiki/home/</t>
  </si>
  <si>
    <t>https://www.nature.com/articles/sdata2018291</t>
  </si>
  <si>
    <t>https://osf.io/q3zws/</t>
  </si>
  <si>
    <t>OSF</t>
  </si>
  <si>
    <t>iSeg</t>
  </si>
  <si>
    <t>https://iseg2019.web.unc.edu/</t>
  </si>
  <si>
    <t>https://ieeexplore.ieee.org/document/9339962</t>
  </si>
  <si>
    <t>https://iseg2019.web.unc.edu/data/</t>
  </si>
  <si>
    <t>StructSeg2019</t>
  </si>
  <si>
    <t>Organs of head and neck</t>
  </si>
  <si>
    <t>https://structseg2019.grand-challenge.org/</t>
  </si>
  <si>
    <t>https://structseg2019.grand-challenge.org/Download/</t>
  </si>
  <si>
    <t>MSD Brain</t>
  </si>
  <si>
    <t>AWS</t>
  </si>
  <si>
    <t>http://medicaldecathlon.com/dataaws/</t>
  </si>
  <si>
    <t>MSD Hippocampus</t>
  </si>
  <si>
    <t>Head CT-hemorrhage</t>
  </si>
  <si>
    <t>https://www.kaggle.com/datasets/felipekitamura/head-ct-hemorrhage</t>
  </si>
  <si>
    <t>/mnt/data-nas/med_anant/WMH</t>
  </si>
  <si>
    <t>WMH</t>
  </si>
  <si>
    <t>United States, Singapore, Netherlands</t>
  </si>
  <si>
    <t>https://dataverse.nl/dataset.xhtml?persistentId=doi:10.34894/AECRSD</t>
  </si>
  <si>
    <t>https://ieeexplore.ieee.org/document/8669968</t>
  </si>
  <si>
    <t>Dataverse</t>
  </si>
  <si>
    <t>OSCC</t>
  </si>
  <si>
    <t>Oral</t>
  </si>
  <si>
    <t>India</t>
  </si>
  <si>
    <t>https://data.mendeley.com/datasets/ftmp4cvtmb/1</t>
  </si>
  <si>
    <t>https://onlinelibrary.wiley.com/doi/full/10.1111/jmi.12611</t>
  </si>
  <si>
    <t>Mendeley</t>
  </si>
  <si>
    <t>TN-SCUI2020</t>
  </si>
  <si>
    <t>No</t>
  </si>
  <si>
    <t>https://tn-scui2020.grand-challenge.org/Home/</t>
  </si>
  <si>
    <t>https://zenodo.org/records/3715942#.XvBr7GgzaUk</t>
  </si>
  <si>
    <t>https://tn-scui2020.grand-challenge.org/Source_links/</t>
  </si>
  <si>
    <t>AAPM-RT-MAC</t>
  </si>
  <si>
    <t>https://www.aapm.org/GrandChallenge/RT-MAC/</t>
  </si>
  <si>
    <t>https://aapm.onlinelibrary.wiley.com/doi/full/10.1002/mp.13942</t>
  </si>
  <si>
    <t>https://www.cancerimagingarchive.net/collection/aapm-rt-mac/</t>
  </si>
  <si>
    <t>CrossMoDA2021</t>
  </si>
  <si>
    <t>United Kindom</t>
  </si>
  <si>
    <t>https://crossmoda.grand-challenge.org/</t>
  </si>
  <si>
    <t>https://www.medrxiv.org/content/10.1101/2021.08.04.21261588v1</t>
  </si>
  <si>
    <t>https://www.cancerimagingarchive.net/collection/vestibular-schwannoma-seg/</t>
  </si>
  <si>
    <t>https://github.com/KCL-BMEIS/VS_Seg</t>
  </si>
  <si>
    <t>BraTS21</t>
  </si>
  <si>
    <t>United States, Germany, Switzerland, Canada, Hungary, India</t>
  </si>
  <si>
    <t>https://www.synapse.org/#!Synapse:syn25829067/wiki/610863</t>
  </si>
  <si>
    <t>https://arxiv.org/abs/2107.02314, https://ieeexplore.ieee.org/document/6975210, https://www.nature.com/articles/sdata2017117</t>
  </si>
  <si>
    <t>Synapse</t>
  </si>
  <si>
    <t>https://www.synapse.org/#!Synapse:syn51514105</t>
  </si>
  <si>
    <t>ATLAS v2.0</t>
  </si>
  <si>
    <t>https://atlas.grand-challenge.org/</t>
  </si>
  <si>
    <t>https://www.nature.com/articles/s41597-022-01401-7</t>
  </si>
  <si>
    <t>https://fcon_1000.projects.nitrc.org/indi/retro/atlas.html</t>
  </si>
  <si>
    <t>FeTA 2022</t>
  </si>
  <si>
    <t>Switzerland</t>
  </si>
  <si>
    <t>https://feta.grand-challenge.org/</t>
  </si>
  <si>
    <t>https://arxiv.org/pdf/2010.15526, https://www.nature.com/articles/s41597-021-00946-3</t>
  </si>
  <si>
    <t>https://feta.grand-challenge.org/data-download/</t>
  </si>
  <si>
    <t>FeTA 2024</t>
  </si>
  <si>
    <t>Switzerland, Austria, United States, United Kindom</t>
  </si>
  <si>
    <t>https://fetachallenge.github.io</t>
  </si>
  <si>
    <t>https://www.nature.com/articles/s41597-021-00946-3</t>
  </si>
  <si>
    <t>https://fetachallenge.github.io/pages/Data_download</t>
  </si>
  <si>
    <t>BrainPTM</t>
  </si>
  <si>
    <t>Israel</t>
  </si>
  <si>
    <t>https://brainptm-2021.grand-challenge.org/</t>
  </si>
  <si>
    <t>https://ieeexplore.ieee.org/document/8906050</t>
  </si>
  <si>
    <t>https://brainptm-2021.grand-challenge.org/Dataset/</t>
  </si>
  <si>
    <t>UNC/UMN Baby Connectome Project</t>
  </si>
  <si>
    <t>cSeg 2022</t>
  </si>
  <si>
    <t>https://tarheels.live/cseg2022/</t>
  </si>
  <si>
    <t>https://tarheels.live/cseg2022/data/</t>
  </si>
  <si>
    <t>HECKTOR 2025</t>
  </si>
  <si>
    <t>HECKTOR 2022</t>
  </si>
  <si>
    <t>PET, CT</t>
  </si>
  <si>
    <t>Canada, Switzerland, France, United States</t>
  </si>
  <si>
    <t>https://hecktor.grand-challenge.org/</t>
  </si>
  <si>
    <t>https://link.springer.com/book/10.1007/978-3-031-27420-6</t>
  </si>
  <si>
    <t>https://hecktor.grand-challenge.org/Data/</t>
  </si>
  <si>
    <t>https://hecktor25.grand-challenge.org</t>
  </si>
  <si>
    <t>https://hecktor25.grand-challenge.org/data-download/</t>
  </si>
  <si>
    <t>INSTANCE 2022</t>
  </si>
  <si>
    <t>https://instance.grand-challenge.org/</t>
  </si>
  <si>
    <t>https://arxiv.org/abs/2301.03281, https://ieeexplore.ieee.org/document/9511297</t>
  </si>
  <si>
    <t>https://instance.grand-challenge.org/Dataset/</t>
  </si>
  <si>
    <t>ISLES22</t>
  </si>
  <si>
    <t>Germany, Switzerland</t>
  </si>
  <si>
    <t>https://isles22.grand-challenge.org/</t>
  </si>
  <si>
    <t>https://www.nature.com/articles/s41597-022-01875-5</t>
  </si>
  <si>
    <t>https://zenodo.org/records/7960856#.ZK5or-xBzmE</t>
  </si>
  <si>
    <t>RESECT</t>
  </si>
  <si>
    <t>CuRIOUS2022</t>
  </si>
  <si>
    <t>Ultrasound, MRI</t>
  </si>
  <si>
    <t>Norway</t>
  </si>
  <si>
    <t>https://curious2022.grand-challenge.org</t>
  </si>
  <si>
    <t>https://aapm.onlinelibrary.wiley.com/doi/full/10.1002/mp.12268, https://arxiv.org/pdf/2207.07494.pdf</t>
  </si>
  <si>
    <t>https://curious2022.grand-challenge.org/data/</t>
  </si>
  <si>
    <t>Teeth3DS</t>
  </si>
  <si>
    <t>Teeth</t>
  </si>
  <si>
    <t>Intraoral 3D Scan</t>
  </si>
  <si>
    <t>Segmentation, Labeling</t>
  </si>
  <si>
    <t>Tooth labels, Instances</t>
  </si>
  <si>
    <t>France, Tunisia</t>
  </si>
  <si>
    <t>https://3dteethseg.grand-challenge.org</t>
  </si>
  <si>
    <t>https://arxiv.org/pdf/2210.06094.pdf</t>
  </si>
  <si>
    <t>https://github.com/DCBIA-OrthoLab/3DTeethSeg22_challenge</t>
  </si>
  <si>
    <t>https://osf.io/xctdy/</t>
  </si>
  <si>
    <t>TN3K</t>
  </si>
  <si>
    <t>https://github.com/haifangong/TRFE-Net-for-thyroid-nodule-segmentation</t>
  </si>
  <si>
    <t>https://ieeexplore.ieee.org/abstract/document/9434087/</t>
  </si>
  <si>
    <t>Google Drive</t>
  </si>
  <si>
    <t>Br35H</t>
  </si>
  <si>
    <t>Brain tumor</t>
  </si>
  <si>
    <t>https://www.kaggle.com/datasets/ahmedhamada0/brain-tumor-detection/data</t>
  </si>
  <si>
    <t>https://www.heywhale.com/mw/dataset/61d3e5682d30dc001701f728</t>
  </si>
  <si>
    <t>COSMOS2022</t>
  </si>
  <si>
    <t>Carotid artery</t>
  </si>
  <si>
    <t>https://vessel-wall-segmentation-2022.grand-challenge.org/</t>
  </si>
  <si>
    <t>HaN-Seg</t>
  </si>
  <si>
    <t>Slovenia</t>
  </si>
  <si>
    <t>https://han-seg2023.grand-challenge.org/</t>
  </si>
  <si>
    <t>https://aapm.onlinelibrary.wiley.com/doi/10.1002/mp.16197</t>
  </si>
  <si>
    <t>https://zenodo.org/record/7442914#.ZBtfBHbMJaQ</t>
  </si>
  <si>
    <t>ToothFairy</t>
  </si>
  <si>
    <t>Italy, Netherlands</t>
  </si>
  <si>
    <t>https://toothfairy.grand-challenge.org/toothfairy/</t>
  </si>
  <si>
    <t>https://ieeexplore.ieee.org/document/10816445</t>
  </si>
  <si>
    <t>https://ditto.ing.unimore.it/toothfairy/</t>
  </si>
  <si>
    <t>SegRap 2023</t>
  </si>
  <si>
    <t>https://segrap2023.grand-challenge.org/</t>
  </si>
  <si>
    <t>https://arxiv.org/abs/2312.09576</t>
  </si>
  <si>
    <t>https://segrap2023.grand-challenge.org/dataset/</t>
  </si>
  <si>
    <t>CrossMoDA 2023</t>
  </si>
  <si>
    <t>United kindom, Netherlands</t>
  </si>
  <si>
    <t>https://crossmoda-challenge.ml/</t>
  </si>
  <si>
    <t>https://www.sciencedirect.com/science/article/pii/S1361841522002560</t>
  </si>
  <si>
    <t>https://codalab.lisn.upsaclay.fr/competitions/9804</t>
  </si>
  <si>
    <t>https://zenodo.org/records/4662239</t>
  </si>
  <si>
    <t>CAS2023</t>
  </si>
  <si>
    <t>https://codalab.lisn.upsaclay.fr/competitions/9804#participate-get_starting_kit</t>
  </si>
  <si>
    <t>/mnt/data-nas/medical_datasets/TCIA/UCSF-PDGM</t>
  </si>
  <si>
    <t>UCSF-PDGM</t>
  </si>
  <si>
    <t>https://www.cancerimagingarchive.net/collection/ucsf-pdgm/</t>
  </si>
  <si>
    <t>https://arxiv.org/abs/2109.00356</t>
  </si>
  <si>
    <t>/mnt/data-nas/med_anant/TCIA/IvyGAP-Radiomics</t>
  </si>
  <si>
    <t>IvyGAP-Radiomics</t>
  </si>
  <si>
    <t>https://www.cancerimagingarchive.net/analysis-result/ivygap-radiomics/</t>
  </si>
  <si>
    <t>https://www.ncbi.nlm.nih.gov/pmc/articles/PMC8382093/</t>
  </si>
  <si>
    <t>BraTS2023-SSA</t>
  </si>
  <si>
    <t>https://www.synapse.org/#!Synapse:syn51156910/wiki/622556</t>
  </si>
  <si>
    <t>https://arxiv.org/abs/2305.19369</t>
  </si>
  <si>
    <t>https://www.synapse.org/#!Synapse:syn51514109</t>
  </si>
  <si>
    <t>BraTS2023-MEN</t>
  </si>
  <si>
    <t>https://www.synapse.org/#!Synapse:syn51156910/wiki/622353</t>
  </si>
  <si>
    <t>https://arxiv.org/pdf/2305.07642.pdf</t>
  </si>
  <si>
    <t>https://www.synapse.org/#!Synapse:syn51514106</t>
  </si>
  <si>
    <t>BraTS2023-PED</t>
  </si>
  <si>
    <t>https://www.synapse.org/#!Synapse:syn51156910/wiki/622461</t>
  </si>
  <si>
    <t>https://arxiv.org/abs/2305.17033</t>
  </si>
  <si>
    <t>https://www.synapse.org/#!Synapse:syn51514108</t>
  </si>
  <si>
    <t>BraTS2023-MET</t>
  </si>
  <si>
    <t>https://www.synapse.org/#!Synapse:syn51156910/wiki/622553</t>
  </si>
  <si>
    <t>https://arxiv.org/abs/2306.00838</t>
  </si>
  <si>
    <t>https://www.synapse.org/#!Synapse:syn51514107</t>
  </si>
  <si>
    <t>/mnt/data-nas/medical_datasets/TCIA/RHUH-GBM</t>
  </si>
  <si>
    <t>RHUH-GBM</t>
  </si>
  <si>
    <t>https://www.cancerimagingarchive.net/collection/rhuh-gbm/</t>
  </si>
  <si>
    <t>https://www.sciencedirect.com/science/article/pii/S2352340923007023</t>
  </si>
  <si>
    <t>Approval</t>
  </si>
  <si>
    <t>MICCAI'2024 INSTED</t>
  </si>
  <si>
    <t>https://www.codabench.org/competitions/2139/#/pages-tab</t>
  </si>
  <si>
    <t>MICCAI'2024 EPVS</t>
  </si>
  <si>
    <t>https://www.synapse.org/Synapse:syn54100278/wiki/626542</t>
  </si>
  <si>
    <t>MICCAI'2024 LISA 2024 Task2</t>
  </si>
  <si>
    <t>https://www.synapse.org/Synapse:syn55249552/wiki/</t>
  </si>
  <si>
    <t>https://www.synapse.org/Synapse:syn55249552/wiki/627179</t>
  </si>
  <si>
    <t>/mnt/data-nas/med_anant/HNTS-MRG</t>
  </si>
  <si>
    <t>MICCAI'2024 HNTS-MRG Task1</t>
  </si>
  <si>
    <t>https://hntsmrg24.grand-challenge.org/overview/</t>
  </si>
  <si>
    <t>https://hntsmrg24.grand-challenge.org/dataset/</t>
  </si>
  <si>
    <t>MICCAI'2024 HNTS-MRG Task2</t>
  </si>
  <si>
    <t>MMIS-2024@ACM MM 2024</t>
  </si>
  <si>
    <t>Nasopharynx &amp; brain</t>
  </si>
  <si>
    <t>https://mmis2024.com/</t>
  </si>
  <si>
    <t>STARE</t>
  </si>
  <si>
    <t>Eye</t>
  </si>
  <si>
    <t>Retinal image</t>
  </si>
  <si>
    <t>https://cecas.clemson.edu/~ahoover/stare/</t>
  </si>
  <si>
    <t>https://ieeexplore.ieee.org/document/845178</t>
  </si>
  <si>
    <t>https://cecas.clemson.edu/~ahoover/stare/probing/index.html</t>
  </si>
  <si>
    <t>DRIVE</t>
  </si>
  <si>
    <t>https://drive.grand-challenge.org/</t>
  </si>
  <si>
    <t>https://ieeexplore.ieee.org/document/1282003</t>
  </si>
  <si>
    <t>https://drive.grand-challenge.org/Download/</t>
  </si>
  <si>
    <t>/mnt/data-nas/medical_datasets/CHASE_DB1</t>
  </si>
  <si>
    <t>CHASE</t>
  </si>
  <si>
    <t>https://blogs.kingston.ac.uk/retinal/chasedb1/</t>
  </si>
  <si>
    <t>https://www.ahajournals.org/doi/10.1161/ATVBAHA.111.225219</t>
  </si>
  <si>
    <t>"/mnt/data-nas/med_gli/HRF/"</t>
  </si>
  <si>
    <t>HRF</t>
  </si>
  <si>
    <t>https://www5.cs.fau.de/research/data/fundus-images/</t>
  </si>
  <si>
    <t>https://www.hindawi.com/journals/ijbi/2013/154860/</t>
  </si>
  <si>
    <r>
      <rPr>
        <rFont val="Arial"/>
      </rPr>
      <t xml:space="preserve"> </t>
    </r>
    <r>
      <rPr>
        <rFont val="Arial"/>
        <color rgb="FF1155CC"/>
        <u/>
      </rPr>
      <t>https://www5.cs.fau.de/fileadmin/research/datasets/fundus-images/all.zip</t>
    </r>
  </si>
  <si>
    <t>same as HRF</t>
  </si>
  <si>
    <t>HRF Image Quality Assessment Dataset</t>
  </si>
  <si>
    <t>https://ieeexplore.ieee.org/stamp/stamp.jsp?tp=&amp;arnumber=6627771</t>
  </si>
  <si>
    <t>email sent</t>
  </si>
  <si>
    <t>DRiDB</t>
  </si>
  <si>
    <t>Fundus</t>
  </si>
  <si>
    <t>https://ipg.fer.hr/ipg/resources/image_database</t>
  </si>
  <si>
    <t>https://ieeexplore.ieee.org/document/6703830</t>
  </si>
  <si>
    <t>"/mnt/data-nas/med_gli/AV_groundTruth.zip"</t>
  </si>
  <si>
    <t>RITE</t>
  </si>
  <si>
    <t>Fundus photography</t>
  </si>
  <si>
    <t>Access Restricted</t>
  </si>
  <si>
    <t>https://medicine.uiowa.edu/eye/rite-dataset</t>
  </si>
  <si>
    <t>https://iacl.ece.jhu.edu/proceedings/miccai2013/papers/8150/81500436.pdf</t>
  </si>
  <si>
    <t>https://uiowa.qualtrics.com/jfe/form/SV_a3mc5H4SG2B3e2p?Q_JFE=qdg</t>
  </si>
  <si>
    <t xml:space="preserve"> wget http://webeye.ophth.uiowa.edu/abramoff/AV_groundTruth.zip</t>
  </si>
  <si>
    <t>"/mnt/data-nas/med_gli/Messidor-2/"</t>
  </si>
  <si>
    <t>Messidor-2</t>
  </si>
  <si>
    <t>https://www.adcis.net/en/third-party/messidor2/</t>
  </si>
  <si>
    <t>https://www.ias-iss.org/ojs/IAS/article/view/1155</t>
  </si>
  <si>
    <t>"/mnt/data-nas/med_gli/2013_BOE_Chiu.zip"</t>
  </si>
  <si>
    <t>ACPS</t>
  </si>
  <si>
    <t>Optical imaging</t>
  </si>
  <si>
    <t>https://people.duke.edu/~sf59/Chiu_BOE_2013_dataset.htm</t>
  </si>
  <si>
    <t>wget http://www.duke.edu/%7Esf59/Datasets/2013_BOE_Chiu.zip</t>
  </si>
  <si>
    <t>"/mnt/data-nas/med_gli/DRISHTI-GS/"</t>
  </si>
  <si>
    <t>DRISHTI-GS</t>
  </si>
  <si>
    <t>Optic disc</t>
  </si>
  <si>
    <t>https://ieeexplore.ieee.org/document/6867807</t>
  </si>
  <si>
    <t>https://ieeexplore.ieee.org/stamp/stamp.jsp?tp=&amp;arnumber=6867807</t>
  </si>
  <si>
    <t>https://www.kaggle.com/datasets/lokeshsaipureddi/drishtigs-retina-dataset-for-onh-segmentation</t>
  </si>
  <si>
    <t>"/mnt/data-nas/med_gli/Retinal-image/"</t>
  </si>
  <si>
    <t>Retinal image quality assessment dataset</t>
  </si>
  <si>
    <t>http://academictorrents.com/details/99811ba62918f8e73791d21be29dcc372d660305</t>
  </si>
  <si>
    <t>https://pubmed.ncbi.nlm.nih.gov/24718384/</t>
  </si>
  <si>
    <t>http://academictorrents.com/details/99811ba62918f8e73791d21be29dcc372d660305, https://www.heywhale.com/mw/dataset/5e95d871e7ec38002d034efe/file</t>
  </si>
  <si>
    <t>Retina</t>
  </si>
  <si>
    <t>Stampede: EyePACS</t>
  </si>
  <si>
    <t>Eyepacs</t>
  </si>
  <si>
    <t>https://www.eyepacs.com/</t>
  </si>
  <si>
    <t>https://jamanetwork.com/journals/jama/fullarticle/2588763</t>
  </si>
  <si>
    <t>RETOUCH</t>
  </si>
  <si>
    <t>OCT</t>
  </si>
  <si>
    <t>https://retouch.grand-challenge.org/Home/</t>
  </si>
  <si>
    <t>https://optima.meduniwien.ac.at/wp-content/uploads/2021/12/2019_HBogunovic_RETOUCH_IEEETransactions_preprint.pdf</t>
  </si>
  <si>
    <t>LES-AV</t>
  </si>
  <si>
    <t>https://ignaciorlando.github.io/</t>
  </si>
  <si>
    <t>https://arxiv.org/pdf/1805.10273.pdf</t>
  </si>
  <si>
    <t>"/mnt/data-nas/med_gli/rscbjbr9sj-2.zip"</t>
  </si>
  <si>
    <t>https://github.com/aishangcengloua/OCT_Classification?tab=readme-ov-file</t>
  </si>
  <si>
    <t>https://data.mendeley.com/datasets/rscbjbr9sj/2</t>
  </si>
  <si>
    <t>"/mnt/data-nas/med_gli/Papilledema/"</t>
  </si>
  <si>
    <t>Papilledema</t>
  </si>
  <si>
    <t>https://osf.io/2w5ce/</t>
  </si>
  <si>
    <t>"/mnt/data-nas/med_gli/IDRID/"</t>
  </si>
  <si>
    <t>IDRID</t>
  </si>
  <si>
    <t>https://idrid.grand-challenge.org/Home/</t>
  </si>
  <si>
    <t>https://www.mdpi.com/2306-5729/3/3/25</t>
  </si>
  <si>
    <t>https://idrid.grand-challenge.org/Data_Download/</t>
  </si>
  <si>
    <t>access requested</t>
  </si>
  <si>
    <t>PALM19</t>
  </si>
  <si>
    <t>https://palm.grand-challenge.org/Home/</t>
  </si>
  <si>
    <t>https://ieee-dataport.org/documents/palm-pathologic-myopia-challenge</t>
  </si>
  <si>
    <t>LAG</t>
  </si>
  <si>
    <t>https://github.com/smilell/AG-CNN?tab=readme-ov-file</t>
  </si>
  <si>
    <t>https://arxiv.org/abs/1903.10831</t>
  </si>
  <si>
    <t>"/mnt/data-nas/med_gli/ACRIMA/"</t>
  </si>
  <si>
    <t>ACRIMA</t>
  </si>
  <si>
    <t>https://figshare.com/s/c2d31f850af14c5b5232</t>
  </si>
  <si>
    <t>https://ieeexplore.ieee.org/document/9515188</t>
  </si>
  <si>
    <t>"/mnt/data-nas/med_gli/ROSE/"</t>
  </si>
  <si>
    <t>ROSE</t>
  </si>
  <si>
    <t>Octa</t>
  </si>
  <si>
    <t>https://imed.nimte.ac.cn/dataofrose.html</t>
  </si>
  <si>
    <t>https://arxiv.org/pdf/2007.05201.pdf</t>
  </si>
  <si>
    <t>OCTA-500</t>
  </si>
  <si>
    <t>https://ieee-dataport.org/open-access/octa-500</t>
  </si>
  <si>
    <t>https://ieeexplore.ieee.org/document/9085991</t>
  </si>
  <si>
    <t>"/mnt/data-nas/med_gli/RIM-ONE/"</t>
  </si>
  <si>
    <t>RIM-ONE DL</t>
  </si>
  <si>
    <t>https://github.com/miag-ull/rim-one-dl</t>
  </si>
  <si>
    <t>https://doi.org/10.5566/ias.2346</t>
  </si>
  <si>
    <t>ORVS</t>
  </si>
  <si>
    <t>https://github.com/AbdullahSarhan/ICPRVessels</t>
  </si>
  <si>
    <t>https://arxiv.org/pdf/2012.09250.pdf</t>
  </si>
  <si>
    <t>"/mnt/data-nas/med_gli/JSIEC/"</t>
  </si>
  <si>
    <t>JSIEC</t>
  </si>
  <si>
    <t>https://www.kaggle.com/datasets/linchundan/fundusimage1000</t>
  </si>
  <si>
    <t>https://www.nature.com/articles/s41467-021-25138-w#citeas</t>
  </si>
  <si>
    <t>"/mnt/data-nas/med_gli/ODR/"</t>
  </si>
  <si>
    <t>Ocular Disease Recognition</t>
  </si>
  <si>
    <t>https://www.kaggle.com/datasets/andrewmvd/ocular-disease-recognition-odir5k</t>
  </si>
  <si>
    <t>"/mnt/data-nas/med_gli/DRA/"</t>
  </si>
  <si>
    <t>Diabetic Retinopathy Arranged</t>
  </si>
  <si>
    <t>https://tianchi.aliyun.com/dataset/93926</t>
  </si>
  <si>
    <t>"/mnt/data-nas/med_gli/AOD/"</t>
  </si>
  <si>
    <t>Augemnted ocular diseases(AOD)</t>
  </si>
  <si>
    <t>Retinal images</t>
  </si>
  <si>
    <t>https://www.kaggle.com/datasets/nurmukhammed7/augemnted-ocular-diseases</t>
  </si>
  <si>
    <t>"/mnt/data-nas/med_gli/BEH (Bangladesh Eye Hospital) Dataset.zip"</t>
  </si>
  <si>
    <t>BEH (Bangladesh Eye Hospital)</t>
  </si>
  <si>
    <t>Fundus photograph</t>
  </si>
  <si>
    <t>https://github.com/mirtanvirislam/Deep-Learning-Based-Glaucoma-Detection-with-Cropped-Optic-Cup-and-Disc-and-Blood-Vessel-Segmentation</t>
  </si>
  <si>
    <t>https://ieeexplore.ieee.org/document/9664528?denied=</t>
  </si>
  <si>
    <t>https://drive.google.com/file/d/1YdZm-sioiAbTdBRy4oej1q6tZL8Baft7/view</t>
  </si>
  <si>
    <t>"/mnt/data-nas/med_gli/DeepDRiD/"</t>
  </si>
  <si>
    <t>iChallenge-DeepDRiD-Task1</t>
  </si>
  <si>
    <t>https://github.com/deepdrdoc/DeepDRiD</t>
  </si>
  <si>
    <t>https://doi.org/10.1016/j.patter.2022.100512</t>
  </si>
  <si>
    <t>"/mnt/data-nas/med_gli/ADAM/"</t>
  </si>
  <si>
    <t>iChallenge-ADAM-Task1</t>
  </si>
  <si>
    <t>https://amd.grand-challenge.org/Home/</t>
  </si>
  <si>
    <t>https://arxiv.org/pdf/2202.07983</t>
  </si>
  <si>
    <t>https://amd.grand-challenge.org/download/</t>
  </si>
  <si>
    <t>"/mnt/data-nas/med_gli/OCT-C8/"</t>
  </si>
  <si>
    <t>Retinal OCT-C8</t>
  </si>
  <si>
    <t>Retinal</t>
  </si>
  <si>
    <t>https://www.kaggle.com/datasets/obulisainaren/retinal-oct-c8</t>
  </si>
  <si>
    <t>https://ieeexplore.ieee.org/abstract/document/9740985</t>
  </si>
  <si>
    <t>"/mnt/data-nas/med_gli/RAVIR Dataset.zip"</t>
  </si>
  <si>
    <t>RAVIR</t>
  </si>
  <si>
    <t>LR</t>
  </si>
  <si>
    <t>https://ravir.grand-challenge.org/RAVIR/</t>
  </si>
  <si>
    <t>https://arxiv.org/pdf/2203.14928</t>
  </si>
  <si>
    <t>"/mnt/data-nas/med_gli/pc4mb3h8hz-1.zip"</t>
  </si>
  <si>
    <t>Multi-Label Retinal Diseases</t>
  </si>
  <si>
    <t>https://data.mendeley.com/datasets/pc4mb3h8hz/1</t>
  </si>
  <si>
    <t>https://doi.org/10.48550/arXiv.2207.02335</t>
  </si>
  <si>
    <t>https://prod-dcd-datasets-cache-zipfiles.s3.eu-west-1.amazonaws.com/pc4mb3h8hz-1.zip</t>
  </si>
  <si>
    <t>"/mnt/data-nas/med_gli/FIVES/"</t>
  </si>
  <si>
    <t>FIVES</t>
  </si>
  <si>
    <t>Fundus color photos</t>
  </si>
  <si>
    <t>https://figshare.com/articles/figure/FIVES_A_Fundus_Image_Dataset_for_AI-based_Vessel_Segmentation/19688169/1</t>
  </si>
  <si>
    <t>https://www.nature.com/articles/s41597-022-01564-3</t>
  </si>
  <si>
    <t>"/mnt/data-nas/med_gli/OLIVES/"</t>
  </si>
  <si>
    <t>OLIVES</t>
  </si>
  <si>
    <t>Fundus color photography</t>
  </si>
  <si>
    <t>https://github.com/olivesgatech/OLIVES_Dataset</t>
  </si>
  <si>
    <t>https://proceedings.neurips.cc/paper_files/paper/2022/file/3be60b4a739b95a07a944a1a2c41e05e-Paper-Datasets_and_Benchmarks.pdf</t>
  </si>
  <si>
    <t>"/mnt/data-nas/med_gli/ODIR-5K_Training_Images.7z"</t>
  </si>
  <si>
    <t>ODIR-5K</t>
  </si>
  <si>
    <t>https://odir2019.grand-challenge.org/introduction/</t>
  </si>
  <si>
    <t>https://odir2019.grand-challenge.org/dataset/</t>
  </si>
  <si>
    <t>"/mnt/data-nas/med_gli/AIROGS/"</t>
  </si>
  <si>
    <t>AIROGS</t>
  </si>
  <si>
    <t>https://airogs.grand-challenge.org/data-and-challenge/</t>
  </si>
  <si>
    <t>https://ieeexplore.ieee.org/abstract/document/10253652</t>
  </si>
  <si>
    <t>"/mnt/data-nas/med_gli/RFMiD/"</t>
  </si>
  <si>
    <t>RFMiD 2.0</t>
  </si>
  <si>
    <t>https://riadd.grand-challenge.org/Home/</t>
  </si>
  <si>
    <t>https://www.mdpi.com/2306-5729/8/2/29</t>
  </si>
  <si>
    <t>https://riadd.grand-challenge.org/Download/</t>
  </si>
  <si>
    <t>"/mnt/data-nas/med_gli/ToxoFundus/"</t>
  </si>
  <si>
    <t>ToxoFundus</t>
  </si>
  <si>
    <t>https://www.kaggle.com/datasets/nafin59/ocular-toxoplasmosis-fundus-images-dataset</t>
  </si>
  <si>
    <t>https://www.sciencedirect.com/science/article/pii/S2352340923001749?via%3Dihub</t>
  </si>
  <si>
    <t>"/mnt/data-nas/med_gli/HGDP/"</t>
  </si>
  <si>
    <t>Harvard Glaucoma Detection and Progression</t>
  </si>
  <si>
    <t>https://ophai.hms.harvard.edu/datasets/harvard-gdp1000</t>
  </si>
  <si>
    <t>https://arxiv.org/abs/2308.13411</t>
  </si>
  <si>
    <t>"/mnt/data-nas/med_gli/BiDR/"</t>
  </si>
  <si>
    <t>BiDR</t>
  </si>
  <si>
    <t>https://www.kaggle.com/datasets/pkdarabi/diagnosis-of-diabetic-retinopathy?resource=download-directory</t>
  </si>
  <si>
    <t>https://www.researchgate.net/publication/382264856_Diagnosis_of_Diabetic_Retinopathy</t>
  </si>
  <si>
    <t>"/mnt/data-nas/med_gli/PALM/"</t>
  </si>
  <si>
    <t>PALM</t>
  </si>
  <si>
    <t>https://www.nature.com/articles/s41597-024-02911-2?_gl=1*16u2cf9*_up*MQ..&amp;gclid=CjwKCAjw9eO3BhBNEiwAoc0-jXF2c7y1hinoDc71AuwyTwBqCuBlioxEwhfIUDUuFRPDtXrGn6S7HhoC4IMQAvD_BwE</t>
  </si>
  <si>
    <t>https://palm.grand-challenge.org/SemifinalLeaderboard/</t>
  </si>
  <si>
    <t>MICCAI 2024 DIAMOND</t>
  </si>
  <si>
    <t>https://www.codabench.org/competitions/2333/</t>
  </si>
  <si>
    <t>https://www.sciencedirect.com/science/article/pii/S2666389922001040</t>
  </si>
  <si>
    <t>https://github.com/Mostafa-EHD/DIAMOND_Challenge?tab=readme-ov-file</t>
  </si>
  <si>
    <t>"/mnt/data-nas/med_gli/Cataract-1K/"</t>
  </si>
  <si>
    <t>No modality</t>
  </si>
  <si>
    <t>Cataract-1K</t>
  </si>
  <si>
    <t>Ophthalmic microscope</t>
  </si>
  <si>
    <t>https://github.com/Negin-Ghamsarian/Cataract-1K</t>
  </si>
  <si>
    <t>https://www.nature.com/articles/s41597-024-03193-4</t>
  </si>
  <si>
    <t>https://www.synapse.org/#!Synapse:syn53404507</t>
  </si>
  <si>
    <t>OphNet</t>
  </si>
  <si>
    <t>https://minghu0830.github.io/OphNet-benchmark/</t>
  </si>
  <si>
    <t>https://arxiv.org/pdf/2406.07471</t>
  </si>
  <si>
    <t>MAPLES-DR</t>
  </si>
  <si>
    <t>https://www.nature.com/articles/s41597-024-03739-6?_gl=1</t>
  </si>
  <si>
    <t>https://github.com/ClementPla/fundus-lesions-toolkit; https://github.com/gabriel-lepetitaimon/fundus-vessels-toolkit</t>
  </si>
  <si>
    <t>"/mnt/data-nas/med_gli/AMD-SD/"</t>
  </si>
  <si>
    <t>AMD-SD</t>
  </si>
  <si>
    <t>https://www.nature.com/articles/s41597-024-03844-6?_gl=1*b3wq4u*_up*MQ..&amp;gclid=Cj0KCQjw3bm3BhDJARIsAKnHoVXSgcCZ1IVP-iFrZ3UUAyGYcDxTqRoRzajibS9q1F6dA5GEF2xAyw4aAmrcEALw_wcB</t>
  </si>
  <si>
    <t>https://springernature.figshare.com/articles/dataset/An_Optical_Coherence_Tomography_Image_Dataset_for_wet_AMD_Lesions_Segmentation/25513435?backTo=%2Fcollections%2FAMD-SD_An_Optical_Coherence_Tomography_Image_Dataset_for_wet_AMD_Lesions_Segmentation%2F7157554&amp;file=48777037</t>
  </si>
  <si>
    <t>FARFUM-RoP</t>
  </si>
  <si>
    <t>https://www.nature.com/articles/s41597-024-03897-7</t>
  </si>
  <si>
    <t>"/mnt/data-nas/med_gli/RSNA/"</t>
  </si>
  <si>
    <t>RSNA Intracranial Hemorrhage Detection</t>
  </si>
  <si>
    <t>https://www.kaggle.com/c/rsna-intracranial-hemorrhage-detection/overview</t>
  </si>
  <si>
    <t>https://www.kaggle.com/competitions/rsna-intracranial-hemorrhage-detection/data</t>
  </si>
  <si>
    <t>3D-2D-GS-CA</t>
  </si>
  <si>
    <t>3D-DSA, 2D-DSA, 2D-MAX</t>
  </si>
  <si>
    <t>Gold standard registrations</t>
  </si>
  <si>
    <t>2D, 3D</t>
  </si>
  <si>
    <t>https://lit.fe.uni-lj.si/en/research/resources/3D-2D-GS-CA</t>
  </si>
  <si>
    <t>"/mnt/data-nas/med_gli/3D-MR-MS/"</t>
  </si>
  <si>
    <t>3D-MR-MS</t>
  </si>
  <si>
    <t>Lesion segmentations</t>
  </si>
  <si>
    <t>https://lit.fe.uni-lj.si/en/research/resources/3D-MR-MS</t>
  </si>
  <si>
    <t>lit.fe.uni‑lj.si</t>
  </si>
  <si>
    <t>https://lit.fe.uni-lj.si/data/research/resources/3D-MR-MS/3D-MR-MS.pdf</t>
  </si>
  <si>
    <t>/mnt/data-nas/med_gli/Diffusion_MRI/</t>
  </si>
  <si>
    <t>3D VoTEM</t>
  </si>
  <si>
    <t>Diffusion MRI</t>
  </si>
  <si>
    <t>Tractography</t>
  </si>
  <si>
    <t>Ground‑truth fiber bundles</t>
  </si>
  <si>
    <t>https://my.vanderbilt.edu/votem</t>
  </si>
  <si>
    <t>C. Thomas et al., PNAS 2014.10.1073/pnas.1317980110</t>
  </si>
  <si>
    <t>Vanderbilt VoTEM site</t>
  </si>
  <si>
    <t>https://my.vanderbilt.edu/votem/</t>
  </si>
  <si>
    <t>/mnt/data-nas/med_gli/7-Tesla/</t>
  </si>
  <si>
    <t>7-Tesla resting-state fMRI test-retest</t>
  </si>
  <si>
    <t>fMRI</t>
  </si>
  <si>
    <t>Functional connectivity reliability</t>
  </si>
  <si>
    <t>Physiological &amp; cognitive measures</t>
  </si>
  <si>
    <t>https://academictorrents.com/details/5fc2f273123336ee34b9ea635ef8440377a42888</t>
  </si>
  <si>
    <t>https://doi.org/10.1038/sdata.2014.54</t>
  </si>
  <si>
    <t>Academic Torrents, FTP, XNAT, CoRR/INDI</t>
  </si>
  <si>
    <t>AANLIB</t>
  </si>
  <si>
    <t>CT, MRI, PET, SPECT</t>
  </si>
  <si>
    <t>Atlas/Visualization</t>
  </si>
  <si>
    <t>Brain structure labels</t>
  </si>
  <si>
    <t>http://www.med.harvard.edu/AANLIB</t>
  </si>
  <si>
    <t>Harvard Medical School site</t>
  </si>
  <si>
    <t>ABCD Neurocognitive Prediction</t>
  </si>
  <si>
    <t>MRI, fMRI, DTI</t>
  </si>
  <si>
    <t>Prediction</t>
  </si>
  <si>
    <t>Behavioral &amp; cognitive measures</t>
  </si>
  <si>
    <t>https://nda.nih.gov/edit_collection.html?id=3104</t>
  </si>
  <si>
    <t>Casey et al., NeuroImage 2018.03.049</t>
  </si>
  <si>
    <t>NIMH Data Archive</t>
  </si>
  <si>
    <t>https://nda.nih.gov/abcd</t>
  </si>
  <si>
    <t>"/mnt/data-nas/med_gli/ABIDE/"</t>
  </si>
  <si>
    <t>ABIDE</t>
  </si>
  <si>
    <t>MRI, fMRI</t>
  </si>
  <si>
    <t>Classification (ASD vs control)</t>
  </si>
  <si>
    <t>ASD diagnosis labels</t>
  </si>
  <si>
    <t>http://fcon_1000.projects.nitrc.org/indi/abide</t>
  </si>
  <si>
    <t>https://doi.org/10.1038/mp.2013.78</t>
  </si>
  <si>
    <t>http://fcon_1000.projects.nitrc.org/indi/abide/</t>
  </si>
  <si>
    <t>ACNS0332</t>
  </si>
  <si>
    <t>MR, CT</t>
  </si>
  <si>
    <t>Tumor segmentation</t>
  </si>
  <si>
    <t>Tumor segmentation masks</t>
  </si>
  <si>
    <t>https://www.cancerimagingarchive.net/collection/acns0332</t>
  </si>
  <si>
    <t>PMID 34292305 (JAMA Oncol 2021.2224)</t>
  </si>
  <si>
    <t>https://www.cancerimagingarchive.net/collection/acns0332/</t>
  </si>
  <si>
    <t>"/mnt/data-nas/med_gli/ACPI_DU_LaBar/"</t>
  </si>
  <si>
    <t>ACPI DU LaBar</t>
  </si>
  <si>
    <t>Task-based &amp; resting-state fMRI</t>
  </si>
  <si>
    <t>Pre/post-conditioning labels</t>
  </si>
  <si>
    <t>http://fcon_1000.projects.nitrc.org/indi/ACPI/html/acpi_du_1.html</t>
  </si>
  <si>
    <t>INDI on NITRC</t>
  </si>
  <si>
    <t>https://www.nitrc.org/projects/ACPI</t>
  </si>
  <si>
    <t>"/mnt/data-nas/med_gli/ACPI_MTA/"</t>
  </si>
  <si>
    <t>ACPI MTA</t>
  </si>
  <si>
    <t>Case–control analysis</t>
  </si>
  <si>
    <t>ADHD &amp; cannabis-use labels</t>
  </si>
  <si>
    <t>http://fcon_1000.projects.nitrc.org/indi/ACPI/html/acpi_mta_1.html</t>
  </si>
  <si>
    <t>"/mnt/data-nas/med_gli/ACPI_NYU/"</t>
  </si>
  <si>
    <t>ACPI NYU</t>
  </si>
  <si>
    <t>Cocaine-dependence labels</t>
  </si>
  <si>
    <t>http://fcon_1000.projects.nitrc.org/indi/ACPI/html/acpi_nyu_1.html</t>
  </si>
  <si>
    <t>Clare Kelly et al., Biol Psychiatry (in press)</t>
  </si>
  <si>
    <t>"/mnt/data-nas/med_gli/ADHD-200/"</t>
  </si>
  <si>
    <t>ADHD-200</t>
  </si>
  <si>
    <t>Classification (ADHD vs control)</t>
  </si>
  <si>
    <t>Diagnostic &amp; symptom labels</t>
  </si>
  <si>
    <t>http://fcon_1000.projects.nitrc.org/indi/adhd200</t>
  </si>
  <si>
    <t>Bellec et al., NeuroImage special issue (2017)</t>
  </si>
  <si>
    <t>NITRC &amp; AWS S3</t>
  </si>
  <si>
    <t>https://preprocessed-connectomes-project.org/adhd200/</t>
  </si>
  <si>
    <t>AIMS-TBI</t>
  </si>
  <si>
    <t>https://aims-tbi.grand-challenge.org</t>
  </si>
  <si>
    <t>Age-ility</t>
  </si>
  <si>
    <t>https://www.nitrc.org/projects/age-ility</t>
  </si>
  <si>
    <t>"/mnt/data-nas/med_gli/AOMIC/"</t>
  </si>
  <si>
    <t>AOMIC</t>
  </si>
  <si>
    <t>https://nilab-uva.github.io/AOMIC.github.io</t>
  </si>
  <si>
    <t>APIS</t>
  </si>
  <si>
    <t>NCCT, ADC (paired CT and MRI)</t>
  </si>
  <si>
    <t>Ischemic stroke segmentation</t>
  </si>
  <si>
    <t>Lesion masks from two expert radiologists</t>
  </si>
  <si>
    <t>https://bivl2ab.uis.edu.co/challenges/apis</t>
  </si>
  <si>
    <t>F. Martinez et al., arXiv:2309.15243</t>
  </si>
  <si>
    <t>BIVL2ab UIS</t>
  </si>
  <si>
    <t>"/mnt/data-nas/med_gli/ATLAS/"</t>
  </si>
  <si>
    <t>ATLAS R1.1</t>
  </si>
  <si>
    <t>T1-weighted MRI</t>
  </si>
  <si>
    <t>Lesion segmentation</t>
  </si>
  <si>
    <t>Manual lesion masks</t>
  </si>
  <si>
    <t>http://fcon_1000.projects.nitrc.org/indi/retro/atlas_R1.html</t>
  </si>
  <si>
    <t>Liew et al., Sci Data 2018</t>
  </si>
  <si>
    <t>"/mnt/data-nas/med_gli/Enhanced/"</t>
  </si>
  <si>
    <t>Beijing Enhanced</t>
  </si>
  <si>
    <t>Resting-state fMRI, T1-weighted MRI, DTI</t>
  </si>
  <si>
    <t>Functional connectivity and diffusion analysis</t>
  </si>
  <si>
    <t>IQ scores, demographic measures</t>
  </si>
  <si>
    <t>http://fcon_1000.projects.nitrc.org/indi/retro/BeijingEnhanced.html</t>
  </si>
  <si>
    <t>Yan &amp; Zang, Front Syst Neurosci 2010; Tian et al., NeuroImage 2010</t>
  </si>
  <si>
    <t>"/mnt/data-nas/med_gli/short/"</t>
  </si>
  <si>
    <t>Beijing Short TR Sample</t>
  </si>
  <si>
    <t>Resting-state fMRI, MPRAGE, DTI</t>
  </si>
  <si>
    <t>Functional connectivity analysis across TRs</t>
  </si>
  <si>
    <t>Demographic information</t>
  </si>
  <si>
    <t>http://fcon_1000.projects.nitrc.org/indi/pro/BeijingShortTR.html</t>
  </si>
  <si>
    <t>https://fcon_1000.projects.nitrc.org/indi/pro/BeijingShortTR.html</t>
  </si>
  <si>
    <t>"/mnt/data-nas/med_gli/EOEC/"</t>
  </si>
  <si>
    <t>BeijingEOEC</t>
  </si>
  <si>
    <t>Resting-state fMRI, DTI</t>
  </si>
  <si>
    <t>Functional connectivity analysis: eyes open vs eyes closed</t>
  </si>
  <si>
    <t>Eyes open/closed condition labels; demographic information</t>
  </si>
  <si>
    <t>http://fcon_1000.projects.nitrc.org/indi/retro/BeijingEOEC.html</t>
  </si>
  <si>
    <t>"/mnt/data-nas/med_gli/BHSD/"</t>
  </si>
  <si>
    <t>BHSD</t>
  </si>
  <si>
    <t>Multi-class hemorrhage segmentation</t>
  </si>
  <si>
    <t>Pixel-level and slice-level hemorrhage labels</t>
  </si>
  <si>
    <t>https://github.com/White65534/BHSD</t>
  </si>
  <si>
    <t>Wu et al., MLMI 2023 (doi:10.1007/978-3-031-45673-2_15)</t>
  </si>
  <si>
    <t>GitHub, Huggingface</t>
  </si>
  <si>
    <t>"/mnt/data-nas/med_gli/BigBrain/"</t>
  </si>
  <si>
    <t>BigBrain</t>
  </si>
  <si>
    <t>Histology</t>
  </si>
  <si>
    <t>3D histological brain reconstruction</t>
  </si>
  <si>
    <t>1 TB</t>
  </si>
  <si>
    <t>https://bigbrain.loris.ca/main.php</t>
  </si>
  <si>
    <t>Amunts et al., Science 340:1472-1475, 2013</t>
  </si>
  <si>
    <t>LORIS</t>
  </si>
  <si>
    <t>"/mnt/data-nas/med_gli/BONBID-HIE2023/"</t>
  </si>
  <si>
    <t>BONBID-HIE2023</t>
  </si>
  <si>
    <t>Diffusion MRI (ADC, Z_ADC)</t>
  </si>
  <si>
    <t>Lesion segmentation; outcome prediction</t>
  </si>
  <si>
    <t>Lesion masks; long-term outcome labels</t>
  </si>
  <si>
    <t>https://bonbid-hie2023.grand-challenge.org</t>
  </si>
  <si>
    <t>Bao et al., Sci Data 2024 (https://www.nature.com/articles/s41597-024-03986-7.pdf)</t>
  </si>
  <si>
    <t>https://zenodo.org/records/8104103</t>
  </si>
  <si>
    <t>"/mnt/data-nas/med_gli/BONBID-HIE2024/"</t>
  </si>
  <si>
    <t>BONBID-HIE2024</t>
  </si>
  <si>
    <t>Diffusion MRI (ADC maps)</t>
  </si>
  <si>
    <t>Outcome prediction</t>
  </si>
  <si>
    <t>NICU outcomes; 2-year neurocognitive outcomes</t>
  </si>
  <si>
    <t>https://bonbid-hie2024.grand-challenge.org</t>
  </si>
  <si>
    <t>Bao &amp; Ou et al., arXiv:2411.03456</t>
  </si>
  <si>
    <t>https://zenodo.org/records/13690270</t>
  </si>
  <si>
    <t>"/mnt/data-nas/med_gli/BR35H/"</t>
  </si>
  <si>
    <t>BR35H</t>
  </si>
  <si>
    <t>Tumor presence labels (yes/no)</t>
  </si>
  <si>
    <t>https://www.kaggle.com/datasets/ahmedhamada0/brain-tumor-detection</t>
  </si>
  <si>
    <t>AhmedHamada0 Brain-Tumor-Detection-Dataset, Kaggle, 2020</t>
  </si>
  <si>
    <t>"/mnt/data-nas/med_gli/BTC/"</t>
  </si>
  <si>
    <t>Brain Tumor Classification</t>
  </si>
  <si>
    <t>MRI (T1-weighted contrast-enhanced)</t>
  </si>
  <si>
    <t>Tumor type labels (no tumor, pituitary, meningioma, glioma)</t>
  </si>
  <si>
    <t>https://www.kaggle.com/datasets/sartajbhuvaji/brain-tumor-classification-mri</t>
  </si>
  <si>
    <t>"/mnt/data-nas/med_gli/BTD/"</t>
  </si>
  <si>
    <t>Brian Tumor Dataset</t>
  </si>
  <si>
    <t>Tumor presence labels (tumor vs healthy)</t>
  </si>
  <si>
    <t>https://www.kaggle.com/datasets/preetviradiya/brian-tumor-dataset</t>
  </si>
  <si>
    <t>"/mnt/data-nas/med_gli/brain_tumor/"</t>
  </si>
  <si>
    <t>brain tumor dataset</t>
  </si>
  <si>
    <t>T1-weighted contrast-enhanced MRI</t>
  </si>
  <si>
    <t>Tumor masks (tumorBorder &amp; tumorMask)</t>
  </si>
  <si>
    <t>https://figshare.com/articles/dataset/brain_tumor_dataset/1512427</t>
  </si>
  <si>
    <t>Cheng et al., PLoS One 10.10 (2015); Cheng et al., PLoS One 11.6 (2016)</t>
  </si>
  <si>
    <t>https://doi.org/10.6084/m9.figshare.1512427.v5</t>
  </si>
  <si>
    <t>Brain-Tumor-Progression</t>
  </si>
  <si>
    <t>Progression analysis</t>
  </si>
  <si>
    <t>https://www.cancerimagingarchive.net/collection/brain-tumor-progression</t>
  </si>
  <si>
    <t>DOI:10.7937/K9/TCIA.2018.15quzvnb</t>
  </si>
  <si>
    <t>https://www.cancerimagingarchive.net/collection/brain-tumor-progression/</t>
  </si>
  <si>
    <t>"/mnt/data-nas/med_gli/BrainMetShare/"</t>
  </si>
  <si>
    <t>BrainMetShare</t>
  </si>
  <si>
    <t>https://aimi.stanford.edu/brainmetshare</t>
  </si>
  <si>
    <t>"/mnt/data-nas/med_gli/BRAINS/"</t>
  </si>
  <si>
    <t>BRAINS</t>
  </si>
  <si>
    <t>MRI (T1-weighted)</t>
  </si>
  <si>
    <t>Atlas Generation</t>
  </si>
  <si>
    <t>Atlas Templates</t>
  </si>
  <si>
    <t>2016</t>
  </si>
  <si>
    <t>https://datashare.ed.ac.uk/handle/10283/1957</t>
  </si>
  <si>
    <t>https://doi.org/10.7488/ds/1369</t>
  </si>
  <si>
    <t>Edinburgh DataShare</t>
  </si>
  <si>
    <t>BRATS2012</t>
  </si>
  <si>
    <t>MRI (T1, T1Gd, T2, FLAIR)</t>
  </si>
  <si>
    <t>Tumor Sub-region Masks</t>
  </si>
  <si>
    <t>2012</t>
  </si>
  <si>
    <t>https://www.smir.ch/BRATS/Start2012</t>
  </si>
  <si>
    <t>Menze BF, et al. MICCAI BRATS 2012 Challenge</t>
  </si>
  <si>
    <t>DTU MIC</t>
  </si>
  <si>
    <t>https://www2.imm.dtu.dk/projects/BRATS2012/data.html</t>
  </si>
  <si>
    <t>BRATS2013</t>
  </si>
  <si>
    <t>2013</t>
  </si>
  <si>
    <t>https://www.smir.ch/BRATS/Start2013</t>
  </si>
  <si>
    <t>BRATS 2013 Challenge Page</t>
  </si>
  <si>
    <t>SMIR</t>
  </si>
  <si>
    <t>BRATS2014</t>
  </si>
  <si>
    <t>2014</t>
  </si>
  <si>
    <t>https://www.smir.ch/BRATS/Start2014</t>
  </si>
  <si>
    <t>BRATS 2014 Challenge Page</t>
  </si>
  <si>
    <t>BRATS2015</t>
  </si>
  <si>
    <t>2015</t>
  </si>
  <si>
    <t>https://www.smir.ch/BRATS/Start2015</t>
  </si>
  <si>
    <t>Menze BF, et al. MICCAI BRATS 2015 proceedings</t>
  </si>
  <si>
    <t>BRATS2017</t>
  </si>
  <si>
    <t>2017</t>
  </si>
  <si>
    <t>https://www.med.upenn.edu/sbia/brats2017/data.html</t>
  </si>
  <si>
    <t>arXiv:1802.10508v1</t>
  </si>
  <si>
    <t>CBICA</t>
  </si>
  <si>
    <t>BRATS2019</t>
  </si>
  <si>
    <t>2019</t>
  </si>
  <si>
    <t>https://www.med.upenn.edu/cbica/brats-2019</t>
  </si>
  <si>
    <t>CBICA BRATS 2019 Data</t>
  </si>
  <si>
    <t>https://www.med.upenn.edu/cbica/brats2019/data.html</t>
  </si>
  <si>
    <t>BRATS2020</t>
  </si>
  <si>
    <t>2020</t>
  </si>
  <si>
    <t>https://www.med.upenn.edu/cbica/brats2020</t>
  </si>
  <si>
    <t>CBICA BRATS 2020 Data</t>
  </si>
  <si>
    <t>https://www.med.upenn.edu/cbica/brats2020/data.html</t>
  </si>
  <si>
    <t>BRATS2021</t>
  </si>
  <si>
    <t>2021</t>
  </si>
  <si>
    <t>http://www.braintumorsegmentation.org</t>
  </si>
  <si>
    <t>Synapse: BraTS 2021</t>
  </si>
  <si>
    <t>https://www.med.upenn.edu/cbica/brats2021/data.html</t>
  </si>
  <si>
    <t>BRATS2022</t>
  </si>
  <si>
    <t>2022</t>
  </si>
  <si>
    <t>https://www.synapse.org/brats2022</t>
  </si>
  <si>
    <t>Synapse: BraTS Continuous Evaluation</t>
  </si>
  <si>
    <t>https://www.synapse.org/#!Synapse:syn53708126</t>
  </si>
  <si>
    <t>"/mnt/data-nas/med_gli/BRATS2023/"</t>
  </si>
  <si>
    <t>BRATS2023</t>
  </si>
  <si>
    <t>2023</t>
  </si>
  <si>
    <t>https://synapse.org/brats2023</t>
  </si>
  <si>
    <t>"/mnt/data-nas/med_gli/BRATS2024/"</t>
  </si>
  <si>
    <t>BRATS2024</t>
  </si>
  <si>
    <t>2024</t>
  </si>
  <si>
    <t>https://www.synapse.org/Synapse:syn53708249/wiki/626323</t>
  </si>
  <si>
    <t>CADA</t>
  </si>
  <si>
    <t>3D Rotational X-ray Angiography</t>
  </si>
  <si>
    <t>Detection, Segmentation, Risk Estimation</t>
  </si>
  <si>
    <t>Segmentation Masks; Rupture State Labels</t>
  </si>
  <si>
    <t>https://cada.grand-challenge.org</t>
  </si>
  <si>
    <t>Hamamci A., et al. 2018</t>
  </si>
  <si>
    <t>https://cada.grand-challenge.org/</t>
  </si>
  <si>
    <t>CADDementia</t>
  </si>
  <si>
    <t>AD, MCI, CN Labels</t>
  </si>
  <si>
    <t>https://caddementia.grand-challenge.org</t>
  </si>
  <si>
    <t>Bron EE, et al. NeuroImage 2015</t>
  </si>
  <si>
    <t>https://caddementia.grand-challenge.org/</t>
  </si>
  <si>
    <t>"/mnt/data-nas/med_gli/Calgary/"</t>
  </si>
  <si>
    <t>Calgary-Campinas</t>
  </si>
  <si>
    <t>Brain Structure Segmentation Masks</t>
  </si>
  <si>
    <t>https://sites.google.com/view/calgary-campinas-dataset/home</t>
  </si>
  <si>
    <t>Souza R., et al. NeuroImage 2017</t>
  </si>
  <si>
    <t>need a proposal</t>
  </si>
  <si>
    <t>Cam-CAN</t>
  </si>
  <si>
    <t>Structural MRI, Functional MRI, MEG, EEG</t>
  </si>
  <si>
    <t>Normative multimodal aging study</t>
  </si>
  <si>
    <t>Cognitive scores; Demographics</t>
  </si>
  <si>
    <t>https://camcan-archive.mrc-cbu.cam.ac.uk/dataaccess</t>
  </si>
  <si>
    <t>doi:10.1016/j.neuroimage.2013.05.056</t>
  </si>
  <si>
    <t>MRC CBU Cam-CAN Archive</t>
  </si>
  <si>
    <t>https://camcan-archive.mrc-cbu.cam.ac.uk/dataaccess/</t>
  </si>
  <si>
    <t>"/mnt/data-nas/med_gli/CAUSE07/"</t>
  </si>
  <si>
    <t>CAUSE07</t>
  </si>
  <si>
    <t>Caudate nucleus masks</t>
  </si>
  <si>
    <t>https://cause07.grand-challenge.org</t>
  </si>
  <si>
    <t>"/mnt/data-nas/med_gli/ds174_R1.0.0_all_data.tgz"</t>
  </si>
  <si>
    <t>Changes Associated with Heavy Cannabis Use</t>
  </si>
  <si>
    <t>Task-based fMRI study</t>
  </si>
  <si>
    <t>Cannabis use vs control; behavioral measures</t>
  </si>
  <si>
    <t>https://openfmri.org/dataset/ds000174</t>
  </si>
  <si>
    <t>doi:10.1016/j.biopsych.2013.08.033</t>
  </si>
  <si>
    <t>OpenfMRI (OpenNeuro)</t>
  </si>
  <si>
    <t>not found</t>
  </si>
  <si>
    <t>Cleveland CCF</t>
  </si>
  <si>
    <t>Resting-state fMRI; Structural MRI</t>
  </si>
  <si>
    <t>Resting-state connectivity</t>
  </si>
  <si>
    <t>Physiological (HR, respiration); Demographics</t>
  </si>
  <si>
    <t>http://fcon_1000.projects.nitrc.org/indi/retro/ClevelandCCF.html</t>
  </si>
  <si>
    <t>Beall &amp; Lowe, NeuroImage 2007</t>
  </si>
  <si>
    <t>https://fcon_1000.projects.nitrc.org/indi/retro/ClevelandCCF.html</t>
  </si>
  <si>
    <t>"/mnt/data-nas/med_gli/CMI-HBN/"</t>
  </si>
  <si>
    <t>CMI-HBN</t>
  </si>
  <si>
    <t>MRI (T1, T2, fMRI, DTI); EEG</t>
  </si>
  <si>
    <t>Normative pediatric brain study</t>
  </si>
  <si>
    <t>Behavioral assessments; EEG measures</t>
  </si>
  <si>
    <t>http://fcon_1000.projects.nitrc.org/indi/cmi_healthy_brain_network</t>
  </si>
  <si>
    <t>https://fcon_1000.projects.nitrc.org/indi/cmi_hbn/</t>
  </si>
  <si>
    <t>COBRE</t>
  </si>
  <si>
    <t>Structural MRI; Resting-state fMRI</t>
  </si>
  <si>
    <t>Case–control classification (schizophrenia vs control)</t>
  </si>
  <si>
    <t>Diagnosis labels</t>
  </si>
  <si>
    <t>http://fcon_1000.projects.nitrc.org/indi/retro/cobre.html</t>
  </si>
  <si>
    <t>https://fcon_1000.projects.nitrc.org/indi/retro/COBRE.html</t>
  </si>
  <si>
    <t>"/mnt/data-nas/med_gli/physionet.org/"</t>
  </si>
  <si>
    <t>Computed Tomography Images for Intracranial Hemorrhage Detection and Segmentation</t>
  </si>
  <si>
    <t>Intracranial hemorrhage detection</t>
  </si>
  <si>
    <t>Hemorrhage segmentation masks</t>
  </si>
  <si>
    <t>https://physionet.org/content/ct-ich</t>
  </si>
  <si>
    <t>doi:10.13026/hn4p-mg70</t>
  </si>
  <si>
    <t>https://physionet.org/content/ct-ich/</t>
  </si>
  <si>
    <t>"/mnt/data-nas/med_gli/CoRR/"</t>
  </si>
  <si>
    <t>CoRR</t>
  </si>
  <si>
    <t>Resting-state fMRI</t>
  </si>
  <si>
    <t>Test–retest reliability</t>
  </si>
  <si>
    <t>Demographics; cognitive scores</t>
  </si>
  <si>
    <t>http://fcon_1000.projects.nitrc.org/indi/CoRR/html</t>
  </si>
  <si>
    <t>Zuo et al., Sci Data 2014</t>
  </si>
  <si>
    <t>https://fcon_1000.projects.nitrc.org/indi/CoRR/html/CoRR_HNU.html</t>
  </si>
  <si>
    <t>"/mnt/data-nas/med_gli/GBM/"</t>
  </si>
  <si>
    <t>CPTAC-GBM</t>
  </si>
  <si>
    <t>Glioblastoma masks</t>
  </si>
  <si>
    <t>https://www.cancerimagingarchive.net/collection/cptac-gbm</t>
  </si>
  <si>
    <t>https://www.cancerimagingarchive.net/collection/CPTAC-GBM/</t>
  </si>
  <si>
    <t>"/mnt/data-nas/med_gli/CQ500/"</t>
  </si>
  <si>
    <t>CQ500</t>
  </si>
  <si>
    <t>Intracranial hemorrhage classification</t>
  </si>
  <si>
    <t>Hemorrhage presence labels</t>
  </si>
  <si>
    <t>https://academictorrents.com/details/47e9d8aab761e75fd0a81982fa62bddf3a173831</t>
  </si>
  <si>
    <t>doi:10.1148/radiol.2018170983</t>
  </si>
  <si>
    <t>AcademicTorrents</t>
  </si>
  <si>
    <t>https://academictorrents.com/details/47e9d8aabdc76551cddac3e010b08d01f8f7d3d8</t>
  </si>
  <si>
    <t>"/mnt/data-nas/med_gli/crossMoDA2022/"</t>
  </si>
  <si>
    <t>crossMoDA 2022</t>
  </si>
  <si>
    <t>MRI (T1, FLAIR)</t>
  </si>
  <si>
    <t>Cross-domain segmentation</t>
  </si>
  <si>
    <t>Vestibular schwannoma masks</t>
  </si>
  <si>
    <t>https://crossmoda2022.grand-challenge.org</t>
  </si>
  <si>
    <t>https://crossmoda2022.grand-challenge.org/</t>
  </si>
  <si>
    <t>Access Requested</t>
  </si>
  <si>
    <t>crossMoDA 2023</t>
  </si>
  <si>
    <t>Cross-modal adaptation</t>
  </si>
  <si>
    <t>Segmentation masks</t>
  </si>
  <si>
    <t>https://www.synapse.org/#!Synapse:syn51236108/wiki/621615</t>
  </si>
  <si>
    <t>https://www.synapse.org/#!Synapse:syn51236108</t>
  </si>
  <si>
    <t>"/mnt/data-nas/med_gli/CUNMET/"</t>
  </si>
  <si>
    <t>CUNMET</t>
  </si>
  <si>
    <t>Functional connectivity</t>
  </si>
  <si>
    <t>Cognitive scores; demographics</t>
  </si>
  <si>
    <t>http://fcon_1000.projects.nitrc.org/indi/retro/CUNMET.html</t>
  </si>
  <si>
    <t>https://fcon_1000.projects.nitrc.org/indi/retro/CUNMET.html</t>
  </si>
  <si>
    <t>PI Needed for Access</t>
  </si>
  <si>
    <t>dbGaP</t>
  </si>
  <si>
    <t>Genotype &amp; Phenotype</t>
  </si>
  <si>
    <t>Genomic association</t>
  </si>
  <si>
    <t>Genotype–phenotype links</t>
  </si>
  <si>
    <t>https://www.ncbi.nlm.nih.gov/projects/gap/cgi-bin/study.cgi?study_id=phs000607.v3.p2</t>
  </si>
  <si>
    <t>https://www.ncbi.nlm.nih.gov/projects/gap/cgi-bin/study.cgi?study_id=phs000XXX</t>
  </si>
  <si>
    <t>"/mnt/data-nas/med_gli/DFCI/"</t>
  </si>
  <si>
    <t>DFCI-BCH-BWH-PEDs-HGG</t>
  </si>
  <si>
    <t>MRI (T1, T2)</t>
  </si>
  <si>
    <t>Pediatric tumor segmentation</t>
  </si>
  <si>
    <t>Tumor masks</t>
  </si>
  <si>
    <t>https://www.cancerimagingarchive.net/collection/dfci-bch-bwh-peds-hgg</t>
  </si>
  <si>
    <t>doi:10.7937/K9/TCIA.Paedi-HGG</t>
  </si>
  <si>
    <t>https://www.cancerimagingarchive.net/collection/DFCI-BCH-BWH-PEDs-HGG/</t>
  </si>
  <si>
    <t>NAS:DLBS</t>
  </si>
  <si>
    <t>https://fcon_1000.projects.nitrc.org/indi/retro/dlbs.html</t>
  </si>
  <si>
    <t>DLBS</t>
  </si>
  <si>
    <t>Structural MRI, DTI, task-based fMRI, resting-state fMRI, amyloid PET</t>
  </si>
  <si>
    <t>Normative aging cognitive study</t>
  </si>
  <si>
    <t>Cognitive data; APOE genotype; demographic</t>
  </si>
  <si>
    <t>http://fcon_1000.projects.nitrc.org/indi/retro/dlbs.html</t>
  </si>
  <si>
    <t>http://fcon_1000.projects.nitrc.org/indi/retro/DLBS.html</t>
  </si>
  <si>
    <t>NAS:</t>
  </si>
  <si>
    <r>
      <rPr/>
      <t xml:space="preserve">sent email. check </t>
    </r>
    <r>
      <rPr>
        <color rgb="FF1155CC"/>
        <u/>
      </rPr>
      <t>https://www.health-ri.nl/en/health-ri-service-desk?utm_source=chatgpt.com</t>
    </r>
  </si>
  <si>
    <t>EGD</t>
  </si>
  <si>
    <t>MRI (pre- and post-contrast T1, T2, FLAIR)</t>
  </si>
  <si>
    <t>Tumor and genetic analysis</t>
  </si>
  <si>
    <t>Whole tumor segmentations; genetic markers</t>
  </si>
  <si>
    <t>https://xnat.bmia.nl/data/archive/projects/egd</t>
  </si>
  <si>
    <t>10.1016/j.dib.2021.107191</t>
  </si>
  <si>
    <t>XNAT</t>
  </si>
  <si>
    <t>NAS: EPISURG</t>
  </si>
  <si>
    <r>
      <rPr/>
      <t xml:space="preserve">link move to: </t>
    </r>
    <r>
      <rPr>
        <color rgb="FF1155CC"/>
        <u/>
      </rPr>
      <t>https://rdr.ucl.ac.uk/articles/dataset/EPISURG_a_dataset_of_postoperative_magnetic_resonance_images_MRI_for_quantitative_analysis_of_resection_neurosurgery_for_refractory_epilepsy/9996158?file=26153588</t>
    </r>
  </si>
  <si>
    <t>EPISURG</t>
  </si>
  <si>
    <t>Resection cavity segmentation</t>
  </si>
  <si>
    <t>Resection cavity masks by raters</t>
  </si>
  <si>
    <t>https://rdr.ucl.ac.uk/articles/dataset/EPISURG_a_dataset_of_postoperative_magnetic_resonance_images_MRI_for_quantitative_analysis_of_resection_neurosurgery_for_refractory_epilepsy/9996158</t>
  </si>
  <si>
    <t>10.5522/04/9996158</t>
  </si>
  <si>
    <t>UCL RDR</t>
  </si>
  <si>
    <t>https://rdr.ucl.ac.uk/articles/dataset/EPISURG</t>
  </si>
  <si>
    <t>NAS: synapse</t>
  </si>
  <si>
    <t>FeTS 2022</t>
  </si>
  <si>
    <t>mpMRI (T1, T1-Gd, T2, T2-FLAIR)</t>
  </si>
  <si>
    <t>Brain tumor segmentation</t>
  </si>
  <si>
    <t>Expert tumor subregion masks</t>
  </si>
  <si>
    <t>https://www.synapse.org/Synapse:syn28546456/wiki/617093</t>
  </si>
  <si>
    <t>10.1007/978-3-031-44153-0_15</t>
  </si>
  <si>
    <t>https://www.synapse.org/#!Synapse:syn28546456</t>
  </si>
  <si>
    <t>data same as FeTS2022</t>
  </si>
  <si>
    <t>FeTS 2024</t>
  </si>
  <si>
    <t>Federated tumor segmentation</t>
  </si>
  <si>
    <t>Federated segmentation masks</t>
  </si>
  <si>
    <t>https://www.synapse.org/Synapse:syn54079892/wiki</t>
  </si>
  <si>
    <t>https://zenodo.org/records/10990500</t>
  </si>
  <si>
    <t>https://www.synapse.org/#!Synapse:syn54079892</t>
  </si>
  <si>
    <t>NAS: FIND_Lab</t>
  </si>
  <si>
    <r>
      <rPr/>
      <t xml:space="preserve">(not sure whether finished)link: </t>
    </r>
    <r>
      <rPr>
        <color rgb="FF1155CC"/>
        <u/>
      </rPr>
      <t>http://fcon_1000.projects.nitrc.org/indi/retro/find_stanford.html</t>
    </r>
  </si>
  <si>
    <t>FIND Lab</t>
  </si>
  <si>
    <t>Structural MRI, task-based fMRI</t>
  </si>
  <si>
    <t>Task-based cognitive paradigms</t>
  </si>
  <si>
    <t>Task condition labels</t>
  </si>
  <si>
    <t>http://fcon_1000.projects.nitrc.org/indi/retro/find_stanford.html</t>
  </si>
  <si>
    <t>10.1093/cercor/bhr224</t>
  </si>
  <si>
    <t>http://fcon_1000.projects.nitrc.org/indi/retro/FIND_Lab.html</t>
  </si>
  <si>
    <t>cant find p=CHARM</t>
  </si>
  <si>
    <t>GMSC</t>
  </si>
  <si>
    <t>Challenge evaluation</t>
  </si>
  <si>
    <t>Manual segmentation masks</t>
  </si>
  <si>
    <t>http://niftyweb.cs.ucl.ac.uk/program.php?p=CHALLENGE</t>
  </si>
  <si>
    <t>NiftyWeb</t>
  </si>
  <si>
    <t>http://niftyweb.cs.ucl.ac.uk/program.php?p=CHARM</t>
  </si>
  <si>
    <t>NAS: shared_data.zip</t>
  </si>
  <si>
    <t>Gray matter segmentation at 7T MRI</t>
  </si>
  <si>
    <t>7T MRI (MP2RAGE, multi-echo GRE)</t>
  </si>
  <si>
    <t>Gray matter segmentation at ultra high field</t>
  </si>
  <si>
    <t>Hand-labeled cortical gray matter</t>
  </si>
  <si>
    <t>https://zenodo.org/records/1206163</t>
  </si>
  <si>
    <t>10.1371/journal.pone.0198335</t>
  </si>
  <si>
    <t>pending, waiting for permission</t>
  </si>
  <si>
    <t>GSP</t>
  </si>
  <si>
    <t>Structural MRI, resting-state fMRI</t>
  </si>
  <si>
    <t>Open access multimodal dataset</t>
  </si>
  <si>
    <t>Precomputed morphometrics</t>
  </si>
  <si>
    <t>https://www.neuroinfo.org/gsp</t>
  </si>
  <si>
    <t>10.1038/sdata.2015.31</t>
  </si>
  <si>
    <t>https://www.neuroinfo.org/gsp/</t>
  </si>
  <si>
    <t>HARDI 2012</t>
  </si>
  <si>
    <t>Diffusion MRI (HARDI)</t>
  </si>
  <si>
    <t>Intra-voxel fiber reconstruction challenge</t>
  </si>
  <si>
    <t>Synthetic ground-truth fibers</t>
  </si>
  <si>
    <t>http://hardi.epfl.ch/static/events/2012_ISBI</t>
  </si>
  <si>
    <t>10.1109/TMI.2013.2285500</t>
  </si>
  <si>
    <t>Google Sites</t>
  </si>
  <si>
    <t>https://sites.google.com/site/oxonhardi/</t>
  </si>
  <si>
    <t>NAS: HARDI2013</t>
  </si>
  <si>
    <r>
      <rPr/>
      <t xml:space="preserve">link being </t>
    </r>
    <r>
      <rPr>
        <color rgb="FF1155CC"/>
        <u/>
      </rPr>
      <t>https://hardi.epfl.ch/static/events/2013_ISBI/</t>
    </r>
  </si>
  <si>
    <t>HARDI 2013</t>
  </si>
  <si>
    <t>Fiber orientation reconstruction challenge</t>
  </si>
  <si>
    <t>Phantom ground-truth directions</t>
  </si>
  <si>
    <t>http://hardi.epfl.ch/static/events/2013_ISBI</t>
  </si>
  <si>
    <t>EPFL</t>
  </si>
  <si>
    <t>http://hardi.epfl.ch/static/events/2013_ISBI_challenge/</t>
  </si>
  <si>
    <t>NAS: HBN-SSI</t>
  </si>
  <si>
    <t>HBN-SSI</t>
  </si>
  <si>
    <t>sMRI, resting-state fMRI, DKI, EEG</t>
  </si>
  <si>
    <t>Serial scanning (EO/EC/naturalistic)</t>
  </si>
  <si>
    <t>Phenotypic CSV, event markers</t>
  </si>
  <si>
    <t>http://fcon_1000.projects.nitrc.org/indi/hbn_ssi</t>
  </si>
  <si>
    <t>28369458</t>
  </si>
  <si>
    <t>AWS S3</t>
  </si>
  <si>
    <t>https://fcon_1000.projects.nitrc.org/indi/hbn_ssi/</t>
  </si>
  <si>
    <t>HCP</t>
  </si>
  <si>
    <t>Structural MRI (T1w, T2w), diffusion MRI, fMRI</t>
  </si>
  <si>
    <t>Multi-modal imaging from young adults</t>
  </si>
  <si>
    <t>Preprocessed pipelines outputs</t>
  </si>
  <si>
    <t>http://www.humanconnectomeproject.org</t>
  </si>
  <si>
    <t>Van Essen et al. 2013</t>
  </si>
  <si>
    <t>https://db.humanconnectome.org</t>
  </si>
  <si>
    <t>NAS: MSD</t>
  </si>
  <si>
    <t>Hippocampus Segmentation</t>
  </si>
  <si>
    <t>Hippocampus segmentation</t>
  </si>
  <si>
    <t>Manual hippocampus masks</t>
  </si>
  <si>
    <t>https://www.kaggle.com/datasets/andrewmvd/hippocampus-segmentation-in-mri-images</t>
  </si>
  <si>
    <t>MSD Task04</t>
  </si>
  <si>
    <t>https://decathlon-10.grand-challenge.org/</t>
  </si>
  <si>
    <t>NAS: HNU</t>
  </si>
  <si>
    <t>HNU Short TR</t>
  </si>
  <si>
    <t>Resting-state fMRI (eyes open/closed)</t>
  </si>
  <si>
    <t>Eyes open vs closed resting-state</t>
  </si>
  <si>
    <t>http://fcon_1000.projects.nitrc.org/indi/retro/hnu_liu_short_tr_index.html</t>
  </si>
  <si>
    <t>10.3389/fnhum.2016.00243</t>
  </si>
  <si>
    <t>https://fcon_1000.projects.nitrc.org/indi/retro/hnu_liu_short_tr_index.html</t>
  </si>
  <si>
    <t>NAS: Hypo-Seg</t>
  </si>
  <si>
    <t>cant find MiLI, finished others</t>
  </si>
  <si>
    <t>Hypothalamus Segmentation</t>
  </si>
  <si>
    <t>Manual &amp; automatic segmentation masks</t>
  </si>
  <si>
    <t>https://codalab.lisn.upsaclay.fr/competitions/7583</t>
  </si>
  <si>
    <t>Rodrigues et al., NeuroImage 2022</t>
  </si>
  <si>
    <t>NAS: IBSR</t>
  </si>
  <si>
    <t>IBSR</t>
  </si>
  <si>
    <t>Tissue segmentation</t>
  </si>
  <si>
    <t>Manual GM/WM/CSF labels</t>
  </si>
  <si>
    <t>https://www.nitrc.org/projects/ibsr/</t>
  </si>
  <si>
    <t>NITRC IBSR project page</t>
  </si>
  <si>
    <t>NAS: Hypo-Seg/IXI</t>
  </si>
  <si>
    <t>IXI</t>
  </si>
  <si>
    <t>T1, T2, PD-weighted MRI</t>
  </si>
  <si>
    <t>Atlas &amp; segmentation research</t>
  </si>
  <si>
    <t>Demographics; limited manual processing</t>
  </si>
  <si>
    <t>2009</t>
  </si>
  <si>
    <t>https://brain-development.org/ixi-dataset</t>
  </si>
  <si>
    <t>IXI dataset, Brain Development</t>
  </si>
  <si>
    <t>Brain Development</t>
  </si>
  <si>
    <t>LGG-1p19qDeletion</t>
  </si>
  <si>
    <t>T1, T2, FLAIR MRI</t>
  </si>
  <si>
    <t>Slice-level tumor segmentation &amp; codeletion classification</t>
  </si>
  <si>
    <t>Tumor masks &amp; 1p/19q status labels</t>
  </si>
  <si>
    <t>https://www.cancerimagingarchive.net/collection/lgg-1p19qdeletion</t>
  </si>
  <si>
    <t>TCIA LGG-1p19qDeletion page</t>
  </si>
  <si>
    <t>https://wiki.cancerimagingarchive.net/display/Public/LGG-1p19qDeletion</t>
  </si>
  <si>
    <t>NAS: long-MR-MS</t>
  </si>
  <si>
    <t>long-MR-MS</t>
  </si>
  <si>
    <t>Longitudinal lesion change segmentation</t>
  </si>
  <si>
    <t>Lesion change masks &amp; brain masks</t>
  </si>
  <si>
    <t>≈3.1</t>
  </si>
  <si>
    <t>https://lit.fe.uni-lj.si/en/research/resources/long-MR-MS</t>
  </si>
  <si>
    <t>Lesjak et al., Neuroinformatics 2018</t>
  </si>
  <si>
    <t>University of Ljubljana</t>
  </si>
  <si>
    <t>NAS: M4Raw.zip</t>
  </si>
  <si>
    <t>ver 1.6</t>
  </si>
  <si>
    <t>M4Raw</t>
  </si>
  <si>
    <t>Multi-channel raw k-space MRI</t>
  </si>
  <si>
    <t>Image reconstruction &amp; denoising benchmark</t>
  </si>
  <si>
    <t>2D slices</t>
  </si>
  <si>
    <t>https://zenodo.org/records/7523691</t>
  </si>
  <si>
    <t>Lyu et al., Sci Data 2023</t>
  </si>
  <si>
    <t>NAS: MASSIVE</t>
  </si>
  <si>
    <t>MASSIVE</t>
  </si>
  <si>
    <t>Diffusion MRI, T1, T2, FLAIR</t>
  </si>
  <si>
    <t>Standardization &amp; validation of structural imaging</t>
  </si>
  <si>
    <t>https://www.massive-data.org/massive-data</t>
  </si>
  <si>
    <t>Leemans et al., Magn Reson Med. 2016</t>
  </si>
  <si>
    <t>MASSIVE-data.org</t>
  </si>
  <si>
    <t>pending. waiting for response</t>
  </si>
  <si>
    <t>MEMENTO</t>
  </si>
  <si>
    <t>Diffusion MRI (PGSE, DDE, DODE)</t>
  </si>
  <si>
    <t>Signal prediction challenge</t>
  </si>
  <si>
    <t>1D signal</t>
  </si>
  <si>
    <t>https://my.vanderbilt.edu/memento</t>
  </si>
  <si>
    <t>Schilling et al., bioRxiv 2021</t>
  </si>
  <si>
    <t>QMENTA</t>
  </si>
  <si>
    <t>NAS: MICA-MICs</t>
  </si>
  <si>
    <t>MICA-MICs</t>
  </si>
  <si>
    <t>T1, qT1, DWI, fMRI</t>
  </si>
  <si>
    <t>Connectome generation &amp; analysis</t>
  </si>
  <si>
    <t>Connectome matrices</t>
  </si>
  <si>
    <t>https://portal.conp.ca/dataset?id=projects/mica-mics</t>
  </si>
  <si>
    <t>Royer et al., bioRxiv 2021</t>
  </si>
  <si>
    <t>CONP Portal</t>
  </si>
  <si>
    <t>NAS: Mindboggle</t>
  </si>
  <si>
    <t>Mindboggle</t>
  </si>
  <si>
    <t>Cortical labeling &amp; shape analysis</t>
  </si>
  <si>
    <t>Manual cortical labels</t>
  </si>
  <si>
    <t>https://mindboggle.info/data.html</t>
  </si>
  <si>
    <t>Klein &amp; Tourville, Front Neurosci. 2012</t>
  </si>
  <si>
    <t>OSF / Harvard Dataverse</t>
  </si>
  <si>
    <t>https://osf.io/ydyxu/</t>
  </si>
  <si>
    <t>NAS:MIRIAD</t>
  </si>
  <si>
    <r>
      <rPr/>
      <t xml:space="preserve">download at </t>
    </r>
    <r>
      <rPr>
        <color rgb="FF1155CC"/>
        <u/>
      </rPr>
      <t>http://miriad.drc.ion.ucl.ac.uk/atrophychallenge/data/projects/MIRIAD/resources/1682/files</t>
    </r>
  </si>
  <si>
    <t>MIRIAD</t>
  </si>
  <si>
    <t>Longitudinal atrophy measurement</t>
  </si>
  <si>
    <t>https://www.ucl.ac.uk/drc/research-clinical-trials/minimal-interval-resonance-imaging-alzheimers-disease-miriad</t>
  </si>
  <si>
    <t>Malone et al., NeuroImage 2012</t>
  </si>
  <si>
    <t>https://www.nitrc.org/projects/miriad/</t>
  </si>
  <si>
    <t>NAS: mm-brain-MR</t>
  </si>
  <si>
    <t>mm-brain-MR</t>
  </si>
  <si>
    <t>T1, T2, PD, FLAIR MRI</t>
  </si>
  <si>
    <t>Phantom tumor segmentation validation</t>
  </si>
  <si>
    <t>Anatomical ground truth</t>
  </si>
  <si>
    <t>≈1.5</t>
  </si>
  <si>
    <t>2005</t>
  </si>
  <si>
    <t>https://lit.fe.uni-lj.si/en/research/resources/mm-brain-MR</t>
  </si>
  <si>
    <t>Galimzianova &amp; Špiclin 2005</t>
  </si>
  <si>
    <t>https://lit.fe.uni-lj.si/en/research/resources/mm-brain-mr</t>
  </si>
  <si>
    <t>NAS: MMRR</t>
  </si>
  <si>
    <t>MMRR</t>
  </si>
  <si>
    <t>T1-weighted MRI, DTI</t>
  </si>
  <si>
    <t>Reproducibility assessment</t>
  </si>
  <si>
    <t>2010</t>
  </si>
  <si>
    <t>https://www.nitrc.org/projects/multimodal</t>
  </si>
  <si>
    <t>Landman et al., NeuroImage 2010</t>
  </si>
  <si>
    <t>https://www.nitrc.org/projects/multimodal/</t>
  </si>
  <si>
    <t>NAS: MNI-HiSUB25</t>
  </si>
  <si>
    <t>MNI-HiSUB25</t>
  </si>
  <si>
    <t>T1, T2-weighted MRI</t>
  </si>
  <si>
    <t>Subfield segmentation</t>
  </si>
  <si>
    <t>Manual hippocampal subfields</t>
  </si>
  <si>
    <t>http://fcon_1000.projects.nitrc.org/indi/retro/mni_hipposeg.html</t>
  </si>
  <si>
    <t>Wisse et al., Sci Data 2015</t>
  </si>
  <si>
    <t>https://www.nitrc.org/projects/mni-hisub25/</t>
  </si>
  <si>
    <t>NAS: ds000221-download</t>
  </si>
  <si>
    <t>MPI-LEMON</t>
  </si>
  <si>
    <t>T1map, T1w, FLAIR, T2w, DWI, BOLD</t>
  </si>
  <si>
    <t>Resting-state &amp; structural imaging</t>
  </si>
  <si>
    <t>http://fcon_1000.projects.nitrc.org/indi/retro/MPI_LEMON.html</t>
  </si>
  <si>
    <t>Babayan et al., Sci Data 2019</t>
  </si>
  <si>
    <t>https://openneuro.org/datasets/ds000221</t>
  </si>
  <si>
    <t>NAS: MRBrainS18.zip</t>
  </si>
  <si>
    <t>MRBrainS18</t>
  </si>
  <si>
    <t>MRI (T1, T1-IR, T2-FLAIR)</t>
  </si>
  <si>
    <t>https://mrbrains18.isi.uu.nl/</t>
  </si>
  <si>
    <t>https://doi.org/10.1007/978-3-030-11723-8_1</t>
  </si>
  <si>
    <t>DataVerseNL</t>
  </si>
  <si>
    <t>https://mrbrains18.isi.uu.nl/data/download/index.html</t>
  </si>
  <si>
    <t>NAS: mri-and-alzheimers.zip</t>
  </si>
  <si>
    <t>MRI and Alzheimers</t>
  </si>
  <si>
    <t>https://www.kaggle.com/datasets/jboysen/mri-and-alzheimers</t>
  </si>
  <si>
    <t>NAS: MSSeg/msseg2008</t>
  </si>
  <si>
    <t>try again sometime; some issue w/ hosting site</t>
  </si>
  <si>
    <t>MSSeg 2008</t>
  </si>
  <si>
    <t>Lesion masks</t>
  </si>
  <si>
    <t>NAS: MSSeg/msseg2016</t>
  </si>
  <si>
    <t>MSSEG 2016</t>
  </si>
  <si>
    <t>MRI (T1, T2, PD, T2-FLAIR)</t>
  </si>
  <si>
    <t>https://portal.fli-iam.irisa.fr/msseg-challenge</t>
  </si>
  <si>
    <t>FLI-IAM portal</t>
  </si>
  <si>
    <r>
      <rPr/>
      <t xml:space="preserve">link: </t>
    </r>
    <r>
      <rPr>
        <color rgb="FF1155CC"/>
        <u/>
      </rPr>
      <t>https://tbichallenge.wordpress.com/data/</t>
    </r>
  </si>
  <si>
    <t>MTOP2016</t>
  </si>
  <si>
    <t>MRI (T1, DTI-FA, DTI-MD)</t>
  </si>
  <si>
    <t>Clustering</t>
  </si>
  <si>
    <t>Labels (3‑category: healthy, patient I, patient II)</t>
  </si>
  <si>
    <t>https://www.smir.ch/MTOP/Start2016</t>
  </si>
  <si>
    <t>https://docs.smir.ch/MTOP/Start2016</t>
  </si>
  <si>
    <t>NAS: multishell_diffu_MRI</t>
  </si>
  <si>
    <t>Multi-shell diffusion MRI</t>
  </si>
  <si>
    <t>MRI (T1, multi-shell DWI)</t>
  </si>
  <si>
    <t>Harmonization</t>
  </si>
  <si>
    <t>https://figshare.com/articles/dataset/Multicenter_dataset_of_multishell_diffusion_magnetic_resonance_imaging_in_healthy_traveling_adults_with_identical_setting/8851955</t>
  </si>
  <si>
    <t>https://doi.org/10.1038/s41597-020-0493-8</t>
  </si>
  <si>
    <t>https://figshare.com/articles/dataset/Multicenter_dataset_of_multicenter_diffusion_MRI_in_healthy_traveling_adults_with_identical_setting/8851955</t>
  </si>
  <si>
    <t>NAS: MMCP</t>
  </si>
  <si>
    <t>Multimodal MRI of chess players</t>
  </si>
  <si>
    <t>MRI (T1, fMRI, DTI)</t>
  </si>
  <si>
    <t>Labels (grandmasters vs novices)</t>
  </si>
  <si>
    <t>http://fcon_1000.projects.nitrc.org/indi/pro/wchsu_li_index.html</t>
  </si>
  <si>
    <t>https://doi.org/10.1038/sdata.2015.100</t>
  </si>
  <si>
    <t>NAS: Narratives</t>
  </si>
  <si>
    <t>Narratives</t>
  </si>
  <si>
    <t>fMRI, anatomical MRI</t>
  </si>
  <si>
    <t>Story listening</t>
  </si>
  <si>
    <t>http://fcon_1000.projects.nitrc.org/indi/retro/Narratives.html</t>
  </si>
  <si>
    <t>https://doi.org/10.1038/s41597-021-00968-0</t>
  </si>
  <si>
    <t>NAS: Naturalistic_Viewing</t>
  </si>
  <si>
    <t>Naturalistic Viewing</t>
  </si>
  <si>
    <t>fMRI, EEG</t>
  </si>
  <si>
    <t>Naturalistic viewing (movie)</t>
  </si>
  <si>
    <t>http://fcon_1000.projects.nitrc.org/indi/retro/nat_view.html</t>
  </si>
  <si>
    <t>https://fcon_1000.projects.nitrc.org/indi/retro/NAT_VIEW/nat_view_links.html</t>
  </si>
  <si>
    <t>a platform, not clear what to download</t>
  </si>
  <si>
    <t>NCANDA-A</t>
  </si>
  <si>
    <t>MRI (structural, DTI, rs-fMRI)</t>
  </si>
  <si>
    <t>https://ncanda.org</t>
  </si>
  <si>
    <t>https://doi.org/10.1007/s12021-015-9264-7</t>
  </si>
  <si>
    <t>LONI IDA</t>
  </si>
  <si>
    <t>https://ida.loni.usc.edu/login.jsp?project=NCANDA</t>
  </si>
  <si>
    <t>NAS: NEO2012</t>
  </si>
  <si>
    <t>not clear where to request</t>
  </si>
  <si>
    <t>NEO2012</t>
  </si>
  <si>
    <t>Personality traits (NEO-FFI)</t>
  </si>
  <si>
    <t>http://fcon_1000.projects.nitrc.org/indi/retro/NEO2012.html</t>
  </si>
  <si>
    <t>https://doi.org/10.1371/journal.pone.0027633</t>
  </si>
  <si>
    <t>NAS: NeuAtlas</t>
  </si>
  <si>
    <t>Just an e.g. , they seems to provide some paid subscription</t>
  </si>
  <si>
    <t>NeuAtlas Labeled Brain Scans</t>
  </si>
  <si>
    <t>MRI (T1)</t>
  </si>
  <si>
    <t>Atlas creation</t>
  </si>
  <si>
    <t>http://www.neuromorphometrics.com/?page_id=23</t>
  </si>
  <si>
    <t>Neuromorphometrics</t>
  </si>
  <si>
    <t>https://neuromorphometrics.com/?page_id=310</t>
  </si>
  <si>
    <t>NeuroImage article by Power et al.</t>
  </si>
  <si>
    <t>http://fcon_1000.projects.nitrc.org/indi/retro/Power2012.html</t>
  </si>
  <si>
    <t>North Shore - LIJ</t>
  </si>
  <si>
    <t>http://fcon_1000.projects.nitrc.org/indi/retro/NorthShoreLIJ.html</t>
  </si>
  <si>
    <t>NAS: NSD</t>
  </si>
  <si>
    <t>aws s3 sync --no-sign-request s3://natural-scenes-dataset/nsddata_stimuli/ ./nsddata_stimuli or aws s3 ls --no-sign-request s3://natural-scenes-dataset/</t>
  </si>
  <si>
    <t>NSD</t>
  </si>
  <si>
    <t>http://www.naturalscenesdataset.org</t>
  </si>
  <si>
    <t>NYUIQ</t>
  </si>
  <si>
    <t>IQ scores</t>
  </si>
  <si>
    <t>http://fcon_1000.projects.nitrc.org/indi/pro/nyu.html</t>
  </si>
  <si>
    <t>https://doi.org/10.1016/j.neuroimage.2010.05.052</t>
  </si>
  <si>
    <t>NAS: Parkinson</t>
  </si>
  <si>
    <t>Parkinson's Disease Datasets</t>
  </si>
  <si>
    <t>MRI (T1w, rs-fMRI)</t>
  </si>
  <si>
    <t>Romania; China</t>
  </si>
  <si>
    <t>http://fcon_1000.projects.nitrc.org/indi/retro/parkinsons.html</t>
  </si>
  <si>
    <t>https://doi.org/10.1371/journal.pone.0188196</t>
  </si>
  <si>
    <t>NAS: PERform.zip</t>
  </si>
  <si>
    <t>ver 2.0</t>
  </si>
  <si>
    <t>PERFORM</t>
  </si>
  <si>
    <t>Physiological signals (ECG, PPG, respiratory)</t>
  </si>
  <si>
    <t>Signal analysis</t>
  </si>
  <si>
    <t>–</t>
  </si>
  <si>
    <t>https://zenodo.org/records/5749645</t>
  </si>
  <si>
    <t>https://zenodo.org/records/6950488</t>
  </si>
  <si>
    <t>cant proceed to dataset page</t>
  </si>
  <si>
    <t>PING</t>
  </si>
  <si>
    <t>MRI (structural)</t>
  </si>
  <si>
    <t>Neurodevelopment study</t>
  </si>
  <si>
    <t>Genotype and cognitive measures</t>
  </si>
  <si>
    <t>https://www.nitrc.org/projects/ping</t>
  </si>
  <si>
    <t>https://doi.org/10.1016/j.neuroimage.2015.04.057</t>
  </si>
  <si>
    <t>https://www.nitrc.org/projects/ping/</t>
  </si>
  <si>
    <t>NAS: PPMI</t>
  </si>
  <si>
    <t>need to check about this, with some IP issue(maybe) at https://www.ppmi-info.org/sites/default/files/docs/ppmi-data-use-agreement.pdf</t>
  </si>
  <si>
    <t>PPMI</t>
  </si>
  <si>
    <t>MRI, DaT-SPECT</t>
  </si>
  <si>
    <t>Longitudinal observational study</t>
  </si>
  <si>
    <t>Clinical and biomarker measures</t>
  </si>
  <si>
    <t>https://www.ppmi-info.org</t>
  </si>
  <si>
    <t>PPMI website</t>
  </si>
  <si>
    <t>https://www.ppmi-info.org/access-data-specimens/download-data</t>
  </si>
  <si>
    <t>I'm a PhD student from OPTMAI Lab@TAMU advised by Prof. Tianbao Yang. We're gathering medical datasets to pretrain an open-source medical model upon them. For research purpose only.</t>
  </si>
  <si>
    <t>NAS: Prenatal_brain</t>
  </si>
  <si>
    <t>Prenatal brain</t>
  </si>
  <si>
    <t>MRI (fetal brain)</t>
  </si>
  <si>
    <t>Anatomical structure labels</t>
  </si>
  <si>
    <t>Poland</t>
  </si>
  <si>
    <t>https://f1000research.com/articles/6-93/v2</t>
  </si>
  <si>
    <t>https://doi.org/10.12688/f1000research.10723.1</t>
  </si>
  <si>
    <t>F1000Research</t>
  </si>
  <si>
    <t>NAS: conp</t>
  </si>
  <si>
    <t>https://portal.conp.ca/dataset?id=projects/preventad-open#dataladInstructions</t>
  </si>
  <si>
    <t>PREVENT-AD</t>
  </si>
  <si>
    <t>Longitudinal study</t>
  </si>
  <si>
    <t>Cognitive and biomarker measures</t>
  </si>
  <si>
    <t>Canada</t>
  </si>
  <si>
    <t>https://openpreventad.loris.ca</t>
  </si>
  <si>
    <t>https://doi.org/10.1101/2020.03.04.976670</t>
  </si>
  <si>
    <t>https://portal.conp.ca/dataset?id=projects/preventad-open</t>
  </si>
  <si>
    <t>NAS:PRIME-DE</t>
  </si>
  <si>
    <r>
      <rPr/>
      <t xml:space="preserve">also check </t>
    </r>
    <r>
      <rPr>
        <color rgb="FF1155CC"/>
        <u/>
      </rPr>
      <t>http://fcon_1000.projects.nitrc.org/indi/PRIMEdownloads.html</t>
    </r>
    <r>
      <rPr/>
      <t xml:space="preserve"> before usage</t>
    </r>
  </si>
  <si>
    <t>PRIME-DE</t>
  </si>
  <si>
    <t>MRI (T1w, T2w, rs-fMRI, DWI, MRS)</t>
  </si>
  <si>
    <t>Nonhuman primate imaging repository</t>
  </si>
  <si>
    <t>http://fcon_1000.projects.nitrc.org/indi/indiPRIME.html</t>
  </si>
  <si>
    <t>https://doi.org/10.1101/227462</t>
  </si>
  <si>
    <t>QIN GBM Treatment Response</t>
  </si>
  <si>
    <t>MRI (multi-parametric)</t>
  </si>
  <si>
    <t>Treatment response monitoring</t>
  </si>
  <si>
    <t>https://www.cancerimagingarchive.net/collection/qin-gbm-treatment-response</t>
  </si>
  <si>
    <t>Quiron-Valencia</t>
  </si>
  <si>
    <t>MRI (anatomical, resting-state fMRI)</t>
  </si>
  <si>
    <t>Spain</t>
  </si>
  <si>
    <t>http://fcon_1000.projects.nitrc.org/indi/pro/Quiron-Valencia.html</t>
  </si>
  <si>
    <t>NAS: realnoiseMRI</t>
  </si>
  <si>
    <t>RealNoiseMRI</t>
  </si>
  <si>
    <t>MRI (brain)</t>
  </si>
  <si>
    <t>Reconstruction</t>
  </si>
  <si>
    <t>Ground truth images</t>
  </si>
  <si>
    <t>Denmark</t>
  </si>
  <si>
    <t>https://realnoisemri.grand-challenge.org</t>
  </si>
  <si>
    <t>https://realnoisemri.grand-challenge.org/Data_1/</t>
  </si>
  <si>
    <t>REMBRANDT</t>
  </si>
  <si>
    <t>MRI (T1, T1c, T2, FLAIR)</t>
  </si>
  <si>
    <t>Imaging repository</t>
  </si>
  <si>
    <t>https://www.cancerimagingarchive.net/collection/rembrandt</t>
  </si>
  <si>
    <t>https://www.cancerimagingarchive.net/collection/rembrandt/</t>
  </si>
  <si>
    <t>MRI, Ultrasound</t>
  </si>
  <si>
    <t>Homologous landmarks</t>
  </si>
  <si>
    <t>https://archive.norstore.no/pages/public/datasetDetail.jsf?id=10.11582/2017.00004</t>
  </si>
  <si>
    <t>https://doi.org/10.11582/2017.00004</t>
  </si>
  <si>
    <t>Norstore NIRD</t>
  </si>
  <si>
    <t>RIDER NEURO MRI</t>
  </si>
  <si>
    <t>MRI (DCE, DWI, DTI)</t>
  </si>
  <si>
    <t>Test-retest reproducibility</t>
  </si>
  <si>
    <t>https://www.cancerimagingarchive.net/collection/rider-neuro-mri</t>
  </si>
  <si>
    <t>10.7937/K9/TCIA.2015.VOSN3HN1</t>
  </si>
  <si>
    <t>https://www.cancerimagingarchive.net/collection/rider-neuro-mri/</t>
  </si>
  <si>
    <t>NAS: /RSNA_BrainTumorRC</t>
  </si>
  <si>
    <t>RSNA Brain Tumor</t>
  </si>
  <si>
    <t>MRI (mpMRI)</t>
  </si>
  <si>
    <t>Tumor sub-region segmentations, MGMT methylation status</t>
  </si>
  <si>
    <t>https://www.rsna.org/rsnai/ai-image-challenge/brain-tumor-ai-challenge-2021</t>
  </si>
  <si>
    <t>RSNA</t>
  </si>
  <si>
    <t>NAS: SALD</t>
  </si>
  <si>
    <t>SALD</t>
  </si>
  <si>
    <t>sMRI, fMRI</t>
  </si>
  <si>
    <t>Age, sex, handedness, QAP measures</t>
  </si>
  <si>
    <t>http://fcon_1000.projects.nitrc.org/indi/retro/sald.html</t>
  </si>
  <si>
    <t>Wei et al., Sci Data 5:180134 (2018)</t>
  </si>
  <si>
    <t>Amazon S3</t>
  </si>
  <si>
    <t>http://fcon_1000.projects.nitrc.org/indi/retro/SALD.html</t>
  </si>
  <si>
    <t>pending. no distribute. waiting for access. Need to notify owner about published article.</t>
  </si>
  <si>
    <t>Shifts Challenge 2022</t>
  </si>
  <si>
    <t>3D MRI, Tabular</t>
  </si>
  <si>
    <t>Segmentation, Regression</t>
  </si>
  <si>
    <t>Lesion masks, power labels</t>
  </si>
  <si>
    <t>2100</t>
  </si>
  <si>
    <t>https://shifts.grand-challenge.org</t>
  </si>
  <si>
    <t>Malinin et al., arXiv:2206.15407</t>
  </si>
  <si>
    <t>https://zenodo.org/records/7051658</t>
  </si>
  <si>
    <t>pending. waiting for contact from organizer</t>
  </si>
  <si>
    <t>SHINY-ICARUS</t>
  </si>
  <si>
    <t>3D rotational angiography</t>
  </si>
  <si>
    <t>Vessel segmentation masks</t>
  </si>
  <si>
    <t>https://www.synapse.org/Synapse:syn45774070/wiki/619953</t>
  </si>
  <si>
    <t>DOI:10.17023/z7f7-kz51</t>
  </si>
  <si>
    <t>https://www.synapse.org/shiny_icarus</t>
  </si>
  <si>
    <t>NAS: SIMON</t>
  </si>
  <si>
    <t>SIMON</t>
  </si>
  <si>
    <t>MRI (T1, T2, PD, T2*, DWI, rs-fMRI, ASL)</t>
  </si>
  <si>
    <t>Reproducibility analysis</t>
  </si>
  <si>
    <t>Demographics</t>
  </si>
  <si>
    <t>http://fcon_1000.projects.nitrc.org/indi/retro/SIMON.html</t>
  </si>
  <si>
    <t>Duchesne et al., J Magn Reson Imaging. 2019</t>
  </si>
  <si>
    <t>https://fcp-indi.s3.amazonaws.com/data/Projects/INDI/SIMON/rawdata</t>
  </si>
  <si>
    <t>NAS: SinoCT</t>
  </si>
  <si>
    <t>should be fine for training a model</t>
  </si>
  <si>
    <t>SinoCT</t>
  </si>
  <si>
    <t>Normal/abnormal labels</t>
  </si>
  <si>
    <t>https://stanfordaimi.azurewebsites.net/datasets/3de8cef8-0626-4c5d-ac47-ed0fed22ac99</t>
  </si>
  <si>
    <t>Stanford AIMI page</t>
  </si>
  <si>
    <t>https://aimi.stanford.edu/datasets/sinoct</t>
  </si>
  <si>
    <t>pending. waiting for approval from organizer</t>
  </si>
  <si>
    <t>SLCN</t>
  </si>
  <si>
    <t>Surface MRI metrics</t>
  </si>
  <si>
    <t>Birth age prediction</t>
  </si>
  <si>
    <t>Age at scan, sex</t>
  </si>
  <si>
    <t>https://slcn.grand-challenge.org</t>
  </si>
  <si>
    <t>Fawaz et al., bioRxiv 2021; Dahan et al., MIDL 2022</t>
  </si>
  <si>
    <t>https://slcn.grand-challenge.org/Data/</t>
  </si>
  <si>
    <t>NAS: SLIM</t>
  </si>
  <si>
    <t>SLIM</t>
  </si>
  <si>
    <t>MRI (sMRI, dMRI, rs-fMRI)</t>
  </si>
  <si>
    <t>Longitudinal test–retest analysis</t>
  </si>
  <si>
    <t>Cognitive and emotional assessments</t>
  </si>
  <si>
    <t>http://fcon_1000.projects.nitrc.org/indi/retro/southwestuni_qiu_index.html</t>
  </si>
  <si>
    <t>Liu et al., Sci Data 4:170017 (2017)</t>
  </si>
  <si>
    <t>Amazon S3 (INDI)</t>
  </si>
  <si>
    <t>https://fcon_1000.projects.nitrc.org/indi/retro/southwestuni_qiu_index.html</t>
  </si>
  <si>
    <t>SMILE-UHURA</t>
  </si>
  <si>
    <t>7T MRI (ToF angiography)</t>
  </si>
  <si>
    <t>Vessel masks</t>
  </si>
  <si>
    <t>Germany</t>
  </si>
  <si>
    <t>https://www.synapse.org/Synapse:syn47164761/wiki/620033</t>
  </si>
  <si>
    <t>Chatterjee et al., arXiv:2411.09593</t>
  </si>
  <si>
    <t>https://www.synapse.org/Synapse:syn47164761</t>
  </si>
  <si>
    <t>NAS: StudyForest/studyforrest_openneuro</t>
  </si>
  <si>
    <t>download through openneuro at https://github.com/OpenNeuroDatasets/ds000113</t>
  </si>
  <si>
    <t>StudyForrest</t>
  </si>
  <si>
    <t>fMRI, structural MRI, eye tracking</t>
  </si>
  <si>
    <t>Naturalistic stimulation</t>
  </si>
  <si>
    <t>Movie annotations, eye-tracking, metadata</t>
  </si>
  <si>
    <t>https://www.studyforrest.org</t>
  </si>
  <si>
    <t>Hanke et al., Sci Data 1:140003 (2014)</t>
  </si>
  <si>
    <t>DataLad</t>
  </si>
  <si>
    <t>https://datalad.org/studyforrest-data-phase2</t>
  </si>
  <si>
    <t>NAS: SSBD/</t>
  </si>
  <si>
    <t>Synthetic skull bone defects</t>
  </si>
  <si>
    <t>Defect masks</t>
  </si>
  <si>
    <t>https://github.com/Jianningli/SciData</t>
  </si>
  <si>
    <t>Li et al., Sci Data 8:36 (2021)</t>
  </si>
  <si>
    <t>https://doi.org/10.1038/s41597-021-00806-0</t>
  </si>
  <si>
    <t>NAS: SynthStrip/</t>
  </si>
  <si>
    <t>SynthStrip</t>
  </si>
  <si>
    <t>MRI, CT, PET</t>
  </si>
  <si>
    <t>Skull stripping (segmentation)</t>
  </si>
  <si>
    <t>Brain masks</t>
  </si>
  <si>
    <t>https://surfer.nmr.mgh.harvard.edu/docs/synthstrip</t>
  </si>
  <si>
    <t>Hoopes et al., arXiv:2203.09974</t>
  </si>
  <si>
    <t>Freesurfer</t>
  </si>
  <si>
    <t>https://surfer.nmr.mgh.harvard.edu/docs/synthstrip/</t>
  </si>
  <si>
    <t>NAS: T1w/</t>
  </si>
  <si>
    <t>PERMISSION DENIED</t>
  </si>
  <si>
    <t>T1-weighted with 250 μm resolution</t>
  </si>
  <si>
    <t>Atlas construction</t>
  </si>
  <si>
    <t>http://hiresmri.ovgu.de</t>
  </si>
  <si>
    <t>Lüsebrink et al., Sci Data 4:170032 (2017)</t>
  </si>
  <si>
    <t>https://doi.org/10.5061/dryad.38s74</t>
  </si>
  <si>
    <t>NAS: TADPOLE/tadpole_challenge.zip</t>
  </si>
  <si>
    <t xml:space="preserve"> https://ida.loni.usc.edu/login.jsp -&gt; ADNI -&gt; ARC Builder -&gt; Download</t>
  </si>
  <si>
    <t>TADPOLE</t>
  </si>
  <si>
    <t>Regression (prediction)</t>
  </si>
  <si>
    <t>Diagnosis labels, cognitive scores</t>
  </si>
  <si>
    <t>https://tadpole.grand-challenge.org</t>
  </si>
  <si>
    <t>Marinescu et al., NeuroImage (2018)</t>
  </si>
  <si>
    <t>https://tadpole.grand-challenge.org/Data/</t>
  </si>
  <si>
    <t>already sent email. waiting for response</t>
  </si>
  <si>
    <t>Thalamus Segmentation</t>
  </si>
  <si>
    <t>T1-weighted MRI, dMRI</t>
  </si>
  <si>
    <t>Manual masks, automated masks, STAPLE consensus</t>
  </si>
  <si>
    <t>https://codalab.lisn.upsaclay.fr/competitions/8329</t>
  </si>
  <si>
    <t>Rehman et al., Appl Sci. 13(9):5284 (2023)</t>
  </si>
  <si>
    <t>Calgary-Campinas Dataset</t>
  </si>
  <si>
    <t>https://www.ccdataset.com/thalamus-benchmark</t>
  </si>
  <si>
    <t>Purpose:I'm from OPTMAI Lab@TAMU advised by Prof. Tianbao Yang. We're gathering medical datasets to pretrain an open-source medical model upon them. For academic purpose only.</t>
  </si>
  <si>
    <t>NAS: NBBMB</t>
  </si>
  <si>
    <t>The Neuro Bureau - Berlin: Mind &amp; Brain</t>
  </si>
  <si>
    <t>Functional connectivity analysis</t>
  </si>
  <si>
    <t>Phenotypic info</t>
  </si>
  <si>
    <t>http://fcon_1000.projects.nitrc.org/indi/pro/Berlin.html</t>
  </si>
  <si>
    <t>Rohr et al., PLoS One 8(7):e68015 (2013)</t>
  </si>
  <si>
    <t>https://fcon_1000.projects.nitrc.org/indi/pro/Berlin.html</t>
  </si>
  <si>
    <t>NAS: TopCoW/</t>
  </si>
  <si>
    <t>TopCoW23</t>
  </si>
  <si>
    <t>CTA, MRA</t>
  </si>
  <si>
    <t>https://topcow23.grand-challenge.org</t>
  </si>
  <si>
    <t>Ard et al., arXiv:2312.17670</t>
  </si>
  <si>
    <t>https://topcow23.grand-challenge.org/data</t>
  </si>
  <si>
    <t>TopCoW24</t>
  </si>
  <si>
    <t>Segmentation, Object detection, Graph classification</t>
  </si>
  <si>
    <t>Segmentation masks, bounding boxes, edge lists</t>
  </si>
  <si>
    <t>https://topcow24.grand-challenge.org</t>
  </si>
  <si>
    <t>Smith et al., arXiv:2410.15614</t>
  </si>
  <si>
    <t>SwitchDrive</t>
  </si>
  <si>
    <t>https://drive.switch.ch/index.php/s/rkqOO3adjmJVlMz</t>
  </si>
  <si>
    <t>NAS: TrackRAD/</t>
  </si>
  <si>
    <t>TrackRAD2025</t>
  </si>
  <si>
    <t>2D cine-MRI</t>
  </si>
  <si>
    <t>Multi-center (Netherlands, Germany, Australia, China)</t>
  </si>
  <si>
    <t>https://trackrad2025.grand-challenge.org</t>
  </si>
  <si>
    <t>Malik et al., arXiv:2503.19119</t>
  </si>
  <si>
    <t>https://doi.org/10.57967/hf/4539</t>
  </si>
  <si>
    <t>TRAIN-39</t>
  </si>
  <si>
    <t>fMRI, sMRI</t>
  </si>
  <si>
    <t>Task-based fMRI, Structural imaging</t>
  </si>
  <si>
    <t>Stimulus labels</t>
  </si>
  <si>
    <t>http://fcon_1000.projects.nitrc.org/indi/retro/Train-39.html</t>
  </si>
  <si>
    <t>NAS: UNAMH</t>
  </si>
  <si>
    <t>UNAM Hynosis</t>
  </si>
  <si>
    <t>sMRI, rs-fMRI</t>
  </si>
  <si>
    <t>State labels (hypnosis vs neutral)</t>
  </si>
  <si>
    <t>Mexico</t>
  </si>
  <si>
    <t>http://fcon_1000.projects.nitrc.org/indi/pro/unam_barrios_hypnosis_index.html</t>
  </si>
  <si>
    <t>NITRC (AWS S3)</t>
  </si>
  <si>
    <t>NAS: UPenn-GBM/</t>
  </si>
  <si>
    <t>UPenn-GBM</t>
  </si>
  <si>
    <t>Tumor sub-region masks</t>
  </si>
  <si>
    <t>https://www.cancerimagingarchive.net/collection/upenn-gbm</t>
  </si>
  <si>
    <t>Bakas et al., Sci Data 2022</t>
  </si>
  <si>
    <t>https://www.cancerimagingarchive.net/collection/UPenn-GBM</t>
  </si>
  <si>
    <t>NAS: VALDO/</t>
  </si>
  <si>
    <r>
      <rPr/>
      <t xml:space="preserve">link: </t>
    </r>
    <r>
      <rPr>
        <color rgb="FF1155CC"/>
        <u/>
      </rPr>
      <t>https://zenodo.org/records/4687995</t>
    </r>
  </si>
  <si>
    <t>VALDO</t>
  </si>
  <si>
    <t>MRI (T1, T2, FLAIR, T2*)</t>
  </si>
  <si>
    <t>https://valdo.grand-challenge.org</t>
  </si>
  <si>
    <t>Sudre et al., Med Image Anal. 91:103029 (2024)</t>
  </si>
  <si>
    <t>Grand Challenge, Zenodo</t>
  </si>
  <si>
    <t>https://valdo.grand-challenge.org/data</t>
  </si>
  <si>
    <t>Virginia Tech</t>
  </si>
  <si>
    <t>T1 MRI, rs-fMRI</t>
  </si>
  <si>
    <t>Demographics, behavioral scores</t>
  </si>
  <si>
    <t>http://fcon_1000.projects.nitrc.org/indi/pro/VirginiaTech.html</t>
  </si>
  <si>
    <t>NAS: WayneState</t>
  </si>
  <si>
    <t>Wayne 10</t>
  </si>
  <si>
    <t>T1 MRI</t>
  </si>
  <si>
    <t>Structural imaging</t>
  </si>
  <si>
    <t>Demographics and cognitive scores</t>
  </si>
  <si>
    <t>http://fcon_1000.projects.nitrc.org/indi/retro/wayne_10.html</t>
  </si>
  <si>
    <t>Wayne 11</t>
  </si>
  <si>
    <t>MRI structural</t>
  </si>
  <si>
    <t>http://fcon_1000.projects.nitrc.org/indi/retro/wayne_11.html</t>
  </si>
  <si>
    <t>https://fcon_1000.projects.nitrc.org/indi/retro/wayne_11.html</t>
  </si>
  <si>
    <t>Wayne EF</t>
  </si>
  <si>
    <t>Executive function study</t>
  </si>
  <si>
    <t>Behavioral scores</t>
  </si>
  <si>
    <t>http://fcon_1000.projects.nitrc.org/indi/retro/wayne_EF.html</t>
  </si>
  <si>
    <t>https://fcon_1000.projects.nitrc.org/indi/retro/wayne_EF.html</t>
  </si>
  <si>
    <t>NAS: HCP-YA</t>
  </si>
  <si>
    <t>pending. xiyuan will handle that</t>
  </si>
  <si>
    <t>WU-Minn HCP</t>
  </si>
  <si>
    <t>MRI (T1w, T2w, rfMRI, tfMRI, dMRI)</t>
  </si>
  <si>
    <t>Multimodal imaging</t>
  </si>
  <si>
    <t>Behavioral data</t>
  </si>
  <si>
    <t>https://www.humanconnectome.org/study/hcp-young-adult/data-releases</t>
  </si>
  <si>
    <t>Van Essen et al., NeuroImage 2013</t>
  </si>
  <si>
    <t>https://humanconnectome.org/study/hcp-young-adult/data-releases</t>
  </si>
  <si>
    <t>NAS: Yale/highres</t>
  </si>
  <si>
    <t>Yale Hires</t>
  </si>
  <si>
    <t>http://fcon_1000.projects.nitrc.org/indi/retro/yale_hires.html</t>
  </si>
  <si>
    <t>https://fcon_1000.projects.nitrc.org/indi/retro/yale_hires.html</t>
  </si>
  <si>
    <t>NAS: Yale/lowres</t>
  </si>
  <si>
    <t>Yale Lowres</t>
  </si>
  <si>
    <t>http://fcon_1000.projects.nitrc.org/indi/retro/yale_lowres.html</t>
  </si>
  <si>
    <t>https://fcon_1000.projects.nitrc.org/indi/retro/yale_lowres.html</t>
  </si>
  <si>
    <t>NAS: Yale/test_retest</t>
  </si>
  <si>
    <t>Yale TRT</t>
  </si>
  <si>
    <t>http://fcon_1000.projects.nitrc.org/indi/retro/yale_trt.html</t>
  </si>
  <si>
    <t>Orban et al., NeuroImage 2015</t>
  </si>
  <si>
    <t>https://fcon_1000.projects.nitrc.org/indi/retro/yale_trt.html</t>
  </si>
  <si>
    <t>NAS:3DTeethSeg22</t>
  </si>
  <si>
    <t>3DTeethSeg22</t>
  </si>
  <si>
    <t>Ears, Nose, Teeth, and Throat</t>
  </si>
  <si>
    <t>https://github.com/abenhamadou/3DTeethSeg22_challenge</t>
  </si>
  <si>
    <t>https://arxiv.org/abs/2305.18277</t>
  </si>
  <si>
    <t>sent email</t>
  </si>
  <si>
    <t>Cl-Detection 2023</t>
  </si>
  <si>
    <t>Landmark Detection</t>
  </si>
  <si>
    <t>Landmark coordinates</t>
  </si>
  <si>
    <t>https://cl-detection2023.grand-challenge.org</t>
  </si>
  <si>
    <t>Zenodo (registration required)</t>
  </si>
  <si>
    <t>CTooth</t>
  </si>
  <si>
    <t>CBCT</t>
  </si>
  <si>
    <t>Tooth Volume Segmentation</t>
  </si>
  <si>
    <t>Tooth segmentation</t>
  </si>
  <si>
    <t>https://github.com/liangjiubujiu/CTooth</t>
  </si>
  <si>
    <t>Cui et al. ICIRA 2022</t>
  </si>
  <si>
    <t>Request via email</t>
  </si>
  <si>
    <t>NAS: DENTEX/</t>
  </si>
  <si>
    <t>DENTEX</t>
  </si>
  <si>
    <t>Panoramic X-ray</t>
  </si>
  <si>
    <t>Detection, Classification</t>
  </si>
  <si>
    <t>Quadrant, Enumeration, Diagnosis</t>
  </si>
  <si>
    <t>https://dentex.grand-challenge.org</t>
  </si>
  <si>
    <t>https://doi.org/2305.19112</t>
  </si>
  <si>
    <t>Hugging Face</t>
  </si>
  <si>
    <t>https://huggingface.co/datasets/ibrahimhamamci/DENTEX</t>
  </si>
  <si>
    <t>OPC-Radiomics</t>
  </si>
  <si>
    <t>Radiomics Prediction</t>
  </si>
  <si>
    <t>https://www.cancerimagingarchive.net/collection/opc-radiomics</t>
  </si>
  <si>
    <t>NAS: OpenEar.zip</t>
  </si>
  <si>
    <t>OpenEar</t>
  </si>
  <si>
    <t>CBCT, Micro-slicing</t>
  </si>
  <si>
    <t>Inner ear compartments, bones, membrane, vessels</t>
  </si>
  <si>
    <t>—</t>
  </si>
  <si>
    <t>https://zenodo.org/records/1473724</t>
  </si>
  <si>
    <t>https://doi.org/10.1038/sdata.2018.297</t>
  </si>
  <si>
    <t>NAS: Panoramic_Dental_X_rays</t>
  </si>
  <si>
    <t>Panoramic Dental X-rays</t>
  </si>
  <si>
    <t>Mandible masks</t>
  </si>
  <si>
    <t>Qom, Iran</t>
  </si>
  <si>
    <t>https://data.mendeley.com/datasets/hxt48yk462</t>
  </si>
  <si>
    <t>https://doi.org/10.1117/1.JMI.2.4.044003</t>
  </si>
  <si>
    <t>https://doi.org/10.17632/hxt48yk462.2</t>
  </si>
  <si>
    <t>NAS: Panoramic.zip</t>
  </si>
  <si>
    <t>Panoramic radiography database</t>
  </si>
  <si>
    <t>Image Enhancement</t>
  </si>
  <si>
    <t>Asunción, Paraguay</t>
  </si>
  <si>
    <t>https://zenodo.org/records/4457648#.ZDAKbexByWA</t>
  </si>
  <si>
    <t>https://doi.org/10.3390/s21093110</t>
  </si>
  <si>
    <t>https://zenodo.org/records/4457648</t>
  </si>
  <si>
    <t>NAS: pulpy3D</t>
  </si>
  <si>
    <t>Pulpy3D</t>
  </si>
  <si>
    <t>Pulp, IAN instance</t>
  </si>
  <si>
    <t>https://ditto.ing.unimore.it/pulpy3d</t>
  </si>
  <si>
    <t>https://doi.org/10.1007/978-3-031-72111-3_2</t>
  </si>
  <si>
    <t>NAS: SegThy</t>
  </si>
  <si>
    <t>SegThy</t>
  </si>
  <si>
    <t>Thyroid, Jugular veins, Carotid arteries</t>
  </si>
  <si>
    <t>3D,2D</t>
  </si>
  <si>
    <t>https://www.cs.cit.tum.de/camp/publications/segthy-dataset</t>
  </si>
  <si>
    <t>https://doi.org/10.1371/journal.pone.0268550</t>
  </si>
  <si>
    <t>CIT TUM</t>
  </si>
  <si>
    <t>https://www.cs.cit.tum.de/camp/publications/segthy-dataset/</t>
  </si>
  <si>
    <t xml:space="preserve">NAS: </t>
  </si>
  <si>
    <t>STS-2D</t>
  </si>
  <si>
    <t>Semi-supervised tooth segmentation</t>
  </si>
  <si>
    <t>Pixel-level segmentation masks</t>
  </si>
  <si>
    <t>https://tianchi.aliyun.com/competition/entrance/532086</t>
  </si>
  <si>
    <t>https://arxiv.org/abs/2407.13246</t>
  </si>
  <si>
    <t>Tianchi</t>
  </si>
  <si>
    <t>https://tianchi.aliyun.com/competition/entrance/532086/introduction</t>
  </si>
  <si>
    <t>STS-3D</t>
  </si>
  <si>
    <t>Volume-level segmentation masks</t>
  </si>
  <si>
    <t>https://tianchi.aliyun.com/competition/entrance/532087</t>
  </si>
  <si>
    <t>NAS: TCGA-THCA</t>
  </si>
  <si>
    <t>TCGA-THCA</t>
  </si>
  <si>
    <t>CT, PET</t>
  </si>
  <si>
    <t>Multiple centers (Global)</t>
  </si>
  <si>
    <t>https://www.cancerimagingarchive.net/collection/tcga-thca</t>
  </si>
  <si>
    <t>https://doi.org/10.7937/K9/TCIA.2016.9ZFRVF1B</t>
  </si>
  <si>
    <t>https://www.cancerimagingarchive.net/collection/tcga-thca/</t>
  </si>
  <si>
    <t>NAS: teeth-segmentation.zip</t>
  </si>
  <si>
    <t>Teeth Segmentation Dataset</t>
  </si>
  <si>
    <t>Polygon masks</t>
  </si>
  <si>
    <t>Bulgaria</t>
  </si>
  <si>
    <t>https://humansintheloop.org/resources/datasets/teeth-segmentation-dataset</t>
  </si>
  <si>
    <t>https://www.kaggle.com/datasets/humansintheloop/teeth-segmentation-on-dental-x-ray-images</t>
  </si>
  <si>
    <t>NAS: Thyroid_Ultrasound</t>
  </si>
  <si>
    <t>Thyroid Ultrasound Cine-clip</t>
  </si>
  <si>
    <t>https://stanfordaimi.azurewebsites.net/datasets/a72f2b02-7b53-4c5d-963c-d7253220bfd5</t>
  </si>
  <si>
    <t>https://doi.org/10.71718/7m5n-rh16</t>
  </si>
  <si>
    <t>https://aimi.stanford.edu/datasets/thyroid-ultrasound-cine-clip</t>
  </si>
  <si>
    <t>NAS: VSSEG</t>
  </si>
  <si>
    <t>Vestibular Schwannoma SEG</t>
  </si>
  <si>
    <t>RTSTRUCT segmentation</t>
  </si>
  <si>
    <t>https://www.cancerimagingarchive.net/collection/vestibular-schwannoma-seg</t>
  </si>
  <si>
    <t>https://doi.org/10.1038/s41597-021-01064-w</t>
  </si>
  <si>
    <t>NAS: aptos2019-blindness-detection.zip</t>
  </si>
  <si>
    <t>APTOS 2019</t>
  </si>
  <si>
    <t>https://www.kaggle.com/c/aptos2019-blindness-detection/overview</t>
  </si>
  <si>
    <t>https://www.kaggle.com/c/aptos2019-blindness-detection</t>
  </si>
  <si>
    <t>NAS: CATARACTS</t>
  </si>
  <si>
    <t>pending. Link not yet available</t>
  </si>
  <si>
    <t>CATARACTS</t>
  </si>
  <si>
    <t>Endoscopic video</t>
  </si>
  <si>
    <t>Pixel-level masks</t>
  </si>
  <si>
    <t>https://cataracts.grand-challenge.org</t>
  </si>
  <si>
    <t>https://arxiv.org/abs/1906.11586</t>
  </si>
  <si>
    <t>https://cataracts-semantic-segmentation2020.grand-challenge.org/</t>
  </si>
  <si>
    <t>NAS: DDR</t>
  </si>
  <si>
    <t>DDR</t>
  </si>
  <si>
    <t>Classification, segmentation, detection</t>
  </si>
  <si>
    <t>Lesion masks, bounding boxes, labels</t>
  </si>
  <si>
    <t>https://github.com/nkicsl/DDR-dataset</t>
  </si>
  <si>
    <t>https://doi.org/10.1016/j.ins.2019.06.011</t>
  </si>
  <si>
    <t>NAS: DRAC.zip</t>
  </si>
  <si>
    <t>DRAC 2022</t>
  </si>
  <si>
    <t>UW-OCTA</t>
  </si>
  <si>
    <t>Segmentation, quality assessment, grading</t>
  </si>
  <si>
    <t>Segmentation masks, quality labels, grades</t>
  </si>
  <si>
    <t>https://drac22.grand-challenge.org</t>
  </si>
  <si>
    <t>https://doi.org/10.1016/j.patter.2024.100929</t>
  </si>
  <si>
    <t>https://zenodo.org/records/10280359</t>
  </si>
  <si>
    <t>NAS:  Fluorescein_Angiography</t>
  </si>
  <si>
    <t>Duke Dataset for Fluorescein Angiography in DME eyes</t>
  </si>
  <si>
    <t>Fluorescein angiography</t>
  </si>
  <si>
    <t>USA (Duke)</t>
  </si>
  <si>
    <t>https://people.duke.edu/~sf59/Rabbani_IOVS_2014_dataset.htm</t>
  </si>
  <si>
    <t>Rabbani et al., IOVS 2015</t>
  </si>
  <si>
    <t>Duke University</t>
  </si>
  <si>
    <t>E-ophtha</t>
  </si>
  <si>
    <t>Binary masks for EX and MA</t>
  </si>
  <si>
    <t>https://www.adcis.net/en/third-party/e-ophtha</t>
  </si>
  <si>
    <t>ADCIS</t>
  </si>
  <si>
    <t>https://www.adcis.net/en/third-party/e-ophtha/</t>
  </si>
  <si>
    <t>diabetic-retinopathy-detection.zip</t>
  </si>
  <si>
    <t>EyePACS Diabetic Retinopathy Detection</t>
  </si>
  <si>
    <t>Severity labels</t>
  </si>
  <si>
    <t>https://www.kaggle.com/c/diabetic-retinopathy-detection/overview</t>
  </si>
  <si>
    <t>https://www.kaggle.com/c/diabetic-retinopathy-detection/data</t>
  </si>
  <si>
    <t>FIRE.zip</t>
  </si>
  <si>
    <t>FIRE</t>
  </si>
  <si>
    <t>Correspondence point pairs</t>
  </si>
  <si>
    <t>Greece</t>
  </si>
  <si>
    <t>https://projects.ics.forth.gr/cvrl/fire</t>
  </si>
  <si>
    <t>https://doi.org/10.35119/maio.v1i4.42</t>
  </si>
  <si>
    <t>FORTH CVRL</t>
  </si>
  <si>
    <t>https://projects.ics.forth.gr/cvrl/fire/</t>
  </si>
  <si>
    <t>GAMMA</t>
  </si>
  <si>
    <t>Fundus photograph, OCT</t>
  </si>
  <si>
    <t>Glaucoma grade labels, segmentation masks</t>
  </si>
  <si>
    <t>https://aistudio.baidu.com/competition/detail/90/0/introduction</t>
  </si>
  <si>
    <t>https://arxiv.org/abs/2202.06511</t>
  </si>
  <si>
    <t>Baidu AI Studio</t>
  </si>
  <si>
    <t>JustRAIGS.zip</t>
  </si>
  <si>
    <t>JustRAIGS</t>
  </si>
  <si>
    <t>https://justraigs.grand-challenge.org</t>
  </si>
  <si>
    <t>Messidor MA Groundturth</t>
  </si>
  <si>
    <t>Microaneurysm segmentation</t>
  </si>
  <si>
    <t>Binary microaneurysm masks and optic disc/FOV masks【979632839243393†L233-L259】</t>
  </si>
  <si>
    <t>https://blogs.kingston.ac.uk/retinal/messidor-ma-groundturth</t>
  </si>
  <si>
    <t>Microaneurysm groundtruth dataset for Messidor images【979632839243393†L233-L259】【751299614672982†L4179-L4205】</t>
  </si>
  <si>
    <t>https://github.com/fmugnier/messidor-groundtruth</t>
  </si>
  <si>
    <t>PRIME-FP20.zip</t>
  </si>
  <si>
    <t>PRIME-FP20</t>
  </si>
  <si>
    <t>Ultra‑widefield fundus photography</t>
  </si>
  <si>
    <t>Vessel segmentation</t>
  </si>
  <si>
    <t>Binary vessel maps with validity masks and fluorescein angiography images【316265167870700†L124-L131】</t>
  </si>
  <si>
    <t>https://ieee-dataport.org/open-access/prime-fp20-ultra-widefield-fundus-photography-vessel-segmentation-dataset</t>
  </si>
  <si>
    <t>PRIME‑FP20 vessel segmentation dataset【316265167870700†L124-L131】</t>
  </si>
  <si>
    <t>IEEE DataPort</t>
  </si>
  <si>
    <t>pending approval</t>
  </si>
  <si>
    <t>REFUGE</t>
  </si>
  <si>
    <t>Glaucoma classification, optic disc/cup segmentation, fovea localization【712582244539655†L52-L62】</t>
  </si>
  <si>
    <t>Glaucoma labels and manual segmentation of optic disc/cup; fovea location【712582244539655†L75-L82】</t>
  </si>
  <si>
    <t>https://refuge.grand-challenge.org</t>
  </si>
  <si>
    <t>REFUGE challenge dataset【712582244539655†L52-L62】【712582244539655†L75-L82】【712582244539655†L103-L110】</t>
  </si>
  <si>
    <t>RIGA</t>
  </si>
  <si>
    <t>Optic disc and cup segmentation for glaucoma analysis</t>
  </si>
  <si>
    <t>Multiple manual disc and cup segmentations from ophthalmologists【494127797215610†L42-L56】</t>
  </si>
  <si>
    <t>France and Saudi Arabia</t>
  </si>
  <si>
    <t>https://deepblue.lib.umich.edu/data/concern/data_sets/3b591905z</t>
  </si>
  <si>
    <t>RIGA dataset description【494127797215610†L42-L56】【494127797215610†L131-L169】</t>
  </si>
  <si>
    <t>Deep Blue Data (University of Michigan)</t>
  </si>
  <si>
    <t>https://deepblue.lib.umich.edu/data/concern/data_sets/4b3ec2a4-5cdc-482d-bd6d-8333aa8ce244?locale=en</t>
  </si>
  <si>
    <t>ROC</t>
  </si>
  <si>
    <t>Microaneurysm detection</t>
  </si>
  <si>
    <t>Lesion coordinates for microaneurysms provided for training images【739743195517294†L118-L130】</t>
  </si>
  <si>
    <t>Netherlands &amp; USA</t>
  </si>
  <si>
    <t>http://webeye.ophth.uiowa.edu/ROC</t>
  </si>
  <si>
    <t>Retinopathy Online Challenge dataset【739743195517294†L118-L130】</t>
  </si>
  <si>
    <t>University of Iowa</t>
  </si>
  <si>
    <t>ROCC.zip</t>
  </si>
  <si>
    <t>ROCC</t>
  </si>
  <si>
    <t>Optical Coherence Tomography (OCT) volumes</t>
  </si>
  <si>
    <t>Diabetic retinopathy classification【789643885905460†L70-L76】</t>
  </si>
  <si>
    <t>Class labels and reference annotations for normal and diabetic retinopathy cases</t>
  </si>
  <si>
    <t>https://rocc.grand-challenge.org</t>
  </si>
  <si>
    <t>ROCC challenge description【789643885905460†L70-L76】</t>
  </si>
  <si>
    <t>2015_BOE_Chiu</t>
  </si>
  <si>
    <t>MATLAB</t>
  </si>
  <si>
    <t>Segmentation of OCT images</t>
  </si>
  <si>
    <t>Optical Coherence Tomography (OCT)</t>
  </si>
  <si>
    <t>Retinal layer and fluid segmentation</t>
  </si>
  <si>
    <t>Manual delineations of eight retinal layers and fluid regions in selected B‑scans【114555622908359†L539-L544】</t>
  </si>
  <si>
    <t>https://www.kaggle.com/datasets/paultimothymooney/chiu-2015</t>
  </si>
  <si>
    <t>Chiu et al., 2015 kernel regression segmentation dataset【114555622908359†L170-L179】【114555622908359†L529-L544】</t>
  </si>
  <si>
    <t>https://www.kaggle.com/datasets/paultimothymooney/segmentation-of-ocular-ct-oct-images</t>
  </si>
  <si>
    <t>STAGE</t>
  </si>
  <si>
    <t>Prediction of mean deviation values, sensitivity maps and pattern deviation probability maps【958554799699571†L81-L89】</t>
  </si>
  <si>
    <t>For each OCT volume: mean deviation (MD) value, sensitivity map and pattern deviation probability map from visual field test【958554799699571†L81-L89】</t>
  </si>
  <si>
    <t>https://aistudio.baidu.com/competition/detail/1101/0/introduction</t>
  </si>
  <si>
    <t>STAGE challenge description【958554799699571†L81-L89】</t>
  </si>
  <si>
    <t>Baidu Aistudio</t>
  </si>
  <si>
    <t>https://aistudio.baidu.com/competition/detail/968</t>
  </si>
  <si>
    <t>uk-biobank</t>
  </si>
  <si>
    <t>masks onlt</t>
  </si>
  <si>
    <t>UK Biobank</t>
  </si>
  <si>
    <t>Two manual vessel segmentations per image【432298368704282†screenshot】</t>
  </si>
  <si>
    <t>United Kingdom</t>
  </si>
  <si>
    <t>https://blogs.kingston.ac.uk/retinal/uk-biobank</t>
  </si>
  <si>
    <t>UK Biobank manual vessel segmentation dataset【432298368704282†screenshot】</t>
  </si>
  <si>
    <t>https://www.kaggle.com/datasets/khoongweihao/uk-biobank</t>
  </si>
  <si>
    <t>UoA-DR</t>
  </si>
  <si>
    <t>Diabetic retinopathy classification; vessel segmentation, optic disc and fovea detection【179173139156716†L30-L45】</t>
  </si>
  <si>
    <t>Each image has extracted retinal vessel segmentation, optic disc boundary and centre, and fovea centre location【179173139156716†L30-L45】</t>
  </si>
  <si>
    <t>https://auckland.figshare.com/articles/journal_contribution/UoA-DR_Database_Info/5985208/5</t>
  </si>
  <si>
    <t>UoA‑DR dataset description【179173139156716†L30-L45】</t>
  </si>
  <si>
    <t>https://auckland.figshare.com/articles/dataset/UoA-DR_dataset_University_of_Auckland_Diabetic_Retinopathy_Dataset/13284716</t>
  </si>
  <si>
    <t>ANT</t>
  </si>
  <si>
    <t>JSON,TXTs</t>
  </si>
  <si>
    <t>fMRI, Structural MRI</t>
  </si>
  <si>
    <t>Attention network test (executive, alerting, orienting)</t>
  </si>
  <si>
    <t>Spain (Philips 3T scanner)</t>
  </si>
  <si>
    <t>https://openneuro.org/datasets/ds001907/versions/3.1.0</t>
  </si>
  <si>
    <t>F1000Research 2020 dataset</t>
  </si>
  <si>
    <t>https://openneuro.org/datasets/ds001907</t>
  </si>
  <si>
    <t>CEREBRuM</t>
  </si>
  <si>
    <t>Brain segmentation</t>
  </si>
  <si>
    <t>FreeSurfer and CEREBRuM segmentations</t>
  </si>
  <si>
    <t>University of Glasgow, UK</t>
  </si>
  <si>
    <t>https://openneuro.org/datasets/ds002207/versions/1.0.0</t>
  </si>
  <si>
    <t>Bontempi et al., 2019</t>
  </si>
  <si>
    <t>https://openneuro.org/datasets/ds002207</t>
  </si>
  <si>
    <t>CSMLP</t>
  </si>
  <si>
    <t>Cross-Sectional Multidomain Lexical Processing</t>
  </si>
  <si>
    <t>Orthographic, phonological and semantic word processing</t>
  </si>
  <si>
    <t>Northwestern University, USA</t>
  </si>
  <si>
    <t>https://openneuro.org/datasets/ds002236/versions/1.1.1</t>
  </si>
  <si>
    <t>Lytle et al., 2019/2020</t>
  </si>
  <si>
    <t>https://openneuro.org/datasets/ds002236</t>
  </si>
  <si>
    <t>HVSPCD</t>
  </si>
  <si>
    <t>Human V4 size predicts crowding distance</t>
  </si>
  <si>
    <t>Retinotopic mapping and behavioural psychophysics</t>
  </si>
  <si>
    <t>2025</t>
  </si>
  <si>
    <t>New York University, USA</t>
  </si>
  <si>
    <t>https://openneuro.org/datasets/ds005639</t>
  </si>
  <si>
    <t>Nature Communications 2025</t>
  </si>
  <si>
    <t>LNAP</t>
  </si>
  <si>
    <t>Longitudinal Neuroimaging on Arithmetic Processing</t>
  </si>
  <si>
    <t>Arithmetic (multiplication/subtraction) and rhyming/numerosity</t>
  </si>
  <si>
    <t>https://openneuro.org/datasets/ds001486</t>
  </si>
  <si>
    <t>Scientific Data 2019 (Suárez–Pellicioni et al.)</t>
  </si>
  <si>
    <t>LNMLP</t>
  </si>
  <si>
    <t>Longitudinal Neuroimaging on Multisensory Lexical Processing</t>
  </si>
  <si>
    <t>fMRI, DWI, Structural MRI</t>
  </si>
  <si>
    <t>Auditory/visual/AV rhyming tasks</t>
  </si>
  <si>
    <t>https://openneuro.org/datasets/ds001894</t>
  </si>
  <si>
    <t>Maclaren</t>
  </si>
  <si>
    <t>Maclaren test-retest brain volume</t>
  </si>
  <si>
    <t>Structural MRI (T1)</t>
  </si>
  <si>
    <t>0.857</t>
  </si>
  <si>
    <t>Stanford University, USA</t>
  </si>
  <si>
    <t>https://openneuro.org/datasets/ds000239</t>
  </si>
  <si>
    <t>Maclaren et al., 2014</t>
  </si>
  <si>
    <t>MPILMBB</t>
  </si>
  <si>
    <t>MRI (T1 MP2RAGE, T2, FLAIR, SWI, DWI, resting-state fMRI)</t>
  </si>
  <si>
    <t>Resting-state and cognitive assessments</t>
  </si>
  <si>
    <t>Leipzig, Germany</t>
  </si>
  <si>
    <t>Scientific Data 2019 (Babayan et al.)</t>
  </si>
  <si>
    <t>MSC</t>
  </si>
  <si>
    <t>Resting-state and task fMRI (motor, language, memory)</t>
  </si>
  <si>
    <t>Washington University in St. Louis, USA</t>
  </si>
  <si>
    <t>https://openneuro.org/datasets/ds000224</t>
  </si>
  <si>
    <t>Gordon et al., 2017</t>
  </si>
  <si>
    <t>NKI-RS</t>
  </si>
  <si>
    <t>MRI (structural, resting-state fMRI, DTI), genetics</t>
  </si>
  <si>
    <t>Lifespan neuroimaging and phenotyping</t>
  </si>
  <si>
    <t>Rockland County, New York, USA</t>
  </si>
  <si>
    <t>https://openneuro.org/datasets/ds001021</t>
  </si>
  <si>
    <t>Frontiers in Neuroscience 2012 (Nooner et al.)</t>
  </si>
  <si>
    <t>OpenNeuro/NITRC</t>
  </si>
  <si>
    <t>SCA2</t>
  </si>
  <si>
    <t>SCA2 Diffusion Tensor Imaging</t>
  </si>
  <si>
    <t>Structural MRI (T1), Diffusion MRI</t>
  </si>
  <si>
    <t>Diffusion tensor imaging of spinocerebellar ataxia type 2</t>
  </si>
  <si>
    <t>2018</t>
  </si>
  <si>
    <t>The Netherlands (Philips Intera scanner)</t>
  </si>
  <si>
    <t>https://openneuro.org/datasets/ds001378/versions/00003</t>
  </si>
  <si>
    <t>https://openneuro.org/datasets/ds001378</t>
  </si>
  <si>
    <t>SLIVER07.zip</t>
  </si>
  <si>
    <t>SLIVER07</t>
  </si>
  <si>
    <t>512x512x64 to 512x512x394</t>
  </si>
  <si>
    <t>https://sliver07.grand-challenge.org/</t>
  </si>
  <si>
    <t>https://ieeexplore.ieee.org/abstract/document/4781564/</t>
  </si>
  <si>
    <t>https://zenodo.org/records/2597908</t>
  </si>
  <si>
    <t>NCT-CRC-HE-100K.zip</t>
  </si>
  <si>
    <t>NCT-CRC-HE-100K</t>
  </si>
  <si>
    <t>Colon</t>
  </si>
  <si>
    <t>TIF</t>
  </si>
  <si>
    <t>224x224</t>
  </si>
  <si>
    <t>https://zenodo.org/records/1214456</t>
  </si>
  <si>
    <t>pending: too many files</t>
  </si>
  <si>
    <t>Promise09</t>
  </si>
  <si>
    <t>256x256x28 to 256x256x34</t>
  </si>
  <si>
    <t>https://www.na-mic.org/wiki/Training_Data_Prostate_Segmentation_Challenge_MICCAI09</t>
  </si>
  <si>
    <t>3Dircadb1.zip</t>
  </si>
  <si>
    <t>3D-IRCADB</t>
  </si>
  <si>
    <t>DICOM,VTK</t>
  </si>
  <si>
    <t>512x512x74 to 512x512x260</t>
  </si>
  <si>
    <t>https://www.ircad.fr/research/data-sets/liver-segmentation-3d-ircadb-01/</t>
  </si>
  <si>
    <t>https://www-sop.inria.fr/geometrica/events/wam/abstract-ircad.pdf</t>
  </si>
  <si>
    <t>https://cloud.ircad.fr/index.php/s/JN3z7EynBiwYyjy/download</t>
  </si>
  <si>
    <t>PROMISE12.zip</t>
  </si>
  <si>
    <t>PROMISE12</t>
  </si>
  <si>
    <t>256x256x15 to 512x512x54</t>
  </si>
  <si>
    <t>https://promise12.grand-challenge.org/</t>
  </si>
  <si>
    <t>https://www.sciencedirect.com/science/article/pii/S1361841513001734</t>
  </si>
  <si>
    <t>https://zenodo.org/records/8026660</t>
  </si>
  <si>
    <t>BTCV</t>
  </si>
  <si>
    <t>Train: 30 Test: 20</t>
  </si>
  <si>
    <t>512x512x85 to 512x512x198</t>
  </si>
  <si>
    <t>https://www.synapse.org/#!Synapse:syn3193805/wiki/</t>
  </si>
  <si>
    <t>https://www.synapse.org/#!Synapse:syn3193805/files/</t>
  </si>
  <si>
    <t>BTCV/Cervix</t>
  </si>
  <si>
    <t>BTCV Cervix</t>
  </si>
  <si>
    <t>512x512x125 to 512x512x242</t>
  </si>
  <si>
    <t>https://www.synapse.org/#!Synapse:syn3193805/wiki/217790</t>
  </si>
  <si>
    <t>https://www.synapse.org/#!Synapse:syn3378972</t>
  </si>
  <si>
    <t>LiTS</t>
  </si>
  <si>
    <t>Train: 131 Test: 70</t>
  </si>
  <si>
    <t>512x512x74 to 512x512x987</t>
  </si>
  <si>
    <t>https://competitions.codalab.org/competitions/17094</t>
  </si>
  <si>
    <t>https://arxiv.org/pdf/1901.04056v2.pdf, https://www.sciencedirect.com/science/article/pii/S1361841522003085</t>
  </si>
  <si>
    <t>https://competitions.codalab.org/competitions/17094#participate</t>
  </si>
  <si>
    <t>CRAG</t>
  </si>
  <si>
    <t>1516*1319 to 1516*1514</t>
  </si>
  <si>
    <t>https://github.com/XiaoyuZHK/CRAG-Dataset_Aug_ToCOCO</t>
  </si>
  <si>
    <t>https://arxiv.org/pdf/1806.01963</t>
  </si>
  <si>
    <t>Gleason2019</t>
  </si>
  <si>
    <t>duplicate</t>
  </si>
  <si>
    <t>PANDA</t>
  </si>
  <si>
    <t>Prostate</t>
  </si>
  <si>
    <t>4608x4608 to 5632x5632</t>
  </si>
  <si>
    <t>https://gleason2019.grand-challenge.org/Home/</t>
  </si>
  <si>
    <t>https://doi.org/10.1016/j.media.2018.09.005</t>
  </si>
  <si>
    <t>Gleason 2019</t>
  </si>
  <si>
    <t>KiTS19</t>
  </si>
  <si>
    <t>29x512x512 to 1059x512x796</t>
  </si>
  <si>
    <t>https://kits19.grand-challenge.org/</t>
  </si>
  <si>
    <t>https://www.sciencedirect.com/science/article/pii/S1361841520301857</t>
  </si>
  <si>
    <t>https://github.com/neheller/kits19</t>
  </si>
  <si>
    <t>CHAOS.zip</t>
  </si>
  <si>
    <t>CHAOS</t>
  </si>
  <si>
    <t>Train: 20 Val: 20</t>
  </si>
  <si>
    <t>512x512x81 to 512x512x266</t>
  </si>
  <si>
    <t>https://chaos.grand-challenge.org/Combined_Healthy_Abdominal_Organ_Segmentation/</t>
  </si>
  <si>
    <t>https://linkinghub.elsevier.com/retrieve/pii/S1361841520303145</t>
  </si>
  <si>
    <t>https://zenodo.org/record/3431873#.Yl_9itpBxaQ</t>
  </si>
  <si>
    <t>pending: too large (21.2 TB)</t>
  </si>
  <si>
    <t>CT-RATE</t>
  </si>
  <si>
    <t>Multi-abnormality classification</t>
  </si>
  <si>
    <t>Radiology reports and labels</t>
  </si>
  <si>
    <t>25,692 CT volumes (expanded to 50,188)</t>
  </si>
  <si>
    <t>50,188 volumes</t>
  </si>
  <si>
    <t>https://huggingface.co/datasets/ibrahimhamamci/CT-RATE</t>
  </si>
  <si>
    <t>HuggingFace</t>
  </si>
  <si>
    <t>CTVIE19</t>
  </si>
  <si>
    <t>Ventilation imaging evaluation</t>
  </si>
  <si>
    <t>Ventilation maps, lung masks</t>
  </si>
  <si>
    <t>50 CT scans with ventilation images</t>
  </si>
  <si>
    <t>https://www.aapm.org/GrandChallenge/CTVIE</t>
  </si>
  <si>
    <t>AAPM Grand Challenge</t>
  </si>
  <si>
    <t>CXLSeg</t>
  </si>
  <si>
    <t>Lung segmentation masks</t>
  </si>
  <si>
    <t>243,324 images</t>
  </si>
  <si>
    <t>Boston, USA (MIMIC hospital)</t>
  </si>
  <si>
    <t>https://physionet.org/content/chest-x-ray-segmentation</t>
  </si>
  <si>
    <t>pending: requesting passwords</t>
  </si>
  <si>
    <t>DIR-Lab</t>
  </si>
  <si>
    <t>Image registration</t>
  </si>
  <si>
    <t>Manual landmarks</t>
  </si>
  <si>
    <t>≈20 volumes (10 4DCT + 10 inspiratory/expiratory pairs)</t>
  </si>
  <si>
    <t>MD Anderson (USA)</t>
  </si>
  <si>
    <t>https://med.emory.edu/departments/radiation-oncology/research-laboratories/deformable-image-registration/index.html</t>
  </si>
  <si>
    <t>ELCAP</t>
  </si>
  <si>
    <t>https://veet.via.cornell.edu/lungdb.html</t>
  </si>
  <si>
    <t>Pancreas-CT</t>
  </si>
  <si>
    <t>DCM, .NII.GZ</t>
  </si>
  <si>
    <t>512x512x181 to 512x512x466</t>
  </si>
  <si>
    <t>https://www.cancerimagingarchive.net/collection/pancreas-ct/</t>
  </si>
  <si>
    <t>QIN-PROSTATE-Repeatability</t>
  </si>
  <si>
    <t>512x512x26 to 512x512x36</t>
  </si>
  <si>
    <t>https://www.cancerimagingarchive.net/collection/qin-prostate-repeatability/</t>
  </si>
  <si>
    <t>KiTS21</t>
  </si>
  <si>
    <t>https://kits-challenge.org/kits21/</t>
  </si>
  <si>
    <t>https://arxiv.org/abs/1912.01054</t>
  </si>
  <si>
    <t>https://github.com/neheller/kits21</t>
  </si>
  <si>
    <t>FLARE2021.zip</t>
  </si>
  <si>
    <t>FLARE 2021</t>
  </si>
  <si>
    <t>Train: 361 Val: 50 Test: 100</t>
  </si>
  <si>
    <t>https://flare.grand-challenge.org/</t>
  </si>
  <si>
    <t>https://www.sciencedirect.com/science/article/abs/pii/S1361841522002444?via%3Dihub</t>
  </si>
  <si>
    <t>https://flare.grand-challenge.org/Data/</t>
  </si>
  <si>
    <t>AbdomenCT-1K</t>
  </si>
  <si>
    <t>512x79x31 to 796x512x1026</t>
  </si>
  <si>
    <t>https://github.com/JunMa11/AbdomenCT-1K</t>
  </si>
  <si>
    <t>https://ieeexplore.ieee.org/document/9497733</t>
  </si>
  <si>
    <t>https://zenodo.org/records/5903037#.YfDOl-pBybh</t>
  </si>
  <si>
    <t>QUBIQ2021</t>
  </si>
  <si>
    <t>Semantic segmentation</t>
  </si>
  <si>
    <t>36x512x512 to 194x512x512</t>
  </si>
  <si>
    <t>https://qubiq21.grand-challenge.org/QUBIQ2021/</t>
  </si>
  <si>
    <t>https://link.springer.com/chapter/10.1007/978-3-031-08999-2_9</t>
  </si>
  <si>
    <t>https://qubiq21.grand-challenge.org/participation/</t>
  </si>
  <si>
    <t>WORD</t>
  </si>
  <si>
    <t>Train: 100 Val: 20 Test: 30</t>
  </si>
  <si>
    <t>512x512x151 to 512x512x343</t>
  </si>
  <si>
    <t>https://github.com/HiLab-git/WORD</t>
  </si>
  <si>
    <t>https://arxiv.org/pdf/2111.02403.pdf</t>
  </si>
  <si>
    <t>website is broken</t>
  </si>
  <si>
    <t>NuCLS</t>
  </si>
  <si>
    <t>Stomach</t>
  </si>
  <si>
    <t>160x160 to 80x80</t>
  </si>
  <si>
    <t>https://www.sciencedirect.com/science/article/abs/pii/S0010482521010015</t>
  </si>
  <si>
    <t>https://gitee.com/neuhwm/GasHisSDB</t>
  </si>
  <si>
    <t>FLARE 2023</t>
  </si>
  <si>
    <t>512x79x24 to 796x512x2471</t>
  </si>
  <si>
    <t>https://codalab.lisn.upsaclay.fr/competitions/12239</t>
  </si>
  <si>
    <t>https://codalab.lisn.upsaclay.fr/competitions/12239#learn_the_details-dataset</t>
  </si>
  <si>
    <t>uw-madison-gi-tract-image-segmentation</t>
  </si>
  <si>
    <t>UW-Madison GI Tract Image Segmentation</t>
  </si>
  <si>
    <t>Gastrointestinal tract</t>
  </si>
  <si>
    <t>234x234 to 360x310</t>
  </si>
  <si>
    <t>https://www.kaggle.com/competitions/uw-madison-gi-tract-image-segmentation/overview</t>
  </si>
  <si>
    <t>KiPA22</t>
  </si>
  <si>
    <t>Train: 70 Val: 30 Test: 30</t>
  </si>
  <si>
    <t>116x116x147 to 189x189x280</t>
  </si>
  <si>
    <t>https://kipa22.grand-challenge.org/</t>
  </si>
  <si>
    <t>https://www.sciencedirect.com/science/article/abs/pii/S1361841521001018</t>
  </si>
  <si>
    <t>AGGC</t>
  </si>
  <si>
    <t>7920*4800 to 19440*21120</t>
  </si>
  <si>
    <t>https://aggc22.grand-challenge.org/</t>
  </si>
  <si>
    <t>https://papers.ssrn.com/sol3/papers.cfm?abstract_id=4172090</t>
  </si>
  <si>
    <t>AMOS2022</t>
  </si>
  <si>
    <t>AMOS 2022</t>
  </si>
  <si>
    <t>Train: 240 Val: 120 Test: 240</t>
  </si>
  <si>
    <t>192x60x64 to 768x768x512</t>
  </si>
  <si>
    <t>https://amos22.grand-challenge.org/</t>
  </si>
  <si>
    <t>https://arxiv.org/abs/2206.08023</t>
  </si>
  <si>
    <t>https://amos22.grand-challenge.org/Instructions/</t>
  </si>
  <si>
    <t>PI-CAI</t>
  </si>
  <si>
    <t>256x256x17 to 1024x1024x45</t>
  </si>
  <si>
    <t>https://pi-cai.grand-challenge.org/</t>
  </si>
  <si>
    <r>
      <rPr>
        <rFont val="Arial"/>
      </rPr>
      <t xml:space="preserve">https://zenodo.org/records/6624726, </t>
    </r>
    <r>
      <rPr>
        <rFont val="Arial"/>
        <color rgb="FF1155CC"/>
        <u/>
      </rPr>
      <t>https://github.com/DIAGNijmegen/picai_labels</t>
    </r>
  </si>
  <si>
    <t>HCC-TACE-Seg</t>
  </si>
  <si>
    <t>512x512x40 to 512x512x185</t>
  </si>
  <si>
    <t>https://www.cancerimagingarchive.net/collection/hcc-tace-seg/</t>
  </si>
  <si>
    <t>EBHI-Seg.rar</t>
  </si>
  <si>
    <t>EBHI-Seg</t>
  </si>
  <si>
    <t>https://figshare.com/articles/dataset/EBHI-SEG/21540159/1</t>
  </si>
  <si>
    <t>https://www.frontiersin.org/journals/medicine/articles/10.3389/fmed.2023.1114673/full</t>
  </si>
  <si>
    <t>LLD-MMRI-MedSAM2</t>
  </si>
  <si>
    <t>pending: hit the huggingface quota</t>
  </si>
  <si>
    <t>LLD-MMRI2023</t>
  </si>
  <si>
    <t>432x432x50 to 640x640x98</t>
  </si>
  <si>
    <t>https://github.com/LMMMEng/LLD-MMRI2023/tree/main?tab=readme-ov-file</t>
  </si>
  <si>
    <t>https://zenodo.org/records/7852363</t>
  </si>
  <si>
    <t>Colorectal-Liver-Metastases</t>
  </si>
  <si>
    <t>Liver</t>
  </si>
  <si>
    <t>512x512x21 to 512x512x240</t>
  </si>
  <si>
    <t>https://www.cancerimagingarchive.net/collection/colorectal-liver-metastases/</t>
  </si>
  <si>
    <t>https://www.nature.com/articles/s41597-024-02981-2</t>
  </si>
  <si>
    <t>SPPIN.zip</t>
  </si>
  <si>
    <t>SPPIN</t>
  </si>
  <si>
    <t>Train: 80 Val: 7 Test: 24</t>
  </si>
  <si>
    <t>336x336x161 to 384x384x360</t>
  </si>
  <si>
    <t>https://sppin.grand-challenge.org/sppin/</t>
  </si>
  <si>
    <t>https://zenodo.org/record/7845214</t>
  </si>
  <si>
    <t>kits23/dataset/</t>
  </si>
  <si>
    <t>KiTS23</t>
  </si>
  <si>
    <t>Train: 489 Test: 110</t>
  </si>
  <si>
    <t>https://kits-challenge.org/kits23/, https://github.com/neheller/kits23</t>
  </si>
  <si>
    <t>https://arxiv.org/abs/2307.01984, https://arxiv.org/pdf/1912.01054.pdf, https://www.sciencedirect.com/science/article/abs/pii/S1361841520301857</t>
  </si>
  <si>
    <t>https://kits-challenge.org/kits23/</t>
  </si>
  <si>
    <t>atlas-train-dataset-1.0.1.zip</t>
  </si>
  <si>
    <t>ATLAS (MICCAI2023)</t>
  </si>
  <si>
    <t>Ce-mri</t>
  </si>
  <si>
    <t>Train: 60 Test: 30</t>
  </si>
  <si>
    <t>320x250x44 to 512x512x136</t>
  </si>
  <si>
    <t>https://atlas-challenge.u-bourgogne.fr/</t>
  </si>
  <si>
    <t>https://doi.org/10.3390/data8050079</t>
  </si>
  <si>
    <t>https://atlas-challenge.u-bourgogne.fr/dataset</t>
  </si>
  <si>
    <t>MOOD2023</t>
  </si>
  <si>
    <t>Brain, Abdomen</t>
  </si>
  <si>
    <t>Ood prediction</t>
  </si>
  <si>
    <t>http://medicalood.dkfz.de/web/</t>
  </si>
  <si>
    <t>http://medicalood.dkfz.de/BzlSoOiDmh/dd.html</t>
  </si>
  <si>
    <t>pending: request under review</t>
  </si>
  <si>
    <t>MICCAI 2023 PSFHS</t>
  </si>
  <si>
    <t>5101 (4000)</t>
  </si>
  <si>
    <t>256x256</t>
  </si>
  <si>
    <t>https://ps-fh-aop-2023.grand-challenge.org/</t>
  </si>
  <si>
    <t>https://zenodo.org/records/7861699</t>
  </si>
  <si>
    <t>kidney-stone-images</t>
  </si>
  <si>
    <t>Kidney Stone Images with Bounding Box Annotations</t>
  </si>
  <si>
    <t>3.00x2.00 to 137.00x153.00</t>
  </si>
  <si>
    <t>https://www.kaggle.com/datasets/safurahajiheidari/kidney-stone-images</t>
  </si>
  <si>
    <t>https://www.kaggle.com/datasets/safurahajiheidari/kidney-stone-images?resource=download&amp;select=README.dataset.txt</t>
  </si>
  <si>
    <t>Adrenal-ACC-Ki67-Seg_v1</t>
  </si>
  <si>
    <t>Adrenal-ACC-Ki67-Seg</t>
  </si>
  <si>
    <t>512x512x48 to 512x512x769</t>
  </si>
  <si>
    <t>https://www.cancerimagingarchive.net/collection/adrenal-acc-ki67-seg/</t>
  </si>
  <si>
    <t>https://www.clinicalradiologyonline.net/article/S0009-9260(20)30048-9/</t>
  </si>
  <si>
    <t>BM-BronchoLC.zip</t>
  </si>
  <si>
    <t>BM-BronchoLC</t>
  </si>
  <si>
    <t>Chest and abdomen</t>
  </si>
  <si>
    <t>Bronchoscopy</t>
  </si>
  <si>
    <t>Recognition</t>
  </si>
  <si>
    <t>480x480</t>
  </si>
  <si>
    <t>https://figshare.com/articles/dataset/BM-BronchoLC/24243670</t>
  </si>
  <si>
    <t>https://www.nature.com/articles/s41597-024-03145-y</t>
  </si>
  <si>
    <t>AbdomenAtlas</t>
  </si>
  <si>
    <t>AbdomenAtlas 1.0 Mini</t>
  </si>
  <si>
    <t>29x79x49 to 1059x519x2572</t>
  </si>
  <si>
    <t>https://github.com/MrGiovanni/AbdomenAtlas</t>
  </si>
  <si>
    <t>https://www.cs.jhu.edu/~alanlab/Pubs23/qu2023abdomenatlas.pdf</t>
  </si>
  <si>
    <t>https://huggingface.co/datasets/AbdomenAtlas/AbdomenAtlas_1.0_Mini</t>
  </si>
  <si>
    <t>FLARE 2024 Task 1</t>
  </si>
  <si>
    <t>400x400x7 to 796x512x1059</t>
  </si>
  <si>
    <t>https://www.codabench.org/competitions/2319</t>
  </si>
  <si>
    <t>FLARE 2024 Task 3</t>
  </si>
  <si>
    <t>4817 (no annotation)</t>
  </si>
  <si>
    <t>160x160x4 to 1024x1024x160</t>
  </si>
  <si>
    <t>https://www.codabench.org/competitions/2296/</t>
  </si>
  <si>
    <t>MICCAI 2024 CARE-LiQA</t>
  </si>
  <si>
    <t>http://zmic.org.cn/care_2024/track3/</t>
  </si>
  <si>
    <t>Download the User Agreement Terms and Data Access Agreement form from the official website, fill it out and send it to the organizer to obtain the data download link.</t>
  </si>
  <si>
    <t>pending: registration is in progress</t>
  </si>
  <si>
    <t>FedSurg</t>
  </si>
  <si>
    <t>Laparoscopy</t>
  </si>
  <si>
    <t>Video classification</t>
  </si>
  <si>
    <t>1920x1080</t>
  </si>
  <si>
    <t>https://www.synapse.org/Synapse:syn53137385/wiki/625370</t>
  </si>
  <si>
    <t>Download according to the relevant regulations of the competition.</t>
  </si>
  <si>
    <t>ACOUSLIC.zip</t>
  </si>
  <si>
    <t>MICCAI-24 ACOUSLIC</t>
  </si>
  <si>
    <t>Waist measurement</t>
  </si>
  <si>
    <t>Train: 300 Val: 10 Test: 290</t>
  </si>
  <si>
    <t>MHA, .CSV</t>
  </si>
  <si>
    <t>https://acouslic-ai.grand-challenge.org/overview-and-goals/</t>
  </si>
  <si>
    <t>https://acouslic-ai.grand-challenge.org/datasets/</t>
  </si>
  <si>
    <t>PENGWIN.zip</t>
  </si>
  <si>
    <t>MICCAI 2024 PENGWIN Task1</t>
  </si>
  <si>
    <t>322x154x193 to 512x512x414</t>
  </si>
  <si>
    <t>https://pengwin.grand-challenge.org/pengwin/</t>
  </si>
  <si>
    <t>https://link.springer.com/chapter/10.1007/978-3-031-43996-4_30</t>
  </si>
  <si>
    <t>https://pengwin.grand-challenge.org/data/</t>
  </si>
  <si>
    <t>Hamlyn Endoscopic Video Datasets</t>
  </si>
  <si>
    <t>Endoscopy</t>
  </si>
  <si>
    <t>Monocular/stereo depth estimation</t>
  </si>
  <si>
    <t>MP4</t>
  </si>
  <si>
    <t>https://hamlyn.doc.ic.ac.uk/vision/</t>
  </si>
  <si>
    <t>https://hamlyn.doc.ic.ac.uk/vision/ (8 papers totally)</t>
  </si>
  <si>
    <t>CVC-ClinicDB</t>
  </si>
  <si>
    <t>288x384</t>
  </si>
  <si>
    <t>https://polyp.grand-challenge.org/CVCClinicDB/</t>
  </si>
  <si>
    <t>https://www.sciencedirect.com/science/article/abs/pii/S0895611115000567</t>
  </si>
  <si>
    <t>AIDA-E2</t>
  </si>
  <si>
    <t>Confocal endoscopy</t>
  </si>
  <si>
    <t>1024*1024</t>
  </si>
  <si>
    <t>https://isbi-aida.grand-challenge.org/</t>
  </si>
  <si>
    <t>Colonoscopic</t>
  </si>
  <si>
    <t>340x256</t>
  </si>
  <si>
    <t>https://www.depeca.uah.es/colonoscopy_dataset/</t>
  </si>
  <si>
    <t>https://ieeexplore.ieee.org/abstract/document/7442848</t>
  </si>
  <si>
    <t>intel-mobileodt-cervical-cancer-screening.zip</t>
  </si>
  <si>
    <t>Intel &amp; MobileODT Cervical Cancer Screening</t>
  </si>
  <si>
    <t>Hysteroscopy</t>
  </si>
  <si>
    <t>4128x4160 to 480x480</t>
  </si>
  <si>
    <t>https://kaggle.com/competitions/intel-mobileodt-cervical-cancer-screening</t>
  </si>
  <si>
    <t>nerthus.zip</t>
  </si>
  <si>
    <t>The Nerthus Dataset</t>
  </si>
  <si>
    <t>Intestine</t>
  </si>
  <si>
    <t>Evaluation</t>
  </si>
  <si>
    <t>720x576</t>
  </si>
  <si>
    <t>https://datasets.simula.no/nerthus/</t>
  </si>
  <si>
    <t>https://dl.acm.org/doi/10.1145/3083187.3083216</t>
  </si>
  <si>
    <t>Robotic Instrument Segmentation</t>
  </si>
  <si>
    <t>Abdominal cavity</t>
  </si>
  <si>
    <t>https://endovissub2017-roboticinstrumentsegmentation.grand-challenge.org/</t>
  </si>
  <si>
    <t>https://arxiv.org/pdf/1902.06426</t>
  </si>
  <si>
    <t>SCARED</t>
  </si>
  <si>
    <t>Depth estimation</t>
  </si>
  <si>
    <t>TIFF, PNG, MP4</t>
  </si>
  <si>
    <t>1280x1024</t>
  </si>
  <si>
    <t>https://endovissub2019-scared.grand-challenge.org/Home/</t>
  </si>
  <si>
    <t>https://arxiv.org/abs/2101.01133</t>
  </si>
  <si>
    <t>No download link, please email max.allan@intusurg.com</t>
  </si>
  <si>
    <t>EAD2019.zip</t>
  </si>
  <si>
    <t>EAD 2019</t>
  </si>
  <si>
    <t>Detection, segmentation</t>
  </si>
  <si>
    <t>JPG, TIF</t>
  </si>
  <si>
    <t>1920x1080 to 774x434</t>
  </si>
  <si>
    <t>https://ead2019.grand-challenge.org/EAD2019/</t>
  </si>
  <si>
    <t>https://arxiv.org/abs/1905.03209</t>
  </si>
  <si>
    <t>https://github.com/sharib-vision/EAD2019/tree/master</t>
  </si>
  <si>
    <t>kvasir-sessile.zip</t>
  </si>
  <si>
    <t>Kvasir-SEG</t>
  </si>
  <si>
    <t>Train: 880 Val: 120 Test: 160</t>
  </si>
  <si>
    <t>487x332 to 1072x1920</t>
  </si>
  <si>
    <t>https://datasets.simula.no/kvasir-seg/, https://github.com/DebeshJha/2020-MediaEval-Medico-polyp-segmentation/tree/master</t>
  </si>
  <si>
    <t>https://link.springer.com/chapter/10.1007/978-3-030-37734-2_37</t>
  </si>
  <si>
    <r>
      <rPr>
        <rFont val="Arial"/>
      </rPr>
      <t xml:space="preserve">https://datasets.simula.no/downloads/kvasir-seg.zip, </t>
    </r>
    <r>
      <rPr>
        <rFont val="Arial"/>
        <color rgb="FF1155CC"/>
        <u/>
      </rPr>
      <t>https://datasets.simula.no/downloads/kvasir-sessile.zip</t>
    </r>
  </si>
  <si>
    <t>SARAS-ESAD</t>
  </si>
  <si>
    <t>Action recognition</t>
  </si>
  <si>
    <t>JPG, TXT</t>
  </si>
  <si>
    <t>1920*1080</t>
  </si>
  <si>
    <t>https://saras-esad.grand-challenge.org</t>
  </si>
  <si>
    <t>https://arxiv.org/abs/2104.03178</t>
  </si>
  <si>
    <t>pending: sending request email</t>
  </si>
  <si>
    <t>SUN Colonoscopy Video</t>
  </si>
  <si>
    <t>Polyp detection</t>
  </si>
  <si>
    <t>49136 polyp frames 109554 non-polyp frames</t>
  </si>
  <si>
    <t>http://amed8k.sundatabase.org/</t>
  </si>
  <si>
    <t>https://www.giejournal.org/article/S0016-5107(20)34655-1/fulltext</t>
  </si>
  <si>
    <t>PSVFM</t>
  </si>
  <si>
    <t>Fetal mirror</t>
  </si>
  <si>
    <t>470x470 to 720x720</t>
  </si>
  <si>
    <t>https://www.ucl.ac.uk/interventional-surgical-sciences/weiss-open-research/weiss-open-data-server/fetoscopy-placenta-data</t>
  </si>
  <si>
    <t>https://arxiv.org/pdf/2007.04349</t>
  </si>
  <si>
    <t>CP-CHILD.zip</t>
  </si>
  <si>
    <t>CP-CHILD</t>
  </si>
  <si>
    <t>Pelvic</t>
  </si>
  <si>
    <t>https://link.springer.com/article/10.1186/s12880-020-00482-3</t>
  </si>
  <si>
    <t>https://www.kaggle.com/datasets/mahdieh002/colonoscopy-cp-child?resource=download</t>
  </si>
  <si>
    <t>uw-sinus-surgery-CL.zip</t>
  </si>
  <si>
    <t>Sinus Surgery Endoscopic Image Datasets</t>
  </si>
  <si>
    <t>Nasal cavity</t>
  </si>
  <si>
    <t>Rhinoscopy</t>
  </si>
  <si>
    <t>240*240bodyx256*256onsite</t>
  </si>
  <si>
    <t>https://github.com/SURA23/Sinus-Surgery-Endoscopic-Image-Datasets?tab=readme-ov-file</t>
  </si>
  <si>
    <t>https://ieeexplore.ieee.org/document/9341556</t>
  </si>
  <si>
    <t>https://digital.lib.washington.edu/researchworks/handle/1773/45396</t>
  </si>
  <si>
    <t>EndoVisSub2018-RoboticSceneSegmentation</t>
  </si>
  <si>
    <t>PNG,.JSON,.TXT</t>
  </si>
  <si>
    <t>https://github.com/CapsuleEndoscope/EndoSLAM</t>
  </si>
  <si>
    <t>https://arxiv.org/pdf/2001.11190</t>
  </si>
  <si>
    <t>https://drive.google.com/drive/folders/12p0f1nW2rhNIcyZrmeU7GxjcBTdHIqSM</t>
  </si>
  <si>
    <t>EndoSLAM</t>
  </si>
  <si>
    <t>1280x720 to 256x256</t>
  </si>
  <si>
    <t>Not Specified</t>
  </si>
  <si>
    <t>https://arxiv.org/abs/2006.16670</t>
  </si>
  <si>
    <t>m2caiseg.zip</t>
  </si>
  <si>
    <t>m2caiseg</t>
  </si>
  <si>
    <t>596x334 to 774x434</t>
  </si>
  <si>
    <t>https://www.kaggle.com/datasets/salmanmaq/m2caiseg</t>
  </si>
  <si>
    <t>https://arxiv.org/abs/2008.10134</t>
  </si>
  <si>
    <t>https://www.kaggle.com/datasets/salmanmaq/m2caiseg/download?datasetVersionNumber=1</t>
  </si>
  <si>
    <t>CholecSeg8k.zip</t>
  </si>
  <si>
    <t>CholecSeg8k</t>
  </si>
  <si>
    <t>854×480</t>
  </si>
  <si>
    <t>https://www.kaggle.com/datasets/newslab/cholecseg8k</t>
  </si>
  <si>
    <t>https://arxiv.org/abs/2012.12453</t>
  </si>
  <si>
    <t>SERV-CT.zip</t>
  </si>
  <si>
    <t>SERV-CT</t>
  </si>
  <si>
    <t>Disparity estimation</t>
  </si>
  <si>
    <t>https://www.ucl.ac.uk/interventional-surgical-sciences/weiss-open-research/weiss-open-data-server/serv-ct</t>
  </si>
  <si>
    <t>https://www.sciencedirect.com/science/article/pii/S1361841521003479</t>
  </si>
  <si>
    <t>https://rdr.ucl.ac.uk/articles/dataset/SERV-CT_A_disparity_dataset_from_cone-beam_CT_for_validation_of_endoscopic_3D_reconstruction/26352199</t>
  </si>
  <si>
    <t>Stampede: Kvasir-Capsule</t>
  </si>
  <si>
    <t>Kvasir-Capsule</t>
  </si>
  <si>
    <t>https://datasets.simula.no/kvasir-capsule/</t>
  </si>
  <si>
    <t>https://www.nature.com/articles/s41597-021-00920-z</t>
  </si>
  <si>
    <t>FetReg2021_dataset.zip</t>
  </si>
  <si>
    <t>FetReg 2021 Task1</t>
  </si>
  <si>
    <t>320x320 to 720x720</t>
  </si>
  <si>
    <t>https://www.synapse.org/#!Synapse:syn25313156</t>
  </si>
  <si>
    <t>https://arxiv.org/pdf/2106.05923.pdf</t>
  </si>
  <si>
    <t>https://weiss-develop.cs.ucl.ac.uk/fetreg/</t>
  </si>
  <si>
    <t>LDPolypVideo</t>
  </si>
  <si>
    <t>560x480</t>
  </si>
  <si>
    <t>https://github.com/dashishi/LDPolypVideo-Benchmark</t>
  </si>
  <si>
    <t>https://link.springer.com/chapter/10.1007/978-3-030-87240-3_37</t>
  </si>
  <si>
    <t>pending: request subbmited</t>
  </si>
  <si>
    <t>EndoMapper</t>
  </si>
  <si>
    <t>Digestive tract</t>
  </si>
  <si>
    <t>59 videos ( ~15h)</t>
  </si>
  <si>
    <t>MOV</t>
  </si>
  <si>
    <t>320×240 to 1440×1080</t>
  </si>
  <si>
    <t>https://www.synapse.org/#!Synapse:syn26707219/wiki/615178</t>
  </si>
  <si>
    <t>https://arxiv.org/abs/2204.14240</t>
  </si>
  <si>
    <t>CholecT45 Dataset</t>
  </si>
  <si>
    <t>Recognition, segmentation</t>
  </si>
  <si>
    <t>PICTURE</t>
  </si>
  <si>
    <t>https://github.com/CAMMA-public/cholect45</t>
  </si>
  <si>
    <t>https://arxiv.org/abs/2204.05235</t>
  </si>
  <si>
    <t>SSS</t>
  </si>
  <si>
    <t>Surgical scene segmentation</t>
  </si>
  <si>
    <t>4510+1246+3400</t>
  </si>
  <si>
    <t>1280×1024</t>
  </si>
  <si>
    <t>https://sisvse.github.io/</t>
  </si>
  <si>
    <t>https://conferences.miccai.org/2022/papers/489-Paper2739.html</t>
  </si>
  <si>
    <t>https://www.kaggle.com/datasets/yjh4374/sisvse-dataset?resource=download-directory</t>
  </si>
  <si>
    <t>LIMUC</t>
  </si>
  <si>
    <t>BMP</t>
  </si>
  <si>
    <t>352x288</t>
  </si>
  <si>
    <t>https://github.com/GorkemP/labeled-images-for-ulcerative-colitis</t>
  </si>
  <si>
    <t>https://academic.oup.com/ibdjournal/article-abstract/29/9/1431/6830946?login=false</t>
  </si>
  <si>
    <t>https://zenodo.org/records/5827695#.Yi8GJ3pByUk</t>
  </si>
  <si>
    <t>pending: request sent</t>
  </si>
  <si>
    <t>SUN-SEG</t>
  </si>
  <si>
    <t>Colonoscopy</t>
  </si>
  <si>
    <t>JPG, .PNG</t>
  </si>
  <si>
    <t>https://github.com/GewelsJI/VPS/tree/main</t>
  </si>
  <si>
    <t>https://link.springer.com/article/10.1007/s11633-022-1371-y</t>
  </si>
  <si>
    <t>PitVis</t>
  </si>
  <si>
    <t>Pituitary</t>
  </si>
  <si>
    <t>720x1280</t>
  </si>
  <si>
    <t>https://opencas.dkfz.de/endovis/challenges/2023/</t>
  </si>
  <si>
    <t>https://zenodo.org/records/8315050</t>
  </si>
  <si>
    <t>https://www.synapse.org/Synapse:syn51232283/wiki/621581</t>
  </si>
  <si>
    <t>EBTCD</t>
  </si>
  <si>
    <t>Endoscopic Bladder Tissue Classification Dataset</t>
  </si>
  <si>
    <t>300x300 to 350x350</t>
  </si>
  <si>
    <t>https://commons.datacite.org/doi.org/10.5281/zenodo.7741475</t>
  </si>
  <si>
    <t>https://arxiv.org/pdf/2212.11375.pdf</t>
  </si>
  <si>
    <t>https://www.kaggle.com/code/xokent/endoscopic-bladder-tissue-classification/input</t>
  </si>
  <si>
    <t>C3VD</t>
  </si>
  <si>
    <t>3d reconstruction</t>
  </si>
  <si>
    <t>PNG, TIFF, TXT</t>
  </si>
  <si>
    <t>1350*1080</t>
  </si>
  <si>
    <t>https://durrlab.github.io/C3VD/</t>
  </si>
  <si>
    <t>https://www.sciencedirect.com/science/article/abs/pii/S1361841523002165</t>
  </si>
  <si>
    <t>pending: request awaiting review</t>
  </si>
  <si>
    <t>SurgVU24</t>
  </si>
  <si>
    <t>Video timing positioning</t>
  </si>
  <si>
    <t>MP4,.CSV</t>
  </si>
  <si>
    <t>1280x720</t>
  </si>
  <si>
    <t>https://surgvu24.grand-challenge.org/</t>
  </si>
  <si>
    <t>ASU-Mayo</t>
  </si>
  <si>
    <t>Bowel</t>
  </si>
  <si>
    <t>Colonoscopy video</t>
  </si>
  <si>
    <t>Polyp detection and segmentation</t>
  </si>
  <si>
    <t>Training set includes polyp/no‑polyp labels per video and binary masks for polyp regions【596879018293594†screenshot】</t>
  </si>
  <si>
    <t>United States【596879018293594†screenshot】</t>
  </si>
  <si>
    <t>https://polyp.grand-challenge.org/AsuMayo</t>
  </si>
  <si>
    <t>ASU‑Mayo colonoscopy polyp detection challenge dataset【596879018293594†screenshot】</t>
  </si>
  <si>
    <t>https://polyp.grand-challenge.org/AsuMayo/</t>
  </si>
  <si>
    <t>CMB-CRC</t>
  </si>
  <si>
    <t>CT, DX, US, PT, MR, NM, XA radiology images and histopathology whole slide images</t>
  </si>
  <si>
    <t>Multi‑modality imaging for colorectal cancer research</t>
  </si>
  <si>
    <t>173 820 radiology images &amp; 167 whole‑slide images【667063371441973†L64-L120】</t>
  </si>
  <si>
    <t>DICOM (radiology), SVS/JSON (histopathology)</t>
  </si>
  <si>
    <t>3D (radiology), 2D (WSI)</t>
  </si>
  <si>
    <t>United States【667063371441973†L64-L120】</t>
  </si>
  <si>
    <t>https://www.cancerimagingarchive.net/collection/cmb-crc</t>
  </si>
  <si>
    <t>Cancer Moonshot Biobank colorectal cancer collection【667063371441973†L64-L120】</t>
  </si>
  <si>
    <t>https://www.cancerimagingarchive.net/collection/cmb-crc/</t>
  </si>
  <si>
    <t>Collection_of_textures_in_colorectal_cancer_histology.zip</t>
  </si>
  <si>
    <t>Collection of textures in colorectal cancer histology</t>
  </si>
  <si>
    <t>Texture classification</t>
  </si>
  <si>
    <t>Each of the 5000 tiles is labelled as one of eight tissue categories【310740299383238†L45-L53】</t>
  </si>
  <si>
    <t>5000 tiles + 10 large images</t>
  </si>
  <si>
    <t>RGB images</t>
  </si>
  <si>
    <t>150×150 px tiles; 5000×5000 px large images【310740299383238†L45-L53】</t>
  </si>
  <si>
    <t>Germany【310740299383238†L33-L35】【310740299383238†L60-L61】</t>
  </si>
  <si>
    <t>https://zenodo.org/records/53169#.W6HwwP4zbOQ</t>
  </si>
  <si>
    <t>Kather et al., multi‑class texture analysis dataset【310740299383238†L45-L53】【310740299383238†L56-L59】</t>
  </si>
  <si>
    <t>https://zenodo.org/records/53169</t>
  </si>
  <si>
    <t>PKG - CPTAC-COAD_v1</t>
  </si>
  <si>
    <t>CPTAC-COAD</t>
  </si>
  <si>
    <t>Whole‑slide histopathology images</t>
  </si>
  <si>
    <t>Histopathology analysis and proteomic correlation</t>
  </si>
  <si>
    <t>https://www.cancerimagingarchive.net/collection/cptac-coad</t>
  </si>
  <si>
    <t>CPTAC-COAD dataset summary【944291458045977†L66-L69】【944291458045977†L124-L129】</t>
  </si>
  <si>
    <t>https://www.cancerimagingarchive.net/collection/cptac-coad/</t>
  </si>
  <si>
    <t>CVC-ColonDB.zip</t>
  </si>
  <si>
    <t>CVC colon DB</t>
  </si>
  <si>
    <t>Colonoscopy images</t>
  </si>
  <si>
    <t>Polyp segmentation and detection</t>
  </si>
  <si>
    <t>Manual polyp masks【332643751132998†L486-L503】</t>
  </si>
  <si>
    <t>574×500 pixels</t>
  </si>
  <si>
    <t>http://vi.cvc.uab.es/colon-qa/cvccolondb</t>
  </si>
  <si>
    <t>CVC-ColonDB dataset description【332643751132998†L486-L503】</t>
  </si>
  <si>
    <t>Computer Vision Center (CVC)</t>
  </si>
  <si>
    <t>EndoCV2020-Endoscopy-Disease-Detection-Segmentation-subChallenge_data.zip</t>
  </si>
  <si>
    <t>EDD2020</t>
  </si>
  <si>
    <t>Bounding boxes, 5-channel segmentation masks</t>
  </si>
  <si>
    <t>TIFF, Pascal VOC</t>
  </si>
  <si>
    <t>France, Italy, UK</t>
  </si>
  <si>
    <t>https://ieee-dataport.org/competitions/endoscopy-disease-detection-and-segmentation-edd2020</t>
  </si>
  <si>
    <t>https://ieee-dataport.org/competitions/endoscopy-disease-detection-challenge-edd2020</t>
  </si>
  <si>
    <t>El Salvador atlas of Gastrointestinal</t>
  </si>
  <si>
    <t>Endoscopy videos</t>
  </si>
  <si>
    <t>Education / Classification</t>
  </si>
  <si>
    <t>Low resolution</t>
  </si>
  <si>
    <t>El Salvador</t>
  </si>
  <si>
    <t>https://www.gastrointestinalatlas.com/english/english.html</t>
  </si>
  <si>
    <t>Gastrointestinal Atlas website</t>
  </si>
  <si>
    <t>https://www.gastrointestinalatlas.com/english/</t>
  </si>
  <si>
    <t>polypgen</t>
  </si>
  <si>
    <t>EndoCV2021</t>
  </si>
  <si>
    <t>Bounding boxes and segmentation masks, negative samples</t>
  </si>
  <si>
    <t>JPEG and annotation files</t>
  </si>
  <si>
    <t>Multi-centre (France, Italy, Norway, UK, Egypt)</t>
  </si>
  <si>
    <t>https://endocv2021.grand-challenge.org</t>
  </si>
  <si>
    <t>https://endocv2021.grand-challenge.org/</t>
  </si>
  <si>
    <t>osfstorage-archive</t>
  </si>
  <si>
    <t>HyperKvasir</t>
  </si>
  <si>
    <t>Endoscopy (images and videos)</t>
  </si>
  <si>
    <t>Labels for 23 classes; polyp masks and boxes for 1,000 images; unlabeled images and videos</t>
  </si>
  <si>
    <t>110,079 images, 374 videos</t>
  </si>
  <si>
    <t>JPEG images, MP4 videos, masks (PNG)</t>
  </si>
  <si>
    <t>Varied</t>
  </si>
  <si>
    <t>Bærum Hospital, Norway</t>
  </si>
  <si>
    <t>https://github.com/simula/hyper-kvasir</t>
  </si>
  <si>
    <t>OSF/GitHub</t>
  </si>
  <si>
    <t>https://osf.io/m4e3g/</t>
  </si>
  <si>
    <t>PAIP2020</t>
  </si>
  <si>
    <t>Histopathology WSI (H&amp;E)</t>
  </si>
  <si>
    <t>Tumor segmentation, MSI classification</t>
  </si>
  <si>
    <t>Tumor region masks, MSI labels (XML/CSV)</t>
  </si>
  <si>
    <t>40×</t>
  </si>
  <si>
    <t>Seoul National University Hospital, SNUBH &amp; SMG-SNU Boramae (Korea)</t>
  </si>
  <si>
    <t>https://paip2020.grand-challenge.org</t>
  </si>
  <si>
    <t>https://paip2020.grand-challenge.org/</t>
  </si>
  <si>
    <t>PAIP2023</t>
  </si>
  <si>
    <t>Histopathology WSI</t>
  </si>
  <si>
    <t>Cellularity prediction, Nuclei segmentation</t>
  </si>
  <si>
    <t>Nuclei segmentations and cellularity labels</t>
  </si>
  <si>
    <t>https://2023paip.grand-challenge.org</t>
  </si>
  <si>
    <t>Restricted (data use agreement)</t>
  </si>
  <si>
    <t>PolypGen2021_MultiCenterData_v3.zip</t>
  </si>
  <si>
    <t>PolypGen</t>
  </si>
  <si>
    <t>Polyp segmentation masks and bounding boxes</t>
  </si>
  <si>
    <t>PNG/TIFF images, annotation JSON</t>
  </si>
  <si>
    <t>France, Italy, Norway, UK, Egypt</t>
  </si>
  <si>
    <t>https://www.synapse.org/Synapse:syn26376615/wiki/613312</t>
  </si>
  <si>
    <t>https://www.synapse.org/Synapse:syn26376615</t>
  </si>
  <si>
    <t>TCGA-COAD.zip</t>
  </si>
  <si>
    <t>TCGA-COAD</t>
  </si>
  <si>
    <t>Histopathology &amp; CT</t>
  </si>
  <si>
    <t>1,442 WSI + 8,387 CT</t>
  </si>
  <si>
    <t>SVS, DICOM</t>
  </si>
  <si>
    <t>USA (TCGA consortium)</t>
  </si>
  <si>
    <t>https://www.cancerimagingarchive.net/collection/tcga-coad</t>
  </si>
  <si>
    <t>TCIA/GDC</t>
  </si>
  <si>
    <t>https://portal.gdc.cancer.gov/projects/TCGA-COAD</t>
  </si>
  <si>
    <t>TCGA-READ</t>
  </si>
  <si>
    <t>Histopathology &amp; CT/MRI</t>
  </si>
  <si>
    <t>1,796 slides</t>
  </si>
  <si>
    <t>https://www.cancerimagingarchive.net/collection/tcga-read</t>
  </si>
  <si>
    <t>https://portal.gdc.cancer.gov/projects/TCGA-READ</t>
  </si>
  <si>
    <t>CT-COLONOGRAPHY</t>
  </si>
  <si>
    <t>The National CT Colonography Trial (ACRIN 6664)</t>
  </si>
  <si>
    <t>Polyp location spreadsheets</t>
  </si>
  <si>
    <t>https://www.cancerimagingarchive.net/collection/ct-colonography</t>
  </si>
  <si>
    <t>https://www.cancerimagingarchive.net/collections/acrin-6664/</t>
  </si>
  <si>
    <t>CPTAC-CCRCC</t>
  </si>
  <si>
    <t>Kidneys and Urinary Tract</t>
  </si>
  <si>
    <t>Histopathology (PAS)</t>
  </si>
  <si>
    <t>Glomeruli masks</t>
  </si>
  <si>
    <t>https://www.cancerimagingarchive.net/collection/cptac-ccrcc</t>
  </si>
  <si>
    <t>https://www.kaggle.com/competitions/hubmap-kidney-segmentation</t>
  </si>
  <si>
    <t>https://www.kaggle.com/competitions/hubmap-kidney-segmentation/data</t>
  </si>
  <si>
    <t>hubmap-kidney-segmentation.zip</t>
  </si>
  <si>
    <t>HuBMAP - Hacking the Kidney</t>
  </si>
  <si>
    <t>Dot annotations (lymphocytes, monocytes)</t>
  </si>
  <si>
    <t>153 WSIs; 231 ROIs</t>
  </si>
  <si>
    <t>Europe (multi-center)</t>
  </si>
  <si>
    <t>https://monkey.grand-challenge.org/</t>
  </si>
  <si>
    <t>Grand Challenge / AWS</t>
  </si>
  <si>
    <t>https://monkey.grand-challenge.org/dataset/</t>
  </si>
  <si>
    <t>MONKEY</t>
  </si>
  <si>
    <t>CT + Pathology</t>
  </si>
  <si>
    <t>DICOM + WSI</t>
  </si>
  <si>
    <t>3D (CT) + 2D (WSI)</t>
  </si>
  <si>
    <t>https://monkey.grand-challenge.org</t>
  </si>
  <si>
    <t>https://www.cancerimagingarchive.net/collection/tcga-blca/</t>
  </si>
  <si>
    <t>TCGA-BLCA</t>
  </si>
  <si>
    <t>CT, MR, CR, PT, DX</t>
  </si>
  <si>
    <t>Multiple (international sites)</t>
  </si>
  <si>
    <t>https://www.cancerimagingarchive.net/collection/tcga-blca</t>
  </si>
  <si>
    <t>DOI:10.7937/K9/TCIA.2016.8LNG8XDR</t>
  </si>
  <si>
    <t>TCGA-KICH.zip</t>
  </si>
  <si>
    <t>TCGA-KICH</t>
  </si>
  <si>
    <t>CT, MR</t>
  </si>
  <si>
    <t>Multiple</t>
  </si>
  <si>
    <t>https://www.cancerimagingarchive.net/collection/tcga-kich</t>
  </si>
  <si>
    <t>DOI:10.7937/K9/TCIA.2016.YU3RBCZN</t>
  </si>
  <si>
    <t>tciaDownload</t>
  </si>
  <si>
    <t>TCGA-KIRC</t>
  </si>
  <si>
    <t>CT, MR, CR</t>
  </si>
  <si>
    <t>https://www.cancerimagingarchive.net/collection/tcga-kirc</t>
  </si>
  <si>
    <t>DOI:10.7937/K9/TCIA.2016.V6PBVTDR</t>
  </si>
  <si>
    <t>TCGA-KIRP</t>
  </si>
  <si>
    <t>CT, MR, PT</t>
  </si>
  <si>
    <t>https://www.cancerimagingarchive.net/collection/tcga-kirp</t>
  </si>
  <si>
    <t>DOI:10.7937/K9/TCIA.2016.ACWOGBEF</t>
  </si>
  <si>
    <t>Urinary tract infections.zip</t>
  </si>
  <si>
    <t>Urinary tract infections</t>
  </si>
  <si>
    <t>Microscopy</t>
  </si>
  <si>
    <t>Binary masks, Multi-class masks</t>
  </si>
  <si>
    <t>1392×1040</t>
  </si>
  <si>
    <t>London, UK</t>
  </si>
  <si>
    <t>https://rodare.hzdr.de/record/2473</t>
  </si>
  <si>
    <t>DOI:10.14278/rodare.2473</t>
  </si>
  <si>
    <t>Rodare</t>
  </si>
  <si>
    <t>AHEP0731</t>
  </si>
  <si>
    <t>CT, US, MR, PT, XA</t>
  </si>
  <si>
    <t>Multiple (international)</t>
  </si>
  <si>
    <t>https://www.cancerimagingarchive.net/collection/ahep0731</t>
  </si>
  <si>
    <t>DOI:10.7937/F2DB-8826</t>
  </si>
  <si>
    <t>CLUST</t>
  </si>
  <si>
    <t>Landmark Tracking, Segmentation</t>
  </si>
  <si>
    <t>Landmarks, Segmentation masks</t>
  </si>
  <si>
    <t>Switzerland, Germany, UK, Netherlands, Norway</t>
  </si>
  <si>
    <t>https://clust.ethz.ch</t>
  </si>
  <si>
    <t>Challenge on Liver Ultrasound Tracking (2014)</t>
  </si>
  <si>
    <t>Duke Liver DataSet</t>
  </si>
  <si>
    <t>USA (Duke University)</t>
  </si>
  <si>
    <t>https://zenodo.org/records/7774566</t>
  </si>
  <si>
    <t>Radiology: AI 2023 Duke Liver Dataset</t>
  </si>
  <si>
    <t>P2ILF</t>
  </si>
  <si>
    <t>Laparoscopic images, 3D models</t>
  </si>
  <si>
    <t>Segmentation, 2D–3D Registration</t>
  </si>
  <si>
    <t>Contours, Landmarks</t>
  </si>
  <si>
    <t>JPG/PNG + 3D models</t>
  </si>
  <si>
    <t>https://p2ilf.grand-challenge.org</t>
  </si>
  <si>
    <t>Grand Challenge P2ILF</t>
  </si>
  <si>
    <t>PAIP2019</t>
  </si>
  <si>
    <t>Whole Slide Imaging</t>
  </si>
  <si>
    <t>Segmentation, Viable tumor classification</t>
  </si>
  <si>
    <t>WSI</t>
  </si>
  <si>
    <t>20× magnification</t>
  </si>
  <si>
    <t>Seoul, South Korea</t>
  </si>
  <si>
    <t>https://paip2019.grand-challenge.org</t>
  </si>
  <si>
    <t>PAIP2019 challenge</t>
  </si>
  <si>
    <t>SHAPE 2014</t>
  </si>
  <si>
    <t>Switzerland (Delémont)</t>
  </si>
  <si>
    <t>https://www.smir.ch/ShapeChallenge/Start2014</t>
  </si>
  <si>
    <t>VISCERAL Shape 2014 challenge</t>
  </si>
  <si>
    <t>TCGA-LIHC</t>
  </si>
  <si>
    <t>https://www.cancerimagingarchive.net/collection/tcga-lihc</t>
  </si>
  <si>
    <t>DOI:10.7937/K9/TCIA.2020.LIHC</t>
  </si>
  <si>
    <t>A-AFMA</t>
  </si>
  <si>
    <t>Female Reproductive Organs</t>
  </si>
  <si>
    <t>Ultrasound video</t>
  </si>
  <si>
    <t>Detection; Localization</t>
  </si>
  <si>
    <t>Bounding boxes; Landmarks</t>
  </si>
  <si>
    <t>https://a-afma.grand-challenge.org</t>
  </si>
  <si>
    <t>ATEC23</t>
  </si>
  <si>
    <t>Histopathology (H&amp;E WSI)</t>
  </si>
  <si>
    <t>Classification (treatment response)</t>
  </si>
  <si>
    <t>Clinical response labels</t>
  </si>
  <si>
    <t>~54,342×41,048 pixels at 20×</t>
  </si>
  <si>
    <t>253.8</t>
  </si>
  <si>
    <t>Taiwan (Tri-Service General Hospital &amp; National Defense Medical Center)</t>
  </si>
  <si>
    <t>https://github.com/cwwang1979/MICCAI_ATEC23challenge</t>
  </si>
  <si>
    <t>CMB-OV</t>
  </si>
  <si>
    <t>CT; PET; Histopathology WSI</t>
  </si>
  <si>
    <t>Longitudinal imaging study</t>
  </si>
  <si>
    <t>76.41</t>
  </si>
  <si>
    <t>3D &amp; 2D</t>
  </si>
  <si>
    <t>Cancer Moonshot Biobank (USA)</t>
  </si>
  <si>
    <t>https://www.cancerimagingarchive.net/collection/cmb-ov</t>
  </si>
  <si>
    <t>CPTAC-UCEC</t>
  </si>
  <si>
    <t>CT; PET; MR; Ultrasound; Histopathology</t>
  </si>
  <si>
    <t>Multimodal analysis</t>
  </si>
  <si>
    <t>234.24</t>
  </si>
  <si>
    <t>USA (multi-institution)</t>
  </si>
  <si>
    <t>https://www.cancerimagingarchive.net/collection/cptac-ucec</t>
  </si>
  <si>
    <t>ENDO-AID</t>
  </si>
  <si>
    <t>Grading (classification)</t>
  </si>
  <si>
    <t>Expert grades (3 categories)</t>
  </si>
  <si>
    <t>0.5 µm/pixel (scanned at 0.25 µm)</t>
  </si>
  <si>
    <t>16.9</t>
  </si>
  <si>
    <t>Netherlands (Radboud UMC)</t>
  </si>
  <si>
    <t>https://zenodo.org/records/7372187</t>
  </si>
  <si>
    <t>14371652.zip</t>
  </si>
  <si>
    <t>HC18</t>
  </si>
  <si>
    <t>Segmentation; Measurement</t>
  </si>
  <si>
    <t>Manual head circumference contours</t>
  </si>
  <si>
    <t>800×540 pixels</t>
  </si>
  <si>
    <t>https://hc18.grand-challenge.org</t>
  </si>
  <si>
    <t>iugc-ultrasound-video-dataset-miccai-2024.zip</t>
  </si>
  <si>
    <t>IUGC</t>
  </si>
  <si>
    <t>Pixel-wise labels (pubic symphysis &amp; fetal head)</t>
  </si>
  <si>
    <t>0.132</t>
  </si>
  <si>
    <t>China (Zhujiang Hospital &amp; Jinan University)</t>
  </si>
  <si>
    <t>https://codalab.lisn.upsaclay.fr/competitions/18413</t>
  </si>
  <si>
    <t>Zenodo / Grand Challenge</t>
  </si>
  <si>
    <t>JNU-IFM.zip</t>
  </si>
  <si>
    <t>JNU-IFM</t>
  </si>
  <si>
    <t>Pixel-wise masks for fetal head &amp; pubic symphysis</t>
  </si>
  <si>
    <t>1.67</t>
  </si>
  <si>
    <t>Jinan University (China)</t>
  </si>
  <si>
    <t>https://figshare.com/articles/dataset/JNU-IFM/14371652</t>
  </si>
  <si>
    <t>pap_smear</t>
  </si>
  <si>
    <t>Liquid based-cytology Pap smear</t>
  </si>
  <si>
    <t>Class labels for four lesion types</t>
  </si>
  <si>
    <t>https://data.mendeley.com/datasets/zddtpgzv63/4</t>
  </si>
  <si>
    <t>TCGA-CESC</t>
  </si>
  <si>
    <t>MR</t>
  </si>
  <si>
    <t>Research</t>
  </si>
  <si>
    <t>9.5</t>
  </si>
  <si>
    <t>https://www.cancerimagingarchive.net/collection/tcga-cesc</t>
  </si>
  <si>
    <t>TCGA-OV</t>
  </si>
  <si>
    <t>CT; MR; OT</t>
  </si>
  <si>
    <t>28.3</t>
  </si>
  <si>
    <t>https://www.cancerimagingarchive.net/collection/tcga-ov</t>
  </si>
  <si>
    <t>TCGA-UCEC</t>
  </si>
  <si>
    <t>CT; PT; MR; CR</t>
  </si>
  <si>
    <t>37.85</t>
  </si>
  <si>
    <t>https://www.cancerimagingarchive.net/collection/tcga-ucec</t>
  </si>
  <si>
    <t xml:space="preserve">cervical-cancer-largest-dataset-sipakmed.zip </t>
  </si>
  <si>
    <t>SIPaKMeD</t>
  </si>
  <si>
    <t>Five cell types; segmentation masks</t>
  </si>
  <si>
    <t>Greece (University of Ioannina)</t>
  </si>
  <si>
    <t>https://www.cs.uoi.gr/~marina/sipakmed.html</t>
  </si>
  <si>
    <t>University of Ioannina</t>
  </si>
  <si>
    <t>I2CVB</t>
  </si>
  <si>
    <t>Male Reproductive Organs</t>
  </si>
  <si>
    <t>Multi-class segmentation (prostate, zones, CaP)</t>
  </si>
  <si>
    <t>DICOM; RDA</t>
  </si>
  <si>
    <t>https://i2cvb.github.io</t>
  </si>
  <si>
    <t>Zenodo link</t>
  </si>
  <si>
    <t>Processed_data_nii.zip</t>
  </si>
  <si>
    <t>Multi-site Dataset for Prostate MRI Segmentation</t>
  </si>
  <si>
    <t>MRI (T2-weighted)</t>
  </si>
  <si>
    <t>Prostate segmentation masks</t>
  </si>
  <si>
    <t>NIfTI (.nii)</t>
  </si>
  <si>
    <t>https://liuquande.github.io/SAML</t>
  </si>
  <si>
    <t>Google Drive (processed_data_nii)</t>
  </si>
  <si>
    <t>ISBI-MR-Prostate-2013</t>
  </si>
  <si>
    <t>NCI-ISBI 2013</t>
  </si>
  <si>
    <t>Central gland &amp; peripheral zone outlines</t>
  </si>
  <si>
    <t>DICOM images; NRRD segmentations</t>
  </si>
  <si>
    <t>0.61</t>
  </si>
  <si>
    <t>Boston, USA &amp; Nijmegen, Netherlands</t>
  </si>
  <si>
    <t>https://www.cancerimagingarchive.net/analysis-result/isbi-mr-prostate-2013</t>
  </si>
  <si>
    <t>Prostate-3T</t>
  </si>
  <si>
    <t>Segmentations for prostate zones and structures</t>
  </si>
  <si>
    <t>DICOM images; MHA/NRRD segmentations</t>
  </si>
  <si>
    <t>0.27</t>
  </si>
  <si>
    <t>Radboud University Nijmegen, Netherlands</t>
  </si>
  <si>
    <t>https://www.cancerimagingarchive.net/collection/prostate-3t</t>
  </si>
  <si>
    <t>PROSTATE-DIAGNOSIS</t>
  </si>
  <si>
    <t>MRI (T1, T2, DCE)</t>
  </si>
  <si>
    <t>Classification; Segmentation; Measurement</t>
  </si>
  <si>
    <t>Multi-component segmentations and clinical metadata</t>
  </si>
  <si>
    <t>DICOM images; NRRD/MHA segmentations</t>
  </si>
  <si>
    <t>5.67</t>
  </si>
  <si>
    <t>https://www.cancerimagingarchive.net/collection/prostate-diagnosis</t>
  </si>
  <si>
    <t>Prostate segmentation 2009</t>
  </si>
  <si>
    <t>https://www.na-mic.org/wiki/2009_prostate_segmentation_challenge_MICCAI</t>
  </si>
  <si>
    <t>PROSTATEx</t>
  </si>
  <si>
    <t>Classification; Lesion detection</t>
  </si>
  <si>
    <t>Lesion-level labels and patient-level diagnoses</t>
  </si>
  <si>
    <t>T2: 0.5 mm, slice 3.6 mm; DCE: 1.5 mm, 4 mm slices; DWI: 2 mm</t>
  </si>
  <si>
    <t>16.67</t>
  </si>
  <si>
    <t>https://www.cancerimagingarchive.net/collection/prostatex</t>
  </si>
  <si>
    <t>TCGA-PRAD</t>
  </si>
  <si>
    <t>CT; MR; PT</t>
  </si>
  <si>
    <t>3.74</t>
  </si>
  <si>
    <t>https://www.cancerimagingarchive.net/collection/tcga-prad</t>
  </si>
  <si>
    <t>PH²</t>
  </si>
  <si>
    <t>Skin</t>
  </si>
  <si>
    <t>Dermoscopic</t>
  </si>
  <si>
    <t>560x768</t>
  </si>
  <si>
    <t>Deleted</t>
  </si>
  <si>
    <t>https://www.fc.up.pt/addi/ph2%20database.html</t>
  </si>
  <si>
    <t>https://www.researchgate.net/profile/Catarina-Barata-2/publication/300467916_PH2_A_Public_Database_for_the_Analysis_of_Dermoscopic_Images/links/570fa8cf08ae170055bde6db/PH2-A-Public-Database-for-the-Analysis-of-Dermoscopic-Images.pdf</t>
  </si>
  <si>
    <t>Dropbox</t>
  </si>
  <si>
    <t>https://www.dropbox.com/s/k88qukc20ljnbuo/PH2Dataset.rar</t>
  </si>
  <si>
    <t>complete_mednode_dataset.zip</t>
  </si>
  <si>
    <t>MED-NODE</t>
  </si>
  <si>
    <t>201x257 to 3177x1333</t>
  </si>
  <si>
    <t>https://www.cs.rug.nl/~imaging/databases/melanoma_naevi/</t>
  </si>
  <si>
    <t>https://pure.rug.nl/ws/portalfiles/portal/84388355/MED_NODE_A_computer_assisted_melanoma_diagnosis_system_using_non.pdf</t>
  </si>
  <si>
    <t>https://www.cs.rug.nl/~imaging/databases/melanoma_naevi/complete_mednode_dataset.zip</t>
  </si>
  <si>
    <t>ISIC-2017_Training_Data.zip</t>
  </si>
  <si>
    <t>ISIC 2017</t>
  </si>
  <si>
    <t>Melanoma</t>
  </si>
  <si>
    <t>Train: 2000 Val: 150 Test: 600</t>
  </si>
  <si>
    <t>PNG, JPG</t>
  </si>
  <si>
    <t>540x576 to 4499x6748</t>
  </si>
  <si>
    <t>https://challenge.isic-archive.com/data/#2017</t>
  </si>
  <si>
    <t>https://ieeexplore.ieee.org/document/8363547</t>
  </si>
  <si>
    <t>Derm7pt</t>
  </si>
  <si>
    <t>Dermatoscope</t>
  </si>
  <si>
    <t>511x767 to 474x626</t>
  </si>
  <si>
    <t>Request</t>
  </si>
  <si>
    <t>https://derm.cs.sfu.ca/Welcome.html</t>
  </si>
  <si>
    <t>https://ieeexplore.ieee.org/document/8333693</t>
  </si>
  <si>
    <t>ISIC_2020_Training_Dicom.zip</t>
  </si>
  <si>
    <t>ISIC 2020</t>
  </si>
  <si>
    <t>DICOM, JPG</t>
  </si>
  <si>
    <t>640x480 to 6000x6000</t>
  </si>
  <si>
    <t>https://challenge2020.isic-archive.com/</t>
  </si>
  <si>
    <t>https://www.nature.com/articles/s41597-021-00815-z</t>
  </si>
  <si>
    <t>PED-UFES-20</t>
  </si>
  <si>
    <t>147x147 to 3474x3476</t>
  </si>
  <si>
    <t>https://data.mendeley.com/datasets/zr7vgbcyr2/1</t>
  </si>
  <si>
    <t>https://www.sciencedirect.com/science/article/pii/S235234092031115X</t>
  </si>
  <si>
    <t>https://prod-dcd-datasets-cache-zipfiles.s3.eu-west-1.amazonaws.com/zr7vgbcyr2-1.zip</t>
  </si>
  <si>
    <t>fitzpatrick17k.zip</t>
  </si>
  <si>
    <t>Fitzpatrick 17k</t>
  </si>
  <si>
    <t>Dermoscopy</t>
  </si>
  <si>
    <t>66x130 to 1380x2449</t>
  </si>
  <si>
    <t>Request / URLs</t>
  </si>
  <si>
    <t>https://github.com/mattgroh/fitzpatrick17k</t>
  </si>
  <si>
    <t>https://openaccess.thecvf.com/content/CVPR2021W/ISIC/papers/Groh_Evaluating_Deep_Neural_Networks_Trained_on_Clinical_Images_in_Dermatology_CVPRW_2021_paper.pdf</t>
  </si>
  <si>
    <t>Web-scraped Skin Image</t>
  </si>
  <si>
    <t>Skin image</t>
  </si>
  <si>
    <t>104x115 to 4064x3760</t>
  </si>
  <si>
    <t>https://www.kaggle.com/datasets/arafathussain/monkeypox-skin-image-dataset-2022, https://www.heywhale.com/mw/dataset/62eb75d6fef0903951b1f199</t>
  </si>
  <si>
    <t>https://www.biorxiv.org/content/10.1101/2022.08.01.502199v3.full.pdf</t>
  </si>
  <si>
    <t>https://www.heywhale.com/mw/dataset/62eb75d6fef0903951b1f199</t>
  </si>
  <si>
    <t>SCIN</t>
  </si>
  <si>
    <t>Dermatology image</t>
  </si>
  <si>
    <t>Classification, VQA</t>
  </si>
  <si>
    <t>https://research.google/blog/scin-a-new-resource-for-representative-dermatology-images/</t>
  </si>
  <si>
    <t>https://arxiv.org/pdf/2402.18545</t>
  </si>
  <si>
    <t>https://github.com/google-research-datasets/scin</t>
  </si>
  <si>
    <t>SkinCancer.zip</t>
  </si>
  <si>
    <t>SkinCancer</t>
  </si>
  <si>
    <t>395x395</t>
  </si>
  <si>
    <t>https://heidata.uni-heidelberg.de/dataset.xhtml?persistentId=doi:10.11588/data/7QCR8S</t>
  </si>
  <si>
    <t>https://www.frontiersin.org/journals/oncology/articles/10.3389/fonc.2022.1022967/full</t>
  </si>
  <si>
    <t>SOPHIE_Spitz</t>
  </si>
  <si>
    <t>SOPHIE Spitz</t>
  </si>
  <si>
    <t>Pathology slides</t>
  </si>
  <si>
    <t>https://www.nature.com/articles/s41597-023-02585-2#ref-CR23</t>
  </si>
  <si>
    <t>https://springernature.figshare.com/collections/SOPHIE_Spitzoid_Tumor_dataset_with_clinical_metadata_Whole_Slide_Images_for_Deep_Learning_models/6472282/1</t>
  </si>
  <si>
    <t>Delta: ISIC_2024_Training_Input</t>
  </si>
  <si>
    <t>ISIC 2024 Challenge: SLICE-3D</t>
  </si>
  <si>
    <t>Dermoscopic images</t>
  </si>
  <si>
    <t>133x133</t>
  </si>
  <si>
    <t>https://challenge2024.isic-archive.com/</t>
  </si>
  <si>
    <t>[Link](https://www.nature.com/articles/s41597-024-03743-w?_gl=1*12acmts*_up*MQ..&amp;gclid=Cj0KCQjwi5q3BhCiARIsAJCfuZmBdlchDnyiZWURlGNM0A6KEM_q887kHYTs270jUIwdkxbO3ScvLIgaAg1DEALw_wcB)</t>
  </si>
  <si>
    <t xml:space="preserve">augmented-skin-conditions-image-dataset.zip </t>
  </si>
  <si>
    <t>Augmented Skin Conditions Image Dataset</t>
  </si>
  <si>
    <t>111x58 to 3504x2336</t>
  </si>
  <si>
    <t>https://www.kaggle.com/datasets/syedalinaqvi/augmented-skin-conditions-image-dataset</t>
  </si>
  <si>
    <t>https://www.kaggle.com/datasets/syedalinaqvi/augmented-skin-conditions-image-dataset/data</t>
  </si>
  <si>
    <t xml:space="preserve">all-isic-data-20240629.zip </t>
  </si>
  <si>
    <t>ISIC-2024</t>
  </si>
  <si>
    <t>85x85 to 7360x4912</t>
  </si>
  <si>
    <t>https://www.kaggle.com/competitions/isic-2024-challenge</t>
  </si>
  <si>
    <t>https://www.kaggle.com/datasets/tomooinubushi/all-isic-data-20240629/data</t>
  </si>
  <si>
    <t>DDI</t>
  </si>
  <si>
    <t>Clinical photographs</t>
  </si>
  <si>
    <t>Biopsy-proven diagnoses and skin tone labels</t>
  </si>
  <si>
    <t>Stanford Clinics, USA</t>
  </si>
  <si>
    <t>https://ddi-dataset.github.io</t>
  </si>
  <si>
    <t>Stanford University</t>
  </si>
  <si>
    <t>Dermofit Image Library</t>
  </si>
  <si>
    <t>Lesion categories and binary masks</t>
  </si>
  <si>
    <t>Edinburgh, UK</t>
  </si>
  <si>
    <t>https://licensing.edinburgh-innovations.ed.ac.uk/product/dermofit-image-library</t>
  </si>
  <si>
    <t>University of Edinburgh</t>
  </si>
  <si>
    <t>wound-segmentation</t>
  </si>
  <si>
    <t>FUSC</t>
  </si>
  <si>
    <t>https://fusc.grand-challenge.org</t>
  </si>
  <si>
    <t>dataverse_files.zip</t>
  </si>
  <si>
    <t>HAM10000</t>
  </si>
  <si>
    <t>800x600 px</t>
  </si>
  <si>
    <t>Austria &amp; Australia</t>
  </si>
  <si>
    <t>https://dataverse.harvard.edu/dataset.xhtml?persistentId=doi:10.7910/DVN/DBW86T</t>
  </si>
  <si>
    <t>Nature Scientific Data (Tschandl 2018)</t>
  </si>
  <si>
    <t>Harvard Dataverse/ISIC</t>
  </si>
  <si>
    <t>https://harvarddataverse.org/dataset.xhtml?persistentId=doi:10.7910/DVN/DBW86T</t>
  </si>
  <si>
    <t>Melanoma Dataset</t>
  </si>
  <si>
    <t>https://www.uco.es/grupos/ayrna/ieeetmi2015</t>
  </si>
  <si>
    <t>IEEE TMI 2016 (Ruiz et al.)</t>
  </si>
  <si>
    <t>University of Cordoba</t>
  </si>
  <si>
    <t>Skin Cancer Detection</t>
  </si>
  <si>
    <t>Dermatological photographs</t>
  </si>
  <si>
    <t>Germany &amp; USA</t>
  </si>
  <si>
    <t>https://uwaterloo.ca/vision-image-processing-lab/research-demos/skin-cancer-detection</t>
  </si>
  <si>
    <t>Waterloo dataset description</t>
  </si>
  <si>
    <t>University of Waterloo</t>
  </si>
  <si>
    <t>ussimandsegm.zip</t>
  </si>
  <si>
    <t>Abdominal ultrasound simulation scans</t>
  </si>
  <si>
    <t>https://www.kaggle.com/datasets/ignaciorlando/ussimandsegm</t>
  </si>
  <si>
    <t>Dataset description (GitHub)</t>
  </si>
  <si>
    <t>APOLLO-5</t>
  </si>
  <si>
    <t>CT/MRI/PT/NM/MG/US/XA</t>
  </si>
  <si>
    <t>https://www.cancerimagingarchive.net/collection/apollo-5</t>
  </si>
  <si>
    <t>NIDCR/TCIA dataset description</t>
  </si>
  <si>
    <t>COSAS</t>
  </si>
  <si>
    <t>https://cosas.grand-challenge.org</t>
  </si>
  <si>
    <t>COSAS challenge description</t>
  </si>
  <si>
    <t>CPTAC-SAR</t>
  </si>
  <si>
    <t>Radiology &amp; Histopathology</t>
  </si>
  <si>
    <t>29595 radiology + 300 slides</t>
  </si>
  <si>
    <t>DICOM &amp; SVS</t>
  </si>
  <si>
    <t>https://www.cancerimagingarchive.net/collection/cptac-sar</t>
  </si>
  <si>
    <t>TCIA dataset summary</t>
  </si>
  <si>
    <t>CURVAS</t>
  </si>
  <si>
    <t>Multi-rater segmentation</t>
  </si>
  <si>
    <t>https://curvas.grand-challenge.org</t>
  </si>
  <si>
    <t>CURVAS challenge description</t>
  </si>
  <si>
    <t>EAD 2020</t>
  </si>
  <si>
    <t>Detection &amp; Segmentation</t>
  </si>
  <si>
    <t>Bounding boxes &amp; masks</t>
  </si>
  <si>
    <t>https://ead2020.grand-challenge.org</t>
  </si>
  <si>
    <t>EAD2020 challenge description</t>
  </si>
  <si>
    <t>fastMRI</t>
  </si>
  <si>
    <t>ISMRMRD &amp; DICOM</t>
  </si>
  <si>
    <t>https://fastmri.med.nyu.edu</t>
  </si>
  <si>
    <t>fastMRI dataset summary</t>
  </si>
  <si>
    <t>NYU fastMRI</t>
  </si>
  <si>
    <t>fastPET-LD</t>
  </si>
  <si>
    <t>Segmentation &amp; bounding boxes</t>
  </si>
  <si>
    <t>https://fastpet-ld.grand-challenge.org</t>
  </si>
  <si>
    <t>FastPET-LD challenge description</t>
  </si>
  <si>
    <t>FLARE-2022</t>
  </si>
  <si>
    <t>FLARE 2022</t>
  </si>
  <si>
    <t>Semi-supervised segmentation</t>
  </si>
  <si>
    <t>Segmentation masks (13 organs)</t>
  </si>
  <si>
    <t>Multi-centre</t>
  </si>
  <si>
    <t>https://flare22.grand-challenge.org</t>
  </si>
  <si>
    <t>FLARE2022 challenge description</t>
  </si>
  <si>
    <t>PDDCA-1.4.1_part1.zip
 PDDCA-1.4.1_part2.zip
 PDDCA-1.4.1_part3.zip</t>
  </si>
  <si>
    <t>Head and Neck Auto Segmentation</t>
  </si>
  <si>
    <t>Organ segmentation</t>
  </si>
  <si>
    <t>Segmentation masks (9 organs)</t>
  </si>
  <si>
    <t>DICOM-RT/NIFTI</t>
  </si>
  <si>
    <t>http://www.imagenglab.com/wiki/mediawiki/index.php?title=2015_MICCAI_Challenge</t>
  </si>
  <si>
    <t>PDDCA challenge description</t>
  </si>
  <si>
    <t>HEAD-NECK-RADIOMICS-HN1</t>
  </si>
  <si>
    <t>CT &amp; PET</t>
  </si>
  <si>
    <t>Radiomics (tumor segmentation)</t>
  </si>
  <si>
    <t>GTV segmentations</t>
  </si>
  <si>
    <t>https://www.cancerimagingarchive.net/collection/head-neck-radiomics-hn1</t>
  </si>
  <si>
    <t>TCIA dataset description</t>
  </si>
  <si>
    <t>Healthy-Total-Body-CTs</t>
  </si>
  <si>
    <t>Segmentations (37 tissues)</t>
  </si>
  <si>
    <t>512x512x828 (0.9766×0.9766×2.344 mm)</t>
  </si>
  <si>
    <t>https://www.cancerimagingarchive.net/collection/healthy-total-body-cts</t>
  </si>
  <si>
    <t>LDCT-and-Projection-data</t>
  </si>
  <si>
    <t>CT &amp; Projection</t>
  </si>
  <si>
    <t>Dose reduction research</t>
  </si>
  <si>
    <t>Pathology &amp; demographic labels</t>
  </si>
  <si>
    <t>DICOM &amp; DICOM-CT-PD</t>
  </si>
  <si>
    <t>https://www.cancerimagingarchive.net/collection/ldct-and-projection-data</t>
  </si>
  <si>
    <t>ThoraxCBCT.zip</t>
  </si>
  <si>
    <t>Learn2Reg 2024</t>
  </si>
  <si>
    <t>MRI, Ultrasound, SHG, BF, EM</t>
  </si>
  <si>
    <t>Landmarks &amp; segmentations</t>
  </si>
  <si>
    <t>NIFTI &amp; others</t>
  </si>
  <si>
    <t>Varies (256^3, 160x224x192, 1024x1024 etc.)</t>
  </si>
  <si>
    <t>USA &amp; multi-site</t>
  </si>
  <si>
    <t>https://learn2reg.grand-challenge.org</t>
  </si>
  <si>
    <t>Learn2Reg dataset descriptions</t>
  </si>
  <si>
    <t>LYON19</t>
  </si>
  <si>
    <t>Histopathology (IHC)</t>
  </si>
  <si>
    <t>Point annotations</t>
  </si>
  <si>
    <t>0.24 µm/pixel</t>
  </si>
  <si>
    <t>https://lyon19.grand-challenge.org</t>
  </si>
  <si>
    <t>LYON19 dataset description</t>
  </si>
  <si>
    <t>MedIMeta1</t>
  </si>
  <si>
    <t>MedIMeta</t>
  </si>
  <si>
    <t>Various (CT, X-ray, fundus, histology)</t>
  </si>
  <si>
    <t>Images (224x224)</t>
  </si>
  <si>
    <t>224x224 px</t>
  </si>
  <si>
    <t>https://zenodo.org/records/7884735</t>
  </si>
  <si>
    <t>MedIMeta dataset description</t>
  </si>
  <si>
    <t>MedPix</t>
  </si>
  <si>
    <t>Various (X-ray, CT, MRI, ultrasound, pathology)</t>
  </si>
  <si>
    <t>Classification/Education</t>
  </si>
  <si>
    <t>Case descriptions &amp; labels</t>
  </si>
  <si>
    <t>Various</t>
  </si>
  <si>
    <t>https://medpix.nlm.nih.gov/home</t>
  </si>
  <si>
    <t>MedPix database description</t>
  </si>
  <si>
    <t>MedPix (NLM)</t>
  </si>
  <si>
    <t>medseg.zip</t>
  </si>
  <si>
    <t>MedSeg</t>
  </si>
  <si>
    <t>CT &amp; MRI</t>
  </si>
  <si>
    <t>https://www.medseg.ai</t>
  </si>
  <si>
    <t>MedSeg site description</t>
  </si>
  <si>
    <t>MedShapeNet</t>
  </si>
  <si>
    <t>Not images</t>
  </si>
  <si>
    <t>3D shapes</t>
  </si>
  <si>
    <t>Shape classification &amp; segmentation</t>
  </si>
  <si>
    <t>Shape labels &amp; segmentations</t>
  </si>
  <si>
    <t>&gt;100000</t>
  </si>
  <si>
    <t>.stl/.obj</t>
  </si>
  <si>
    <t>https://medshapenet.ikim.nrw</t>
  </si>
  <si>
    <t>MedShapeNet description</t>
  </si>
  <si>
    <t>IKIM NRW</t>
  </si>
  <si>
    <t>MoNuSAC_images_and_annotations.zip</t>
  </si>
  <si>
    <t>MoNuSAC2020</t>
  </si>
  <si>
    <t>Nuclear segmentation &amp; classification</t>
  </si>
  <si>
    <t>31,000 nuclear annotations</t>
  </si>
  <si>
    <t>SVS/TIF</t>
  </si>
  <si>
    <t>40x magnification</t>
  </si>
  <si>
    <t>https://monusac-2020.grand-challenge.org</t>
  </si>
  <si>
    <t>MoNuSAC dataset description</t>
  </si>
  <si>
    <t>NAS: mridata</t>
  </si>
  <si>
    <t>MRIdata</t>
  </si>
  <si>
    <t>MRI (raw)</t>
  </si>
  <si>
    <t>ISMRMRD</t>
  </si>
  <si>
    <t>http://mridata.org</t>
  </si>
  <si>
    <t>MRIdata description</t>
  </si>
  <si>
    <t>MRIdata.org</t>
  </si>
  <si>
    <t>Multi-organ Abdominal CT</t>
  </si>
  <si>
    <t>Manual organ segmentations</t>
  </si>
  <si>
    <t>https://zenodo.org/records/1169361#.YETa43UzYUE</t>
  </si>
  <si>
    <t>Zenodo dataset description</t>
  </si>
  <si>
    <t>nuinsseg.zip</t>
  </si>
  <si>
    <t>NuInsSeg</t>
  </si>
  <si>
    <t>Nuclei instance segmentation</t>
  </si>
  <si>
    <t>Segmentation &amp; ambiguous masks</t>
  </si>
  <si>
    <t>PNG/JSON</t>
  </si>
  <si>
    <t>https://www.kaggle.com/datasets/ipateam/nuinsseg</t>
  </si>
  <si>
    <t>NuInsSeg dataset description</t>
  </si>
  <si>
    <t>OCELOT</t>
  </si>
  <si>
    <t>Cell detection &amp; tissue segmentation</t>
  </si>
  <si>
    <t>Cell point annotations &amp; tissue masks</t>
  </si>
  <si>
    <t>JPEG (patches), CSV &amp; PNG</t>
  </si>
  <si>
    <t>1024x1024 patches</t>
  </si>
  <si>
    <t>https://lunit-io.github.io/research/ocelot_dataset</t>
  </si>
  <si>
    <t>OCELOT dataset description</t>
  </si>
  <si>
    <t>Lunit/GitHub</t>
  </si>
  <si>
    <t>OCT and Chest X-Ray images</t>
  </si>
  <si>
    <t>OCT &amp; X-ray</t>
  </si>
  <si>
    <t>USA &amp; China</t>
  </si>
  <si>
    <t>OCT dataset description</t>
  </si>
  <si>
    <t>Olympus EndoAtlas</t>
  </si>
  <si>
    <t>Education</t>
  </si>
  <si>
    <t>Case reports</t>
  </si>
  <si>
    <t>https://www.olympus-europa.com/medical/en/Products-and-Solutions/Medical-Solutions/EndoAtlas</t>
  </si>
  <si>
    <t>EndoAtlas description</t>
  </si>
  <si>
    <t>PAIP2021</t>
  </si>
  <si>
    <t>Perineural invasion detection</t>
  </si>
  <si>
    <t>Pixel-level annotation</t>
  </si>
  <si>
    <t>https://paip2021.grand-challenge.org</t>
  </si>
  <si>
    <t>PAIP2021 challenge description</t>
  </si>
  <si>
    <t>PAIP (Grand Challenge)</t>
  </si>
  <si>
    <t>path-vqa</t>
  </si>
  <si>
    <t>not images</t>
  </si>
  <si>
    <t>PathVQA</t>
  </si>
  <si>
    <t>Histopathology images</t>
  </si>
  <si>
    <t>Visual question answering</t>
  </si>
  <si>
    <t>32799 QA pairs</t>
  </si>
  <si>
    <t>JSON/PKL</t>
  </si>
  <si>
    <t>https://huggingface.co/datasets/flaviagiammarino/path-vqa</t>
  </si>
  <si>
    <t>PathVQA dataset description</t>
  </si>
  <si>
    <t>PMC-VQA</t>
  </si>
  <si>
    <t>Multi-modality</t>
  </si>
  <si>
    <t>227000 QA pairs</t>
  </si>
  <si>
    <t>JSON/Parquet</t>
  </si>
  <si>
    <t>https://huggingface.co/datasets/xmcmic/PMC-VQA</t>
  </si>
  <si>
    <t>PMC-VQA description</t>
  </si>
  <si>
    <t>RSNA Abdominal Trauma Detection</t>
  </si>
  <si>
    <t>Injury detection &amp; classification</t>
  </si>
  <si>
    <t>Image-level &amp; voxel-wise labels</t>
  </si>
  <si>
    <t>23 sites across 14 countries</t>
  </si>
  <si>
    <t>https://www.rsna.org/rsnai/ai-image-challenge/abdominal-trauma-detection-ai-challenge</t>
  </si>
  <si>
    <t>RATIC dataset description</t>
  </si>
  <si>
    <t>Kaggle/AWS</t>
  </si>
  <si>
    <t>SCR</t>
  </si>
  <si>
    <t>Lung, heart &amp; clavicle masks</t>
  </si>
  <si>
    <t>Japan &amp; USA</t>
  </si>
  <si>
    <t>https://zenodo.org/records/7056076</t>
  </si>
  <si>
    <t>SCR dataset description</t>
  </si>
  <si>
    <t>CT &amp; others</t>
  </si>
  <si>
    <t>Repository for segmentation &amp; shape modelling</t>
  </si>
  <si>
    <t>&gt;100 full-body CTs</t>
  </si>
  <si>
    <t>CT scans &amp; surface models</t>
  </si>
  <si>
    <t>https://www.smir.ch/objects/214315</t>
  </si>
  <si>
    <t>SMIR repository description</t>
  </si>
  <si>
    <t>SICAS Medical Image Repository</t>
  </si>
  <si>
    <t>Soft-tissue-Sarcoma</t>
  </si>
  <si>
    <t>PET/CT, MRI</t>
  </si>
  <si>
    <t>Segmentation, Prognostic classification</t>
  </si>
  <si>
    <t>Manual tumour contours (RTSTRUCT)</t>
  </si>
  <si>
    <t>38,283 images</t>
  </si>
  <si>
    <t>https://www.cancerimagingarchive.net/collection/soft-tissue-sarcoma</t>
  </si>
  <si>
    <t>SynthRAD2025</t>
  </si>
  <si>
    <t>MRI, CT, CBCT</t>
  </si>
  <si>
    <t>Synthetic CT generation (image translation)</t>
  </si>
  <si>
    <t>Body masks</t>
  </si>
  <si>
    <t>~900 MRI–CT pairs, ~1500 CBCT–CT pairs</t>
  </si>
  <si>
    <t>Multi-centre (Netherlands and Germany)</t>
  </si>
  <si>
    <t>https://synthrad2025.grand-challenge.org</t>
  </si>
  <si>
    <t>TCGA-SARC</t>
  </si>
  <si>
    <t>Radiomics analysis</t>
  </si>
  <si>
    <t>5 subjects</t>
  </si>
  <si>
    <t>5,653 images</t>
  </si>
  <si>
    <t>https://www.cancerimagingarchive.net/collection/tcga-sarc</t>
  </si>
  <si>
    <t>tma</t>
  </si>
  <si>
    <t>Histopathology (bright-field &amp; fluorescence)</t>
  </si>
  <si>
    <t>Classification, Scoring</t>
  </si>
  <si>
    <t>1,488 slides</t>
  </si>
  <si>
    <t>205,161 images (31,306 public)</t>
  </si>
  <si>
    <t>2007</t>
  </si>
  <si>
    <t>https://tma.im</t>
  </si>
  <si>
    <t>https://tma.im or HSLS description</t>
  </si>
  <si>
    <t>Stanford Tissue Microarray Database</t>
  </si>
  <si>
    <t>transverse-musculoskeletal</t>
  </si>
  <si>
    <t>Transverse musculoskeletal</t>
  </si>
  <si>
    <t>Manual segmentation of cross-sectional area</t>
  </si>
  <si>
    <t>1,283 subjects</t>
  </si>
  <si>
    <t>3,917 images</t>
  </si>
  <si>
    <t>https://data.mendeley.com/datasets/3jykz7wz8d</t>
  </si>
  <si>
    <t>Ultra-low Dose PET Imaging</t>
  </si>
  <si>
    <t>PET</t>
  </si>
  <si>
    <t>Low-dose PET image reconstruction/denoising</t>
  </si>
  <si>
    <t>Paired full-dose images</t>
  </si>
  <si>
    <t>Multiple sites (China and Germany)</t>
  </si>
  <si>
    <t>https://udpet-challenge.github.io</t>
  </si>
  <si>
    <t>https://ultra-low-dose-pet.grand-challenge.org</t>
  </si>
  <si>
    <t>USenhance 2023</t>
  </si>
  <si>
    <t>Image enhancement (denoising/super-resolution)</t>
  </si>
  <si>
    <t>Paired low‑/high‑quality images</t>
  </si>
  <si>
    <t>1,500 pairs (3,000 images)</t>
  </si>
  <si>
    <t>3,000 images</t>
  </si>
  <si>
    <t>https://ultrasoundenhance2023.grand-challenge.org</t>
  </si>
  <si>
    <t>Brain Catalogue</t>
  </si>
  <si>
    <t>Comparative anatomy, segmentation</t>
  </si>
  <si>
    <t>&gt;1,800 MRI datasets (&gt;30 species)</t>
  </si>
  <si>
    <t>UK (University College London)</t>
  </si>
  <si>
    <t>https://braincatalogue.org</t>
  </si>
  <si>
    <t>Canine cutaneous mast cell tumor</t>
  </si>
  <si>
    <t>Mitosis detection</t>
  </si>
  <si>
    <t>262,481 annotations (44,880 mitotic figures)</t>
  </si>
  <si>
    <t>32 whole-slide images</t>
  </si>
  <si>
    <t>32 WSIs</t>
  </si>
  <si>
    <t>https://springernature.figshare.com/collections/A_large-scale_dataset_for_mitotic_figure_assessment_on_whole_slide_images_of_canine_cutaneous_mast_cell_tumor/4552445</t>
  </si>
  <si>
    <t>Scientific Data 2019 (Aubreville et al.)</t>
  </si>
  <si>
    <t>https://springernature.figshare.com/collections/Canine_cutaneous_mast_cell_tumor_dataset</t>
  </si>
  <si>
    <t>CATCH</t>
  </si>
  <si>
    <t>12,424 polygon regions across 13 classes</t>
  </si>
  <si>
    <t>350 WSIs (282 subjects)</t>
  </si>
  <si>
    <t>350 WSIs</t>
  </si>
  <si>
    <t>SVS/NDPI</t>
  </si>
  <si>
    <t>0.25 µm/pixel</t>
  </si>
  <si>
    <t>https://www.cancerimagingarchive.net/collection/catch</t>
  </si>
  <si>
    <t>NAS: CRT-EPIGGY19</t>
  </si>
  <si>
    <t>CRT-EPIGGY19</t>
  </si>
  <si>
    <t>CT, electro-anatomical mapping (EAM)</t>
  </si>
  <si>
    <t>Simulate cardiac resynchronization therapy (model-based)</t>
  </si>
  <si>
    <t>4 training pig cases</t>
  </si>
  <si>
    <t>http://crt-epiggy19.surge.sh</t>
  </si>
  <si>
    <t>CRT-EPIGGY19 challenge site</t>
  </si>
  <si>
    <t>NAS: ICDC-Glioma</t>
  </si>
  <si>
    <t>ICDC-Glioma</t>
  </si>
  <si>
    <t>MRI, Histopathology</t>
  </si>
  <si>
    <t>Multi-omics analysis, segmentation</t>
  </si>
  <si>
    <t>57 radiology subjects; 78 pathology slides</t>
  </si>
  <si>
    <t>17,797 MR images; 84 histology slides</t>
  </si>
  <si>
    <t>DICOM (MRI), SVS (histology)</t>
  </si>
  <si>
    <t>3D (MRI), 2D (WSI)</t>
  </si>
  <si>
    <t>5 veterinary institutions</t>
  </si>
  <si>
    <t>https://www.cancerimagingarchive.net/collection/icdc-glioma</t>
  </si>
  <si>
    <t>pending</t>
  </si>
  <si>
    <t>Magnetic Resonance Histology</t>
  </si>
  <si>
    <t>Morphometric phenotyping, segmentation</t>
  </si>
  <si>
    <t>Label volumes</t>
  </si>
  <si>
    <t>1 sample (wild-type C57BL/6J)</t>
  </si>
  <si>
    <t>T1 and T2 volumes (512×512×1024)</t>
  </si>
  <si>
    <t>Analyze (.hdr/.img)</t>
  </si>
  <si>
    <t>512×512×1024 voxels</t>
  </si>
  <si>
    <t>Duke University, USA</t>
  </si>
  <si>
    <t>https://www.civm.duhs.duke.edu/duke-CIVM-sup-devatlas</t>
  </si>
  <si>
    <t>https://www.civm.duhs.duke.edu/duke-CIVM-supplementary-data</t>
  </si>
  <si>
    <t>CIVM (Duke)</t>
  </si>
  <si>
    <t>MCP</t>
  </si>
  <si>
    <t>Fluorescent tracer imaging</t>
  </si>
  <si>
    <t>Mesoscale connectome mapping</t>
  </si>
  <si>
    <t>Connectivity tracer injections</t>
  </si>
  <si>
    <t>TIFF/PNG</t>
  </si>
  <si>
    <t>USC, USA</t>
  </si>
  <si>
    <t>https://cic.ini.usc.edu</t>
  </si>
  <si>
    <t>https://cic.ini.usc.edu (Cell 2014)</t>
  </si>
  <si>
    <t>Mouse Connectome Project (USC)</t>
  </si>
  <si>
    <t>NAS: WSI</t>
  </si>
  <si>
    <t>MITOS_WSI_CMC</t>
  </si>
  <si>
    <t>13,907 mitotic figures; 36,379 hard negatives</t>
  </si>
  <si>
    <t>21 WSIs</t>
  </si>
  <si>
    <t>https://github.com/DeepMicroscopy/MITOS_WSI_CMC</t>
  </si>
  <si>
    <t>Aubreville et al., 2020 (Sci Data)</t>
  </si>
  <si>
    <t>NAS: Mouse-Astrocytoma</t>
  </si>
  <si>
    <t>Mouse-Astrocytoma</t>
  </si>
  <si>
    <t>Tumor characterization (astrocytoma)</t>
  </si>
  <si>
    <t>48 mice</t>
  </si>
  <si>
    <t>37,110 images</t>
  </si>
  <si>
    <t>https://www.cancerimagingarchive.net/collection/mouse-astrocytoma</t>
  </si>
  <si>
    <t>NAS: mouse-brain-atlas</t>
  </si>
  <si>
    <t>Mouse Brain atlas</t>
  </si>
  <si>
    <t>Atlas segmentation</t>
  </si>
  <si>
    <t>Multi-atlas labels</t>
  </si>
  <si>
    <t>UCL, UK</t>
  </si>
  <si>
    <t>https://github.com/dama-lab/mouse-brain-atlas</t>
  </si>
  <si>
    <t>NAS: Mouse-Mammary</t>
  </si>
  <si>
    <t>Mouse-Mammary</t>
  </si>
  <si>
    <t>Breast cancer progression study</t>
  </si>
  <si>
    <t>32 mice</t>
  </si>
  <si>
    <t>23,487 images</t>
  </si>
  <si>
    <t>https://www.cancerimagingarchive.net/collection/mouse-mammary</t>
  </si>
  <si>
    <t>RabbitCT</t>
  </si>
  <si>
    <t>Cone-beam reconstruction benchmark</t>
  </si>
  <si>
    <t>1 rabbit</t>
  </si>
  <si>
    <t>496 projection images</t>
  </si>
  <si>
    <t>Raw (projection images)</t>
  </si>
  <si>
    <t>1248×960 pixels; 0.32 mm/pixel</t>
  </si>
  <si>
    <t>FAU Erlangen-Nürnberg, Germany</t>
  </si>
  <si>
    <t>https://www5.cs.fau.de/research/former-projects/rabbitct</t>
  </si>
  <si>
    <t>FAU</t>
  </si>
  <si>
    <t>NAS: RatBrain.zip</t>
  </si>
  <si>
    <t>Rat brain endothelium RNAseq</t>
  </si>
  <si>
    <t>RNA sequencing (transcriptomics)</t>
  </si>
  <si>
    <t>Differential expression analysis</t>
  </si>
  <si>
    <t>FASTQ</t>
  </si>
  <si>
    <t>https://dataverse.harvard.edu/dataset.xhtml?persistentId=doi:10.7910/DVN/UB9IT9</t>
  </si>
  <si>
    <t>https://dataverse.harvard.edu/dataset.xhtml?persistentId=doi:10.7910/DVN/M9VHNA</t>
  </si>
  <si>
    <t>Harvard Dataverse</t>
  </si>
  <si>
    <t>NAS: RNR-EXM</t>
  </si>
  <si>
    <t>RNR-EXM</t>
  </si>
  <si>
    <t>Microscopy volumes</t>
  </si>
  <si>
    <t>Non-rigid registration</t>
  </si>
  <si>
    <t>Landmark cell structures (nuclei, vessels)</t>
  </si>
  <si>
    <t>24 pairs of 3D volumes</t>
  </si>
  <si>
    <t>https://rnr-exm.grand-challenge.org</t>
  </si>
  <si>
    <t>NAS: HVSMR.zip</t>
  </si>
  <si>
    <t>HVSMR</t>
  </si>
  <si>
    <t>Heart</t>
  </si>
  <si>
    <t>256x256x140 to 528x528x200</t>
  </si>
  <si>
    <t>https://segchd.csail.mit.edu/</t>
  </si>
  <si>
    <t>https://link.springer.com/chapter/10.1007/978-3-319-24574-4_10#page-1</t>
  </si>
  <si>
    <t>https://github.com/scouvreur/WholeHeartMRISegmenter</t>
  </si>
  <si>
    <t>NAS: ACDC.zip</t>
  </si>
  <si>
    <t>ACDC</t>
  </si>
  <si>
    <t>154x154x6 to 428x512x21</t>
  </si>
  <si>
    <t>https://www.creatis.insa-lyon.fr/Challenge/acdc/</t>
  </si>
  <si>
    <t>https://ieeexplore.ieee.org/document/8360453</t>
  </si>
  <si>
    <t>https://humanheart-project.creatis.insa-lyon.fr/database/#collection/637218c173e9f0047faa00fb</t>
  </si>
  <si>
    <t>MM-WHS</t>
  </si>
  <si>
    <t>512x512x177 to 512x512x363</t>
  </si>
  <si>
    <t>https://zmiclab.github.io/zxh/0/mmwhs/</t>
  </si>
  <si>
    <t>https://www.sciencedirect.com/science/article/pii/S1361841523001494, https://ieeexplore.ieee.org/document/8458220/, https://ieeexplore.ieee.org/document/9965747, https://ieeexplore.ieee.org/document/9921323</t>
  </si>
  <si>
    <t>Mega</t>
  </si>
  <si>
    <t>https://mega.nz/folder/UNMF2YYI#1cqJVzo4p_wESv9P_pc8uA</t>
  </si>
  <si>
    <t>MSD Cardiac</t>
  </si>
  <si>
    <t>320x320x90 to 320x320x130</t>
  </si>
  <si>
    <t>NAS: MAndMs.zip</t>
  </si>
  <si>
    <t>M&amp;Ms Challenge</t>
  </si>
  <si>
    <t>Cmri</t>
  </si>
  <si>
    <t>192x192x5x18 to 384x384x16x30</t>
  </si>
  <si>
    <t>https://www.ub.edu/mnms/</t>
  </si>
  <si>
    <t>https://ieeexplore.ieee.org/document/9458279</t>
  </si>
  <si>
    <t>https://mega.nz/folder/FxAmhbRJ#Dwugf8isRSR9CCZ6Qnza4w</t>
  </si>
  <si>
    <t>NAS: EMIDEC</t>
  </si>
  <si>
    <t>EMIDEC</t>
  </si>
  <si>
    <t>De-mri</t>
  </si>
  <si>
    <t>139x120x4 to 305x308x10</t>
  </si>
  <si>
    <t>https://emidec.com/</t>
  </si>
  <si>
    <t>https://www.mdpi.com/2306-5729/5/4/89</t>
  </si>
  <si>
    <t>MyoPS 2020</t>
  </si>
  <si>
    <t>408x392x2 to 512x511x6</t>
  </si>
  <si>
    <t>https://zmiclab.github.io/zxh/0/myops20/</t>
  </si>
  <si>
    <t>https://www.sciencedirect.com/science/article/pii/S1361841523001494, https://ieeexplore.ieee.org/document/9965747, https://ieeexplore.ieee.org/document/8458220, https://www.sciencedirect.com/science/article/pii/S136184152200322X</t>
  </si>
  <si>
    <t>https://mega.nz/folder/BRdnDISQ#FnCg9ykPlTWYe5hrRZxi-w</t>
  </si>
  <si>
    <t>LAScarQS 2022</t>
  </si>
  <si>
    <t>Lge mri</t>
  </si>
  <si>
    <t>Train: 190 Test: 98</t>
  </si>
  <si>
    <t>576x576x44 to 640x640x88</t>
  </si>
  <si>
    <t>https://zmiclab.github.io/projects/lascarqs22/</t>
  </si>
  <si>
    <t>https://www.sciencedirect.com/science/article/pii/S1361841521003480, https://www.sciencedirect.com/science/article/pii/S1361841522000135, https://link.springer.com/chapter/10.1007/978-3-030-87231-1_54</t>
  </si>
  <si>
    <t>https://zmiclab.github.io/projects/lascarqs22/data.html</t>
  </si>
  <si>
    <t>NAS: CMRxMotion</t>
  </si>
  <si>
    <t>CMRxMotion</t>
  </si>
  <si>
    <t>400x416x9 to 512x512x13</t>
  </si>
  <si>
    <t>http://cmr.miccai.cloud/, https://www.synapse.org/#!Synapse:syn28503327/wiki/617823</t>
  </si>
  <si>
    <t>https://arxiv.org/abs/2210.06385</t>
  </si>
  <si>
    <t>https://www.synapse.org/#!Synapse:syn28503327/files/</t>
  </si>
  <si>
    <t>ImageCAS</t>
  </si>
  <si>
    <t>512x512x166 to 512x512x277</t>
  </si>
  <si>
    <t>https://github.com/XiaoweiXu/ImageCAS-A-Large-Scale-Dataset-and-Benchmark-for-Coronary-Artery-Segmentation-based-on-CT</t>
  </si>
  <si>
    <t>https://www.sciencedirect.com/science/article/abs/pii/S0895611123001052</t>
  </si>
  <si>
    <t>https://www.kaggle.com/datasets/xiaoweixumedicalai/imagecas/</t>
  </si>
  <si>
    <t>NAS: CardiacUDA</t>
  </si>
  <si>
    <t>CardiacUDA</t>
  </si>
  <si>
    <t>640x480 to 1024x768</t>
  </si>
  <si>
    <t>https://github.com/xmed-lab/GraphEcho</t>
  </si>
  <si>
    <t>https://arxiv.org/pdf/2309.11145.pdf</t>
  </si>
  <si>
    <t>https://www.kaggle.com/datasets/xiaoweixumedicalai/cardiacudc-dataset</t>
  </si>
  <si>
    <t>MICCAI 2024 CARE MyoPS++</t>
  </si>
  <si>
    <t>http://zmic.org.cn/care_2024/track4/</t>
  </si>
  <si>
    <t>MICCAI 2024 CARE WHS++</t>
  </si>
  <si>
    <t>http://zmic.org.cn/care_2024/track5/</t>
  </si>
  <si>
    <t>MICCAI 2024 CARE LAScarQS++</t>
  </si>
  <si>
    <t>http://zmic.org.cn/care_2024/track2/</t>
  </si>
  <si>
    <t>Faster: EchoNet-Dynamic</t>
  </si>
  <si>
    <t>EchoNet-Dynamic</t>
  </si>
  <si>
    <t>Echo Videos</t>
  </si>
  <si>
    <t>Ejection fraction, LV volumes, LV segmentations</t>
  </si>
  <si>
    <t>10K</t>
  </si>
  <si>
    <t>112x112</t>
  </si>
  <si>
    <t>https://echonet.github.io/dynamic/</t>
  </si>
  <si>
    <t>https://stanfordaimi.azurewebsites.net/datasets/834e1cd1-92f7-4268-9daa-d359198b310a</t>
  </si>
  <si>
    <t>DSCA</t>
  </si>
  <si>
    <t>DSA</t>
  </si>
  <si>
    <t>DICOM, PNG</t>
  </si>
  <si>
    <t>https://github.com/jiongzhang-john/DSCA</t>
  </si>
  <si>
    <t>https://zenodo.org/records/11255024</t>
  </si>
  <si>
    <t>AMRG Cardiac Atlas</t>
  </si>
  <si>
    <t>Heart and Blood Vessels</t>
  </si>
  <si>
    <t>MRI (Cine, T1, Phase Contrast, Tagging)</t>
  </si>
  <si>
    <t>Segmentation; Education</t>
  </si>
  <si>
    <t>Labeled anatomy; acquisition protocols</t>
  </si>
  <si>
    <t>Pixel spacing ~1.25–1.37 mm; 256×256 matrix (varies by series)</t>
  </si>
  <si>
    <t>Auckland, New Zealand</t>
  </si>
  <si>
    <t>https://www.cardiacatlas.org/amrg-cardiac-atlas</t>
  </si>
  <si>
    <t>Cardiac Atlas Project</t>
  </si>
  <si>
    <t>https://www.cardiacatlas.org/amrg-cardiac-atlas/</t>
  </si>
  <si>
    <t>NAS: Angoiographic.zip</t>
  </si>
  <si>
    <t>Angiographic dataset for stenosis detection</t>
  </si>
  <si>
    <t>X-ray Coronary Angiography (cine)</t>
  </si>
  <si>
    <t>Detection (Stenosis)</t>
  </si>
  <si>
    <t>Labels for stenosis; series-level annotations</t>
  </si>
  <si>
    <t>Kemerovo, Russia</t>
  </si>
  <si>
    <t>https://data.mendeley.com/datasets/ydrm75xywg/1</t>
  </si>
  <si>
    <t>AortaSeg24</t>
  </si>
  <si>
    <t>CT Angiography (CTA)</t>
  </si>
  <si>
    <t>Segmentation (multi-class branches &amp; zones)</t>
  </si>
  <si>
    <t>23 aortic branches/zones segmentation masks</t>
  </si>
  <si>
    <t>https://aortaseg24.grand-challenge.org</t>
  </si>
  <si>
    <t>arXiv:2502.05330</t>
  </si>
  <si>
    <t>Grand Challenge; University of Florida (Dropbox)</t>
  </si>
  <si>
    <t>ARCADE</t>
  </si>
  <si>
    <t>X-ray Coronary Angiography (XCA)</t>
  </si>
  <si>
    <t>Classification (artery); Segmentation; Detection (stenosis)</t>
  </si>
  <si>
    <t>Vessel masks; stenosis labels</t>
  </si>
  <si>
    <t>https://arcade.grand-challenge.org</t>
  </si>
  <si>
    <t>Grand Challenge; Mendeley Data</t>
  </si>
  <si>
    <t>ASOCA</t>
  </si>
  <si>
    <t>CT Coronary Angiography (CTCA)</t>
  </si>
  <si>
    <t>Segmentation (coronary artery tree)</t>
  </si>
  <si>
    <t>Manual segmentations by 3 experts</t>
  </si>
  <si>
    <t>NRRD (segmentations/predictions)</t>
  </si>
  <si>
    <t>https://asoca.grand-challenge.org</t>
  </si>
  <si>
    <t>Computers in Biology and Medicine, 2022 (ASOCA challenge)</t>
  </si>
  <si>
    <t>UK Data Service (via ASOCA)</t>
  </si>
  <si>
    <t>https://asoca.grand-challenge.org/access/</t>
  </si>
  <si>
    <t>NAS: AtriaSegmentation.zip</t>
  </si>
  <si>
    <t>Atria Segmentaion 2018</t>
  </si>
  <si>
    <t>MRI (GE-MRI)</t>
  </si>
  <si>
    <t>Segmentation (Left Atrium)</t>
  </si>
  <si>
    <t>3D binary masks of LA cavity</t>
  </si>
  <si>
    <t>100 train; 54 test</t>
  </si>
  <si>
    <t>https://www.cardiacatlas.org/atriaseg2018-challenge</t>
  </si>
  <si>
    <t>Medical Image Analysis 67 (2020): 101832</t>
  </si>
  <si>
    <t>https://www.cardiacatlas.org/atriaseg2018-challenge/</t>
  </si>
  <si>
    <t>NAS: BloodCellImages</t>
  </si>
  <si>
    <t>Blood Cell Images</t>
  </si>
  <si>
    <t>Light Microscopy</t>
  </si>
  <si>
    <t>Labels (cell types)</t>
  </si>
  <si>
    <t>320×240 px (typical)</t>
  </si>
  <si>
    <t>https://www.kaggle.com/datasets/paultimothymooney/blood-cells</t>
  </si>
  <si>
    <t>https://www.kaggle.com/paultimothymooney/blood-cells</t>
  </si>
  <si>
    <t>NAS: CAMUS</t>
  </si>
  <si>
    <t>CAMUS</t>
  </si>
  <si>
    <t>Ultrasound (2D Echo)</t>
  </si>
  <si>
    <t>Segmentation; Volume estimation</t>
  </si>
  <si>
    <t>Manual references (ED/ES contours)</t>
  </si>
  <si>
    <t>raw/mhd (Cartesian); also sequences</t>
  </si>
  <si>
    <t>Grid: 0.3 mm (x), 0.15 mm (z)</t>
  </si>
  <si>
    <t>2D sequences</t>
  </si>
  <si>
    <t>Saint-Étienne, France</t>
  </si>
  <si>
    <t>https://camus.creatis.insa-lyon.fr/challenge</t>
  </si>
  <si>
    <t>IEEE TMI 2019 (Leclerc et al.)</t>
  </si>
  <si>
    <t>CREATIS (Girder platform)</t>
  </si>
  <si>
    <t>https://www.creatis.insa-lyon.fr/Challenge/camus/databases.html</t>
  </si>
  <si>
    <t>NAS: CAVAREV.zip</t>
  </si>
  <si>
    <t>CAVAREV</t>
  </si>
  <si>
    <t>C‑arm CT (Rotational Angiography; simulated projections)</t>
  </si>
  <si>
    <t>3D/4D Reconstruction (evaluation)</t>
  </si>
  <si>
    <t>Ground truth from 4D XCAT phantom</t>
  </si>
  <si>
    <t>Erlangen, Germany</t>
  </si>
  <si>
    <t>https://www5.cs.fau.de/research/software/cavarev</t>
  </si>
  <si>
    <t>Rohkohl et al., 2010 (CAVAREV)</t>
  </si>
  <si>
    <t>FAU (University of Erlangen-Nuremberg)</t>
  </si>
  <si>
    <t>https://lme.tf.fau.de/dataset/cavarev-cardiac-vasculature-reconstruction-evaluation/</t>
  </si>
  <si>
    <t>NAS: CDEMRIS</t>
  </si>
  <si>
    <t>CDEMRIS</t>
  </si>
  <si>
    <t>MRI (LGE CMR)</t>
  </si>
  <si>
    <t>LA endocardium + cavity; fibrosis/scar segmentations (consensus)</t>
  </si>
  <si>
    <t>60 (30 pre-ablation, 30 post-ablation)</t>
  </si>
  <si>
    <t>60 3D volumes</t>
  </si>
  <si>
    <t>Slice thickness 1.25–2.0 mm (reconstructed)</t>
  </si>
  <si>
    <t>USA (Utah, BIDMC), UK (KCL)</t>
  </si>
  <si>
    <t>https://figshare.com/articles/dataset/CDEMRIS_fibrosis_scar_challenge_data_2012/4214532</t>
  </si>
  <si>
    <t>https://jcmr-online.biomedcentral.com/articles/10.1186/1532-429X-15-105</t>
  </si>
  <si>
    <t>King’s College London challenge site</t>
  </si>
  <si>
    <t>http://www.isd.kcl.ac.uk/cdemris/</t>
  </si>
  <si>
    <t>CETUS</t>
  </si>
  <si>
    <t>Ultrasound (3D Echo)</t>
  </si>
  <si>
    <t>Manual endocardial contours (ED/ES) by 3 experts</t>
  </si>
  <si>
    <t>45 patients / sequences</t>
  </si>
  <si>
    <t>45 3D volumes (one cardiac cycle each)</t>
  </si>
  <si>
    <t>MHD + RAW</t>
  </si>
  <si>
    <t>France; Belgium; Netherlands</t>
  </si>
  <si>
    <t>https://www.creatis.insa-lyon.fr/Challenge/CETUS/</t>
  </si>
  <si>
    <t>MIDAS (evaluation platform)</t>
  </si>
  <si>
    <t>https://www.creatis.insa-lyon.fr/Challenge/CETUS/databases.html</t>
  </si>
  <si>
    <t>CHD</t>
  </si>
  <si>
    <t>Modeling</t>
  </si>
  <si>
    <t>Computational models; physiologic clinical data; no manual contours</t>
  </si>
  <si>
    <t>USA (Rady Children’s Hospital San Diego; UCSD), New Zealand (Auckland)</t>
  </si>
  <si>
    <t>https://capchd.ucsd.edu</t>
  </si>
  <si>
    <t>https://academic.oup.com/bioinformatics/article/27/16/2288/253995</t>
  </si>
  <si>
    <t>Cardiac Atlas Project (CAP)</t>
  </si>
  <si>
    <t>https://dev-capchd.sdsc.edu/</t>
  </si>
  <si>
    <t>NAS: COCA</t>
  </si>
  <si>
    <t>COCA</t>
  </si>
  <si>
    <t>Calcium segmentation masks and calcium scores</t>
  </si>
  <si>
    <t>900 (700 gated CCTA + 200 non‑gated chest CT)</t>
  </si>
  <si>
    <t>39,281 axial slices (across 3D volumes)</t>
  </si>
  <si>
    <t>DICOM (+ XML for scores)</t>
  </si>
  <si>
    <t>512×512 (typical slice)</t>
  </si>
  <si>
    <t>USA (Stanford Hospital &amp; Clinics)</t>
  </si>
  <si>
    <t>https://stanfordaimi.azurewebsites.net/datasets/e8ca74dc-8dd4-4340-815a-60b41f6cb2aa</t>
  </si>
  <si>
    <t>https://arxiv.org/pdf/2206.10455v1</t>
  </si>
  <si>
    <t>Stanford AIMI (Azure portal)</t>
  </si>
  <si>
    <t>https://aimi.stanford.edu/datasets/coca-coronary-calcium-chest-ct</t>
  </si>
  <si>
    <t>CMRxRecon2023</t>
  </si>
  <si>
    <t>MRI (k-space)</t>
  </si>
  <si>
    <t>Reconstruction (cine; T1/T2 mapping)</t>
  </si>
  <si>
    <t>Fully-sampled and undersampled k-space; sampling masks; reconstructed images</t>
  </si>
  <si>
    <t>300 subjects (single center)</t>
  </si>
  <si>
    <t>MATLAB .mat (k-space)</t>
  </si>
  <si>
    <t>2D (dynamic cine) + parametric maps</t>
  </si>
  <si>
    <t>https://cmrxrecon.github.io/Home.html</t>
  </si>
  <si>
    <t>https://www.nature.com/articles/s41597-024-03533-2</t>
  </si>
  <si>
    <t>Synapse (Sage Bionetworks)</t>
  </si>
  <si>
    <t>https://www.synapse.org/#!Synapse:syn51865373</t>
  </si>
  <si>
    <t>CMRxRecon2024</t>
  </si>
  <si>
    <t>https://cmrxrecon.github.io/2024/Home.html</t>
  </si>
  <si>
    <t>https://arxiv.org/abs/2406.19043</t>
  </si>
  <si>
    <t>https://www.synapse.org/#!Synapse:syn61961847</t>
  </si>
  <si>
    <t>CMRxRecon2025</t>
  </si>
  <si>
    <t>Reconstruction (universal; cine + mapping)</t>
  </si>
  <si>
    <t>Undersampled k-space; masks; references</t>
  </si>
  <si>
    <t>https://cmrxrecon.github.io/2025/Home.html</t>
  </si>
  <si>
    <t>CT Pulmonary Angiography</t>
  </si>
  <si>
    <t>Classification; Detection; Measurement</t>
  </si>
  <si>
    <t>Slice-level PE labels; PE location; RV/LV ratio; PE type</t>
  </si>
  <si>
    <t>https://stanfordaimi.azurewebsites.net/datasets/12c02840-2e13-42a2-b4ef-f682472d4694</t>
  </si>
  <si>
    <t>https://doi.org/10.71718/jn0r-7p52</t>
  </si>
  <si>
    <t>DETERMINE</t>
  </si>
  <si>
    <t>MRI (cine; LGE)</t>
  </si>
  <si>
    <t>Modeling; Shape analysis</t>
  </si>
  <si>
    <t>Left ventricular models; clinical metadata</t>
  </si>
  <si>
    <t>USA (multi-center)</t>
  </si>
  <si>
    <t>https://www.cardiacatlas.org/determine</t>
  </si>
  <si>
    <t>NAS: EchoNet-LVH</t>
  </si>
  <si>
    <t>EchoNet-LVH</t>
  </si>
  <si>
    <t>Ultrasound (Echo)</t>
  </si>
  <si>
    <t>Classification (LVH)</t>
  </si>
  <si>
    <t>Labels (LVH); patient metadata</t>
  </si>
  <si>
    <t>12,000 videos</t>
  </si>
  <si>
    <t>Video (AVI/MP4)</t>
  </si>
  <si>
    <t>2D (video)</t>
  </si>
  <si>
    <t>https://stanfordaimi.azurewebsites.net/datasets/5b7fcc28-579c-4285-8b72-e4238eac7bd1</t>
  </si>
  <si>
    <t>https://arxiv.org/abs/2106.12511</t>
  </si>
  <si>
    <t>Stanford EchoNet (GitHub Pages; AIMI portal)</t>
  </si>
  <si>
    <t>https://echonet.github.io/lvh/</t>
  </si>
  <si>
    <t>NAS: EchoNet-Pediatric</t>
  </si>
  <si>
    <t>EchoNet-Pediatric</t>
  </si>
  <si>
    <t>Expert measurements, tracings, calculations</t>
  </si>
  <si>
    <t>7,643 videos (0–18 years)</t>
  </si>
  <si>
    <t>7,643 videos</t>
  </si>
  <si>
    <t>Video (DICOM-to-AVI)</t>
  </si>
  <si>
    <t>https://echonet.github.io/pediatric</t>
  </si>
  <si>
    <t>https://echonet.github.io/pediatric/</t>
  </si>
  <si>
    <t>https://aimi.stanford.edu/datasets/echonet-pediatric</t>
  </si>
  <si>
    <t>HMC-QU</t>
  </si>
  <si>
    <t>Classification (MI); Segmentation (LV wall)</t>
  </si>
  <si>
    <t>LV wall segmentation masks; MI labels</t>
  </si>
  <si>
    <t>130 subjects</t>
  </si>
  <si>
    <t>260 recordings (A4C + A2C)</t>
  </si>
  <si>
    <t>~25 FPS; 422×636 to 768×1024 pixels</t>
  </si>
  <si>
    <t>Qatar (Hamad Medical Corporation)</t>
  </si>
  <si>
    <t>https://www.kaggle.com/datasets/aysendegerli/hmcqu-dataset</t>
  </si>
  <si>
    <t>https://www.sciencedirect.com/science/article/pii/S1746809423008819</t>
  </si>
  <si>
    <t>NAS: imagealcapa.zip</t>
  </si>
  <si>
    <t>ImageALCAPA</t>
  </si>
  <si>
    <t>CT (CTA)</t>
  </si>
  <si>
    <t>Seven substructures (Myo, LV, RV, PA, Ao, LCA, RCA)</t>
  </si>
  <si>
    <t>30 3D CTA scans</t>
  </si>
  <si>
    <t>China (Guangdong Provincial People’s Hospital)</t>
  </si>
  <si>
    <t>https://www.kaggle.com/datasets/xiaoweixumedicalai/imagealcapa</t>
  </si>
  <si>
    <t>https://ieeexplore.ieee.org/document/10080857</t>
  </si>
  <si>
    <t>NAS: imagechd.zip</t>
  </si>
  <si>
    <t>ImageCHD</t>
  </si>
  <si>
    <t>7-substructure segmentation + CHD type labels</t>
  </si>
  <si>
    <t>110 3D CT scans</t>
  </si>
  <si>
    <t>https://www.kaggle.com/datasets/xiaoweixumedicalai/imagechd</t>
  </si>
  <si>
    <t>https://link.springer.com/chapter/10.1007/978-3-030-59719-1_8</t>
  </si>
  <si>
    <t>NAS: imagetbad.zip</t>
  </si>
  <si>
    <t>ImageTBAD</t>
  </si>
  <si>
    <t>TL/FL/FLT labels; expert segmentations</t>
  </si>
  <si>
    <t>100 3D CTA scans</t>
  </si>
  <si>
    <t>https://www.kaggle.com/datasets/xiaoweixumedicalai/imagetbad</t>
  </si>
  <si>
    <t>https://www.frontiersin.org/articles/10.3389/fphys.2021.732711/full</t>
  </si>
  <si>
    <t>NAS: LASC13</t>
  </si>
  <si>
    <t>LASC13</t>
  </si>
  <si>
    <t>MRI (LGE)</t>
  </si>
  <si>
    <t>LA contours / meshes</t>
  </si>
  <si>
    <t>https://github.com/catactg/lasc</t>
  </si>
  <si>
    <t>NAS: LivScar</t>
  </si>
  <si>
    <t>LivScar</t>
  </si>
  <si>
    <t>MRI (cine SSFP)</t>
  </si>
  <si>
    <t>Landmarks (coordinates)</t>
  </si>
  <si>
    <t>100 train + 100 test</t>
  </si>
  <si>
    <t>https://figshare.com/articles/figure/Left_ventricular_LV_scar_dataset/4214622</t>
  </si>
  <si>
    <t>LV Landmark Detection Challenge</t>
  </si>
  <si>
    <t>Binary masks for training</t>
  </si>
  <si>
    <t>DICOM + binary masks</t>
  </si>
  <si>
    <t>https://www.cardiacatlas.org/lv-landmark-detection-challenge</t>
  </si>
  <si>
    <t>https://link.springer.com/chapter/10.1007/978-3-642-36961-2_14</t>
  </si>
  <si>
    <t>https://www.cardiacatlas.org/lv-landmark-detection-challenge/</t>
  </si>
  <si>
    <t>LV Segmentation Challenge</t>
  </si>
  <si>
    <t>MRI-derived 3D LV shapes</t>
  </si>
  <si>
    <t>3D point sets + labels</t>
  </si>
  <si>
    <t>200 train + 200 test</t>
  </si>
  <si>
    <t>TXT/CSV (3D points)</t>
  </si>
  <si>
    <t>https://www.cardiacatlas.org/lv-segmentation-challenge</t>
  </si>
  <si>
    <t>https://www.cardiacatlas.org/lv-segmentation-challenge/</t>
  </si>
  <si>
    <t>LV Statistical Shape Challenge</t>
  </si>
  <si>
    <t>MRI (cine)</t>
  </si>
  <si>
    <t>Regression, Classification</t>
  </si>
  <si>
    <t>LV indices, phase labels</t>
  </si>
  <si>
    <t>https://www.cardiacatlas.org/lv-statistical-shape-challenge</t>
  </si>
  <si>
    <t>https://www.cardiacatlas.org/lv-statistical-shape-challenge/</t>
  </si>
  <si>
    <t>NAS: LVQuan19</t>
  </si>
  <si>
    <t>LVQuan19</t>
  </si>
  <si>
    <t>MRI (CMR)</t>
  </si>
  <si>
    <t>https://lvquan19.github.io</t>
  </si>
  <si>
    <t>https://signalprocessingsociety.org/publications-resources/data-challenges/left-ventricle-full-quantification-challenge-lvquan</t>
  </si>
  <si>
    <t>Google Drive; Baidu Pan</t>
  </si>
  <si>
    <t>https://github.com/TiancongHua/Left-Ventricle-Full-Quantification-Challenge-MICCAI-2019</t>
  </si>
  <si>
    <t>NAS: MnM2.rar</t>
  </si>
  <si>
    <t>M&amp;Ms-2</t>
  </si>
  <si>
    <t>70 train + 30 val + 100 test</t>
  </si>
  <si>
    <t>https://www.ub.edu/mnms-2</t>
  </si>
  <si>
    <t>https://www.ub.edu/mnms-2/</t>
  </si>
  <si>
    <t>University of Barcelona</t>
  </si>
  <si>
    <t>MBAS24</t>
  </si>
  <si>
    <t>MRI (cine GRE)</t>
  </si>
  <si>
    <t>https://codalab.lisn.upsaclay.fr/competitions/18516</t>
  </si>
  <si>
    <t xml:space="preserve">pending, MESA requires that all manuscripts using MESA data have one MESA co-author. </t>
  </si>
  <si>
    <t>MESA</t>
  </si>
  <si>
    <t>3D Echocardiography (with CMR-derived labels)</t>
  </si>
  <si>
    <t>Segmentation (LV myocardium &amp; cavity)</t>
  </si>
  <si>
    <t>New Zealand; UK</t>
  </si>
  <si>
    <t>https://www.cardiacatlas.org/mesa</t>
  </si>
  <si>
    <t>https://www.cardiacatlas.org/mesa/</t>
  </si>
  <si>
    <t>MITEA</t>
  </si>
  <si>
    <t>MRI (perfusion DCE)</t>
  </si>
  <si>
    <t>Motion Correction</t>
  </si>
  <si>
    <t>Contours (reference frame)</t>
  </si>
  <si>
    <t>2D+T</t>
  </si>
  <si>
    <t>USA; New Zealand</t>
  </si>
  <si>
    <t>https://www.cardiacatlas.org/mitea</t>
  </si>
  <si>
    <t>https://www.frontiersin.org/articles/10.3389/fcvm.2022.1016703/full</t>
  </si>
  <si>
    <t>https://www.cardiacatlas.org/mitea/</t>
  </si>
  <si>
    <t>Motion Correction Challenge</t>
  </si>
  <si>
    <t>MRI (LGE, T2, bSSFP)</t>
  </si>
  <si>
    <t>USA &amp; New Zealand</t>
  </si>
  <si>
    <t>https://www.cardiacatlas.org/motion-correction-challenge</t>
  </si>
  <si>
    <t>https://ieeexplore.ieee.org/document/7542127</t>
  </si>
  <si>
    <t>https://www.cardiacatlas.org/motion-correction-challenge/</t>
  </si>
  <si>
    <t>MS-CMRSeg</t>
  </si>
  <si>
    <t>https://zmiclab.github.io/zxh/0/mscmrseg19</t>
  </si>
  <si>
    <t>https://zmiclab.github.io/zxh/0/mscmrseg19/</t>
  </si>
  <si>
    <t>zmiclab.github.io</t>
  </si>
  <si>
    <t>MYOSAIQ</t>
  </si>
  <si>
    <t>MRI (k-space cine)</t>
  </si>
  <si>
    <t>165 fully sampled series + 212 undersampled series</t>
  </si>
  <si>
    <t>HDF5 (ISMRMRD)</t>
  </si>
  <si>
    <t>https://www.creatis.insa-lyon.fr/Challenge/myosaiq</t>
  </si>
  <si>
    <t>https://codalab.lisn.upsaclay.fr/competitions/19109</t>
  </si>
  <si>
    <t>NAS: ocmr.tar.gz</t>
  </si>
  <si>
    <t>OCMR</t>
  </si>
  <si>
    <t>CT (non-contrast)</t>
  </si>
  <si>
    <t>Calcium Scoring</t>
  </si>
  <si>
    <t>Reference CAC scores</t>
  </si>
  <si>
    <t>https://www.ocmr.info</t>
  </si>
  <si>
    <t>https://arxiv.org/abs/2008.03410</t>
  </si>
  <si>
    <t>https://www.ocmr.info/instructions/</t>
  </si>
  <si>
    <t>https://github.com/MRIOSU/OCMR</t>
  </si>
  <si>
    <t>orCaScore</t>
  </si>
  <si>
    <t>MRA (TOF)</t>
  </si>
  <si>
    <t>Manual segmentations</t>
  </si>
  <si>
    <t>VTK</t>
  </si>
  <si>
    <t>512 x 512 x 51; 0.5mm slice</t>
  </si>
  <si>
    <t>https://orcascore.grand-challenge.org</t>
  </si>
  <si>
    <t>https://medicalimaging.ai/challenges/orcascore</t>
  </si>
  <si>
    <t>https://orcascore.grand-challenge.org/Data/</t>
  </si>
  <si>
    <t>NAS: PASCAL</t>
  </si>
  <si>
    <t>PASCAL</t>
  </si>
  <si>
    <t>CT + EHR</t>
  </si>
  <si>
    <t>https://www5.cs.fau.de/research/data/pascal</t>
  </si>
  <si>
    <t>https://www5.cs.fau.de/forschung/data/pascal/</t>
  </si>
  <si>
    <t>FAU site</t>
  </si>
  <si>
    <t>NAS: RadFusion</t>
  </si>
  <si>
    <t>N/A images</t>
  </si>
  <si>
    <t>RadFusion</t>
  </si>
  <si>
    <t>Contours (ED/ES)</t>
  </si>
  <si>
    <t>https://stanfordaimi.azurewebsites.net/datasets/3a7548a4-8f65-4ab7-85fa-3d68c9efc1bd</t>
  </si>
  <si>
    <t>https://arxiv.org/abs/2111.11665</t>
  </si>
  <si>
    <t>Stanford AIMI (Azure)</t>
  </si>
  <si>
    <t>https://aimi.stanford.edu/datasets/radfusion-multimodal-pulmonary-embolism-dataset</t>
  </si>
  <si>
    <t>RVSC</t>
  </si>
  <si>
    <t>Manual contours; LV models</t>
  </si>
  <si>
    <t>https://rvsc.projets.litislab.fr</t>
  </si>
  <si>
    <t>https://projets.litislab.fr/rvsc/how-to-download-the-data/</t>
  </si>
  <si>
    <t>LITIS Lab</t>
  </si>
  <si>
    <t>NAS: SCD</t>
  </si>
  <si>
    <t>SCD</t>
  </si>
  <si>
    <t>Expert consensus contours</t>
  </si>
  <si>
    <t>https://www.cardiacatlas.org/sunnybrook-cardiac-data</t>
  </si>
  <si>
    <t>https://www.cardiacatlas.org/sunnybrook-cardiac-data/</t>
  </si>
  <si>
    <t>SCMR Consensus Contours</t>
  </si>
  <si>
    <t>Regression</t>
  </si>
  <si>
    <t>Volumes (EDV/ESV)</t>
  </si>
  <si>
    <t>https://www.cardiacatlas.org/scmr-consensus-contours</t>
  </si>
  <si>
    <t>https://www.cardiacatlas.org/scmr-consensus-contours/</t>
  </si>
  <si>
    <t>NAS: SADSB</t>
  </si>
  <si>
    <t>Second Annual Data Science Bowl</t>
  </si>
  <si>
    <t>Segmentation; Thickness Estimation</t>
  </si>
  <si>
    <t>Expert segmentations</t>
  </si>
  <si>
    <t>https://www.kaggle.com/competitions/second-annual-data-science-bowl</t>
  </si>
  <si>
    <t>https://www.kaggle.com/c/second-annual-data-science-bowl</t>
  </si>
  <si>
    <t>https://www.kaggle.com/c/second-annual-data-science-bowl/data</t>
  </si>
  <si>
    <t>NAS: SLAWT</t>
  </si>
  <si>
    <t>SLAWT</t>
  </si>
  <si>
    <t>https://www.doc.ic.ac.uk/~rkarim/la_lv_framework/wall/index.html</t>
  </si>
  <si>
    <t>Imperial College site</t>
  </si>
  <si>
    <t>NAS: VesselSegmentation</t>
  </si>
  <si>
    <t>Vessel Segmentation</t>
  </si>
  <si>
    <t>https://www.kaggle.com/c/sai-vessel-segmentation2</t>
  </si>
  <si>
    <t>https://www.kaggle.com/competitions/sai-vessel-segmentation2</t>
  </si>
  <si>
    <t>https://www.kaggle.com/competitions/sai-vessel-segmentation2/data</t>
  </si>
  <si>
    <t>Faster</t>
  </si>
  <si>
    <t>MedMNIST</t>
  </si>
  <si>
    <t>OCT, X-ray</t>
  </si>
  <si>
    <t>708K 2D, 10K 3D images</t>
  </si>
  <si>
    <t>NPZ</t>
  </si>
  <si>
    <t>https://medmnist.com/v2</t>
  </si>
  <si>
    <t>https://www.cancerimagingarchive.net/collection/cptac-ccrcc/</t>
  </si>
  <si>
    <t>NAS: HerlevCervicalSmear</t>
  </si>
  <si>
    <t>Herlev-Cervical Smear</t>
  </si>
  <si>
    <t>Cell</t>
  </si>
  <si>
    <t>32x103 to 280x355</t>
  </si>
  <si>
    <t>0.085 (for new DB)</t>
  </si>
  <si>
    <t>https://mde-lab.aegean.gr/index.php/downloads/</t>
  </si>
  <si>
    <t>https://www.researchgate.net/profile/Jan-Jantzen/publication/282157686_The_Pap_Smear_Benchmark/links/582ae2fe08ae102f071ff4bb/The-Pap-Smear-Benchmark.pdf</t>
  </si>
  <si>
    <t>Corneal Nerve</t>
  </si>
  <si>
    <t>Microscopy images</t>
  </si>
  <si>
    <t>768x576</t>
  </si>
  <si>
    <t>China, Italy</t>
  </si>
  <si>
    <t>https://imed.nimte.ac.cn/CORN.html</t>
  </si>
  <si>
    <t>https://iovs.arvojournals.org/article.aspx?articleid=2125558</t>
  </si>
  <si>
    <t>http://bioimlab.dei.unipd.it/Corneal%20Nerve%20Data%20Set.htm</t>
  </si>
  <si>
    <t>NAS: MLC</t>
  </si>
  <si>
    <t>Malignant Lymphoma Classification</t>
  </si>
  <si>
    <t>Tissue</t>
  </si>
  <si>
    <t>Pathological sections</t>
  </si>
  <si>
    <t>1388x1040</t>
  </si>
  <si>
    <t>https://www.kaggle.com/datasets/andrewmvd/malignant-lymphoma-classification</t>
  </si>
  <si>
    <t>https://ieeexplore.ieee.org/document/5505922</t>
  </si>
  <si>
    <t>https://www.kaggle.com/datasets/andrewmvd/malignant-lymphoma-classification/download?datasetVersionNumber=1</t>
  </si>
  <si>
    <t>Corneal Nerve Tortuosity</t>
  </si>
  <si>
    <t>384x384</t>
  </si>
  <si>
    <t>http://bioimlab.dei.unipd.it/Corneal%20Nerve%20Tortuosity%20Data%20Set.htm</t>
  </si>
  <si>
    <t>https://iovs.arvojournals.org/article.aspx?articleid=2187659</t>
  </si>
  <si>
    <t>NAS: OCCISC</t>
  </si>
  <si>
    <t>OCCISC</t>
  </si>
  <si>
    <t>Cervical cells</t>
  </si>
  <si>
    <t>Microscopic imaging</t>
  </si>
  <si>
    <t>PNG, .MAT</t>
  </si>
  <si>
    <t>https://cs.adelaide.edu.au/~carneiro/isbi14_challenge/index.html</t>
  </si>
  <si>
    <t>https://ieeexplore.ieee.org/document/7386573</t>
  </si>
  <si>
    <t>NAS: BioMediTech</t>
  </si>
  <si>
    <t>BioMediTech</t>
  </si>
  <si>
    <t>195 - original picture; 1862 - subpicture</t>
  </si>
  <si>
    <t>2560x1920-originalpicturex640x480-subpicture</t>
  </si>
  <si>
    <t>https://figshare.com/s/d6fb591f1beb4f8efa6f</t>
  </si>
  <si>
    <t>https://journals.plos.org/plosone/article/file?id=10.1371/journal.pone.0149399&amp;type=printable</t>
  </si>
  <si>
    <t>https://figshare.com/ndownloader/articles/2070109?private_link=d6fb591f1beb4f8efa6f</t>
  </si>
  <si>
    <t>NAS: GlaS</t>
  </si>
  <si>
    <t>GlaS</t>
  </si>
  <si>
    <t>Glands</t>
  </si>
  <si>
    <t>Train: 85 Test: 80</t>
  </si>
  <si>
    <t>522x775</t>
  </si>
  <si>
    <t>https://www.kaggle.com/datasets/sani84/glasmiccai2015-gland-segmentation</t>
  </si>
  <si>
    <t>https://www.sciencedirect.com/science/article/pii/S1361841516301542</t>
  </si>
  <si>
    <t>NAS: HuSHem.rar</t>
  </si>
  <si>
    <t>HuSHeM</t>
  </si>
  <si>
    <t>Pelvic cavity</t>
  </si>
  <si>
    <t>131x131</t>
  </si>
  <si>
    <t>https://data.mendeley.com/datasets/tt3yj2pf38/3</t>
  </si>
  <si>
    <t>https://www.sciencedirect.com/science/article/pii/S0010482517303293?via%3Dihub</t>
  </si>
  <si>
    <t>https://opendatalab.com/OpenDataLab/HuSHeM/tree/main</t>
  </si>
  <si>
    <t>NAS: MoNuSeg</t>
  </si>
  <si>
    <t>MoNuSeg</t>
  </si>
  <si>
    <t>train: 38 test: 15</t>
  </si>
  <si>
    <t>1000x1000</t>
  </si>
  <si>
    <t>https://monuseg.grand-challenge.org/Home/</t>
  </si>
  <si>
    <t>https://ieeexplore.ieee.org/abstract/document/7872382</t>
  </si>
  <si>
    <t>https://monuseg.grand-challenge.org/Data/</t>
  </si>
  <si>
    <t>NAS: Cervix93</t>
  </si>
  <si>
    <t>Cervix93</t>
  </si>
  <si>
    <t>Cervical cancer</t>
  </si>
  <si>
    <t>Pathological imaging</t>
  </si>
  <si>
    <t>960x1280</t>
  </si>
  <si>
    <t>https://github.com/parham-ap/cytology_dataset</t>
  </si>
  <si>
    <t>https://arxiv.org/pdf/1811.09651</t>
  </si>
  <si>
    <t>Faster: PatchCamelyon</t>
  </si>
  <si>
    <t>PatchCamelyon</t>
  </si>
  <si>
    <t>Mammary gland</t>
  </si>
  <si>
    <t>Pathology image</t>
  </si>
  <si>
    <t>96x96</t>
  </si>
  <si>
    <t>https://patchcamelyon.grand-challenge.org/</t>
  </si>
  <si>
    <t>https://arxiv.org/abs/1806.03962</t>
  </si>
  <si>
    <t>https://github.com/basveeling/pcam</t>
  </si>
  <si>
    <t>NAS: BACH</t>
  </si>
  <si>
    <t>ICIAR 2018 BACH Task1</t>
  </si>
  <si>
    <t>0.42umx0.42um</t>
  </si>
  <si>
    <t>https://iciar2018-challenge.grand-challenge.org/Dataset/</t>
  </si>
  <si>
    <t>https://arxiv.org/pdf/1808.04277.pdf</t>
  </si>
  <si>
    <t>https://iciar2018-challenge.grand-challenge.org/Download/</t>
  </si>
  <si>
    <t>https://www.kaggle.com/datasets/truthisneverlinear/bach-breast-cancer-histology-images</t>
  </si>
  <si>
    <t>ICIAR 2018 BACH Task2</t>
  </si>
  <si>
    <t>SVS, .XML</t>
  </si>
  <si>
    <t>8GBapprox.wheninnumpyarraypythonx200-250MBapprox.in.svs</t>
  </si>
  <si>
    <t>CORN</t>
  </si>
  <si>
    <t>Ccm</t>
  </si>
  <si>
    <t>https://www.sciencedirect.com/science/article/pii/S1361841520302383</t>
  </si>
  <si>
    <t>DigestPath2019</t>
  </si>
  <si>
    <t>Segmentation, Detection, Classification</t>
  </si>
  <si>
    <t>2516x4297 to 22701x19314</t>
  </si>
  <si>
    <t>https://digestpath2019.grand-challenge.org/Home/</t>
  </si>
  <si>
    <t>https://doi.org/10.1016/j.media.2022.102485</t>
  </si>
  <si>
    <t>https://digestpath2019.grand-challenge.org/Dataset/</t>
  </si>
  <si>
    <t>NAS: Leukemia</t>
  </si>
  <si>
    <t>Leukemia</t>
  </si>
  <si>
    <t>Microscopic image</t>
  </si>
  <si>
    <t>450x450</t>
  </si>
  <si>
    <t>https://www.kaggle.com/datasets/andrewmvd/leukemia-classification</t>
  </si>
  <si>
    <t>https://link.springer.com/content/pdf/10.1007/978-981-15-0798-4.pdf</t>
  </si>
  <si>
    <t>https://tianchi.aliyun.com/dataset/90101</t>
  </si>
  <si>
    <t>ICPR-HEp-2</t>
  </si>
  <si>
    <t>14k</t>
  </si>
  <si>
    <t>78x78 to 78x80</t>
  </si>
  <si>
    <t>https://hep2.unisa.it/index.html</t>
  </si>
  <si>
    <t>https://www.heywhale.com/mw/dataset/5ec3c6883241a100378d5d4a</t>
  </si>
  <si>
    <t>NAS: CompleteBloodCount</t>
  </si>
  <si>
    <t>Complete Blood Count</t>
  </si>
  <si>
    <t>Blood smear</t>
  </si>
  <si>
    <t>Counting number</t>
  </si>
  <si>
    <t>640x480</t>
  </si>
  <si>
    <t>https://github.com/MahmudulAlam/Complete-Blood-Cell-Count-Dataset</t>
  </si>
  <si>
    <t>https://ietresearch.onlinelibrary.wiley.com/doi/10.1049/htl.2018.5098</t>
  </si>
  <si>
    <t>https://github.com/MahmudulAlam/Complete-Blood-Cell-Count-Dataset/archive/master.zip, https://opendatalab.com/OpenDataLab/CBC</t>
  </si>
  <si>
    <t>NAS: biovfm/lc25000.zip</t>
  </si>
  <si>
    <t>LC25000</t>
  </si>
  <si>
    <t>Tissue pathology</t>
  </si>
  <si>
    <t>768x768</t>
  </si>
  <si>
    <t>https://github.com/tampapath/lung_colon_image_set</t>
  </si>
  <si>
    <t>https://arxiv.org/pdf/1912.12142v1.pdf</t>
  </si>
  <si>
    <t>NAS: PanNuke</t>
  </si>
  <si>
    <t>PanNuke</t>
  </si>
  <si>
    <t>NPY</t>
  </si>
  <si>
    <t>https://warwick.ac.uk/fac/cross_fac/tia/data/pannuke/</t>
  </si>
  <si>
    <t>https://arxiv.org/pdf/2003.10778v7</t>
  </si>
  <si>
    <t>https://warwick.ac.uk/fac/sci/dcs/research/tia/data/pannuke</t>
  </si>
  <si>
    <t>NAS: ANHIR</t>
  </si>
  <si>
    <t>ANHIR</t>
  </si>
  <si>
    <t>15kx15k--50kx50kPixels</t>
  </si>
  <si>
    <t>https://anhir.grand-challenge.org/</t>
  </si>
  <si>
    <t>https://ieeexplore.ieee.org/abstract/document/9058666</t>
  </si>
  <si>
    <t>https://anhir.grand-challenge.org/Download/</t>
  </si>
  <si>
    <t>NAS: MitoEM2021</t>
  </si>
  <si>
    <t>MitoEM2021</t>
  </si>
  <si>
    <t>4096x4096x400</t>
  </si>
  <si>
    <t>https://mitoem.grand-challenge.org/</t>
  </si>
  <si>
    <t>https://link.springer.com/chapter/10.1007/978-3-030-59722-1_7</t>
  </si>
  <si>
    <t>NAS: CoCaHis.hdf5</t>
  </si>
  <si>
    <t>CoCaHis</t>
  </si>
  <si>
    <t>Colorectal</t>
  </si>
  <si>
    <t>HDF5</t>
  </si>
  <si>
    <t>1388x1037</t>
  </si>
  <si>
    <t>https://cocahis.irb.hr/</t>
  </si>
  <si>
    <t>https://www.sciencedirect.com/science/article/pii/S1746809420305085?via%3Dihub</t>
  </si>
  <si>
    <t>http://cocahis.irb.hr/wpcontent/uploads/2020/12/CoCaHis.hdf5</t>
  </si>
  <si>
    <t>NAS: ARCH</t>
  </si>
  <si>
    <t>ARCH</t>
  </si>
  <si>
    <t>Caption</t>
  </si>
  <si>
    <t>JPG, .JSON</t>
  </si>
  <si>
    <t>https://warwick.ac.uk/fac/cross_fac/tia/data/arch</t>
  </si>
  <si>
    <t>https://openaccess.thecvf.com/content/CVPR2021/html/Gamper_Multiple_Instance_Captioning_Learning_Representations_From_Histopathology_Textbooks_and_Articles_CVPR_2021_paper.html</t>
  </si>
  <si>
    <t>NAS: MalariaCellImages</t>
  </si>
  <si>
    <t>Malaria Cell Images</t>
  </si>
  <si>
    <t>Digital pathology image</t>
  </si>
  <si>
    <t>55x40 to 364x340</t>
  </si>
  <si>
    <t>https://lhncbc.nlm.nih.gov/LHC-research/LHC-projects/image-processing/malaria-screener.html</t>
  </si>
  <si>
    <t>https://lhncbc.nlm.nih.gov/LHC-publications/pubs/Patientlevelperformanceevaluationofasmartphonebasedmalariadiagnosticapplication.html</t>
  </si>
  <si>
    <t>https://lhncbc.nlm.nih.gov/LHC-research/LHC-projects/image-processing/malaria-datasheet.html, https://www.kaggle.com/datasets/plameneduardo/sarscov2-ctscan-dataset</t>
  </si>
  <si>
    <t>NAS: SegPC21</t>
  </si>
  <si>
    <t>SegPC21</t>
  </si>
  <si>
    <t>1536x2040</t>
  </si>
  <si>
    <t>https://segpc-2021.grand-challenge.org/SegPC-2021/</t>
  </si>
  <si>
    <t>https://www.sciencedirect.com/science/article/pii/S1361841520301523?via%3Dihub</t>
  </si>
  <si>
    <t>https://ieee-dataport.org/open-access/segpc-2021-segmentation-multiple-myeloma-plasma-cells-microscopic-images</t>
  </si>
  <si>
    <t>MHIST</t>
  </si>
  <si>
    <t>https://bmirds.github.io/MHIST/</t>
  </si>
  <si>
    <t>https://link.springer.com/chapter/10.1007/978-3-030-77211-6_2</t>
  </si>
  <si>
    <t>NAS: MHIST</t>
  </si>
  <si>
    <t>Bone Marrow Cytomorphology</t>
  </si>
  <si>
    <t>Marrow</t>
  </si>
  <si>
    <t>250x250</t>
  </si>
  <si>
    <t>https://wiki.cancerimagingarchive.net/pages/viewpage.action?pageId=101941770</t>
  </si>
  <si>
    <t>https://ashpublications.org/blood/article/138/20/1917/477932/Highly-accurate-differentiation-of-bone-marrow</t>
  </si>
  <si>
    <t>NAS: Chaoyang</t>
  </si>
  <si>
    <t>Chaoyang</t>
  </si>
  <si>
    <t>https://bupt-ai-cz.github.io/HSA-NRL/</t>
  </si>
  <si>
    <t>https://ieeexplore.ieee.org/abstract/document/9600806</t>
  </si>
  <si>
    <t>NAS: CoNIC2022</t>
  </si>
  <si>
    <t>one npy</t>
  </si>
  <si>
    <t>CoNIC2022</t>
  </si>
  <si>
    <t>https://conic-challenge.grand-challenge.org/</t>
  </si>
  <si>
    <t>https://arxiv.org/pdf/2111.14485.pdf</t>
  </si>
  <si>
    <t>https://conic-challenge.grand-challenge.org/Data/</t>
  </si>
  <si>
    <t>NAS: NeurIPS22-CellSeg</t>
  </si>
  <si>
    <t>NeurIPS 2022 Cell Seg</t>
  </si>
  <si>
    <t>Instance segmentation</t>
  </si>
  <si>
    <t>3022 images</t>
  </si>
  <si>
    <t>PNG .BMP .TIF .TIFF</t>
  </si>
  <si>
    <t>200x200 to 4096x4096</t>
  </si>
  <si>
    <t>https://neurips22-cellseg.grand-challenge.org/</t>
  </si>
  <si>
    <t>https://arxiv.org/abs/2308.05864</t>
  </si>
  <si>
    <t>https://neurips22-cellseg.grand-challenge.org/dataset/</t>
  </si>
  <si>
    <t>NAS: BRACS</t>
  </si>
  <si>
    <t>BRACS</t>
  </si>
  <si>
    <t>Breast tissue</t>
  </si>
  <si>
    <t>Subtype classification</t>
  </si>
  <si>
    <t>4539 rois/547 wsis</t>
  </si>
  <si>
    <t>PNG/.SVS</t>
  </si>
  <si>
    <t>to 27%</t>
  </si>
  <si>
    <t>https://www.bracs.icar.cnr.it/</t>
  </si>
  <si>
    <t>https://academic.oup.com/database/article/doi/10.1093/database/baac093/6762252</t>
  </si>
  <si>
    <t>https://www.bracs.icar.cnr.it/download/</t>
  </si>
  <si>
    <t>NAS: BCI.zip</t>
  </si>
  <si>
    <t>BCI</t>
  </si>
  <si>
    <t>Image conversion</t>
  </si>
  <si>
    <t>https://bupt-ai-cz.github.io/BCI/</t>
  </si>
  <si>
    <t>https://openaccess.thecvf.com/content/CVPR2022W/CVMI/html/Liu_BCI_Breast_Cancer_Immunohistochemical_Image_Generation_Through_Pyramid_Pix2pix_CVPRW_2022_paper.html</t>
  </si>
  <si>
    <t>NAS: MIDOGpp</t>
  </si>
  <si>
    <t>MIDOG++</t>
  </si>
  <si>
    <t>Breast, Lung, Lymph and other areas</t>
  </si>
  <si>
    <t>https://github.com/DeepMicroscopy/MIDOGpp/tree/main</t>
  </si>
  <si>
    <t>https://www.nature.com/articles/s41597-023-02327-4</t>
  </si>
  <si>
    <t>NAS: SegPANDA200</t>
  </si>
  <si>
    <t>SegPANDA200</t>
  </si>
  <si>
    <t>https://link.springer.com/chapter/10.1007/978-3-031-44917-8_25</t>
  </si>
  <si>
    <t>https://drive.google.com/drive/folders/1kPWiFxL5HxVRM4antSPq9FzjBIbmkGWA</t>
  </si>
  <si>
    <t>NAS: MIST</t>
  </si>
  <si>
    <t>MIST</t>
  </si>
  <si>
    <t>Image transformation</t>
  </si>
  <si>
    <t>https://link.springer.com/chapter/10.1007/978-3-031-43987-2_61</t>
  </si>
  <si>
    <t>https://drive.google.com/drive/folders/146V99Zv1LzoHFYlXvSDhKmflIL-joo6p?usp=sharing</t>
  </si>
  <si>
    <t>NAS: KPIs</t>
  </si>
  <si>
    <t>KPIs</t>
  </si>
  <si>
    <t>58 wsis 10428 patch jpgs</t>
  </si>
  <si>
    <t>TIFF, JPG</t>
  </si>
  <si>
    <t>2048x2048</t>
  </si>
  <si>
    <t>https://sites.google.com/view/kpis2024</t>
  </si>
  <si>
    <t>https://www.synapse.org/#!Synapse:syn54077668/wiki/626475</t>
  </si>
  <si>
    <t>TCB Challenge</t>
  </si>
  <si>
    <t>Bone</t>
  </si>
  <si>
    <t>Bone radiograph</t>
  </si>
  <si>
    <t>400x400</t>
  </si>
  <si>
    <t>https://www.idpoisson.fr/tcbchallenge/</t>
  </si>
  <si>
    <t>https://www.researchgate.net/publication/309326405_Bone_Texture_Characterization_for_Osteoporosis_Diagnosis_using_Digital_Radiography</t>
  </si>
  <si>
    <t>https://www.idpoisson.fr/tcbchallenge/data/</t>
  </si>
  <si>
    <t>NAS: MURA-v1.1.zip</t>
  </si>
  <si>
    <t>MURA</t>
  </si>
  <si>
    <t>Muscle</t>
  </si>
  <si>
    <t>512x108 to 512x268</t>
  </si>
  <si>
    <t>https://stanfordmlgroup.github.io/competitions/mura/</t>
  </si>
  <si>
    <t>https://arxiv.org/pdf/1712.06957</t>
  </si>
  <si>
    <t>https://stanfordaimi.azurewebsites.net/datasets/3e00d84b-d86e-4fed-b2a4-bfe3effd661b</t>
  </si>
  <si>
    <t>IVDM3Seg</t>
  </si>
  <si>
    <t>Bones</t>
  </si>
  <si>
    <t>36x256x256</t>
  </si>
  <si>
    <t>https://ivdm3seg.weebly.com/</t>
  </si>
  <si>
    <t>https://ivdm3seg.weebly.com/data.html</t>
  </si>
  <si>
    <t>NAS: OTA</t>
  </si>
  <si>
    <t>Osteosarcoma Tumor Assessment</t>
  </si>
  <si>
    <t>https://www.cancerimagingarchive.net/collection/osteosarcoma-tumor-assessment/</t>
  </si>
  <si>
    <t>https://doi.org/10.1007/978-3-319-59575-7_2</t>
  </si>
  <si>
    <t>NAS: VerSe</t>
  </si>
  <si>
    <t>VerSe</t>
  </si>
  <si>
    <t>Vertebrae</t>
  </si>
  <si>
    <t>Train: 141 Val: 120 Test: 113</t>
  </si>
  <si>
    <t>103x144x34 to 960x2048x2023</t>
  </si>
  <si>
    <t>https://github.com/anjany/verse</t>
  </si>
  <si>
    <t>https://linkinghub.elsevier.com/retrieve/pii/S1361841521002127, https://pubs.rsna.org/doi/10.1148/ryai.2020190138, https://arxiv.org/pdf/2103.06360.pdf</t>
  </si>
  <si>
    <t>NAS: RibFrac2020</t>
  </si>
  <si>
    <t>RibFrac 2020</t>
  </si>
  <si>
    <t>Detection, classification</t>
  </si>
  <si>
    <t>512x512x74 to 512x512x721</t>
  </si>
  <si>
    <t>https://ribfrac.grand-challenge.org/</t>
  </si>
  <si>
    <t>https://arxiv.org/pdf/2402.09372.pdf</t>
  </si>
  <si>
    <t>https://ribfrac.grand-challenge.org/dataset/</t>
  </si>
  <si>
    <t>NAS: DigitalKnee.zip</t>
  </si>
  <si>
    <t>Digital Knee X-ray Images</t>
  </si>
  <si>
    <t>300x162 to 640x161</t>
  </si>
  <si>
    <t>https://data.mendeley.com/datasets/t9ndx37v5h/1</t>
  </si>
  <si>
    <t>NAS: KneeOsteoarthritis</t>
  </si>
  <si>
    <t>Knee Osteoarthritis Dataset with Severity Grading</t>
  </si>
  <si>
    <t>https://data.mendeley.com/datasets/56rmx5bjcr/1</t>
  </si>
  <si>
    <t>https://www.ncbi.nlm.nih.gov/pmc/articles/PMC10137589/</t>
  </si>
  <si>
    <t>NAS: CTPelvic1K</t>
  </si>
  <si>
    <t>CTPelvic1K</t>
  </si>
  <si>
    <t>129x512x55 to 1059x512x739</t>
  </si>
  <si>
    <t>https://github.com/MIRACLE-Center/CTPelvic1K</t>
  </si>
  <si>
    <t>https://link.springer.com/article/10.1007/s11548-021-02363-8</t>
  </si>
  <si>
    <t>https://zenodo.org/record/4588403#.YEyLq_0zaCo</t>
  </si>
  <si>
    <t>NAS: CTSpine1K</t>
  </si>
  <si>
    <t>CTSpine1K</t>
  </si>
  <si>
    <t>Train: 610 Val: 197 Test: 198</t>
  </si>
  <si>
    <t>512x512x42 to 512x512x1026</t>
  </si>
  <si>
    <t>https://github.com/MIRACLE-Center/CTSpine1K</t>
  </si>
  <si>
    <t>https://arxiv.org/abs/2105.14711</t>
  </si>
  <si>
    <t>https://huggingface.co/datasets/alexanderdann/CTSpine1K</t>
  </si>
  <si>
    <t>NAS: X-rayHandSmallJointClassification</t>
  </si>
  <si>
    <t>X-ray Hand Small Joint Classification Dataset</t>
  </si>
  <si>
    <t>63x73 to 452x303</t>
  </si>
  <si>
    <t>https://aistudio.baidu.com/datasetdetail/69582/2</t>
  </si>
  <si>
    <t>NAS: SPIDER</t>
  </si>
  <si>
    <t>SPIDER</t>
  </si>
  <si>
    <t>17x264x8 to 3682x1168x512</t>
  </si>
  <si>
    <t>https://spider.grand-challenge.org/</t>
  </si>
  <si>
    <t>https://arxiv.org/abs/2306.12217</t>
  </si>
  <si>
    <t>https://spider.grand-challenge.org/data/</t>
  </si>
  <si>
    <t>https://zenodo.org/records/10159290</t>
  </si>
  <si>
    <t>Fractured Bone Detection</t>
  </si>
  <si>
    <t>24 (5567 2d slices)</t>
  </si>
  <si>
    <t>Invitation</t>
  </si>
  <si>
    <t>https://www.kaggle.com/competitions/fractured-bone-detection-challenge/overview</t>
  </si>
  <si>
    <t>https://www.kaggle.com/competitions/fractured-bone-detection-challenge/data</t>
  </si>
  <si>
    <t>NAS: dental-x-ray-computacional-vision-segmentation.zip</t>
  </si>
  <si>
    <t>Dental X Ray Computacional Vision Segmentation</t>
  </si>
  <si>
    <t>640x640</t>
  </si>
  <si>
    <t>https://www.kaggle.com/datasets/henriquerezermosqur/dental-x-ray-computacional-vision-segmentation/data</t>
  </si>
  <si>
    <t>NAS: LumbosacralSpineMRI</t>
  </si>
  <si>
    <t>Lumbosacral Spine MRI Dataset</t>
  </si>
  <si>
    <t>Spinal nerve roots</t>
  </si>
  <si>
    <t>JSON, .NII.GZ</t>
  </si>
  <si>
    <t>240x240 to 288x288</t>
  </si>
  <si>
    <t>https://www.nature.com/articles/s41597-024-03919-4?_gl=1*1b99nma*_up*MQ..&amp;gclid=CjwKCAjw1NK4BhAwEiwAVUHPUBSVE39DcGDKAwkq8XsXXSl6_OUuZnDtj1uQIYvbjU1jXTS4VUmRnBoClvAQAvD_BwE</t>
  </si>
  <si>
    <t>https://figshare.com/collections/An_open-access_lumbosacral_spine_MRI_dataset_with_enhanced_spinal_nerve_root_structure_resolution/7372564</t>
  </si>
  <si>
    <t>NAS: 2D-3D-GS</t>
  </si>
  <si>
    <t>2D-3D-GS</t>
  </si>
  <si>
    <t>CT; MRI; X-ray</t>
  </si>
  <si>
    <t>2D–3D registration</t>
  </si>
  <si>
    <t>Gold-standard registration matrices</t>
  </si>
  <si>
    <t>https://lit.fe.uni-lj.si/en/research/resources/2D-3D-GS</t>
  </si>
  <si>
    <t>2D-3D registration dataset</t>
  </si>
  <si>
    <t>https://lit.fe.uni-lj.si/en/research/resources/2d-3d-gs</t>
  </si>
  <si>
    <t>Fractured Limbs</t>
  </si>
  <si>
    <t>Fracture detection; Diagnosis</t>
  </si>
  <si>
    <t>Expert annotations on selected slices</t>
  </si>
  <si>
    <t>https://github.com/kc-santosh/medical-imaging-datasets</t>
  </si>
  <si>
    <t>Fractured Limbs CT dataset</t>
  </si>
  <si>
    <t>NAS: lumbar-CT-vertebrae</t>
  </si>
  <si>
    <t>lumbar-CT-vertebrae</t>
  </si>
  <si>
    <t>Vertebra segmentation</t>
  </si>
  <si>
    <t>https://lit.fe.uni-lj.si/en/research/resources/lumbar-CT-vertebrae</t>
  </si>
  <si>
    <t>Lumbar CT vertebrae segmentation database</t>
  </si>
  <si>
    <t>https://lit.fe.uni-lj.si/en/research/resources/lumbar-ct-vertebrae</t>
  </si>
  <si>
    <t>NAS: Leg-3D-US</t>
  </si>
  <si>
    <t>Leg-3D-US</t>
  </si>
  <si>
    <t>Muscle segmentation</t>
  </si>
  <si>
    <t>3D muscle masks (background, soleus, gastrocnemius medialis and lateralis)</t>
  </si>
  <si>
    <t>564×632×1443; isotropic spacing 0.277 mm</t>
  </si>
  <si>
    <t>https://www.cs.cit.tum.de/camp/publications/leg-3d-us-dataset</t>
  </si>
  <si>
    <t>LEG-3D-US dataset</t>
  </si>
  <si>
    <t>TUM</t>
  </si>
  <si>
    <t>RibSeg</t>
  </si>
  <si>
    <t>Rib segmentation and centerline extraction</t>
  </si>
  <si>
    <t>Segmentation masks and rib centerlines</t>
  </si>
  <si>
    <t>https://github.com/M3DV/RibSeg</t>
  </si>
  <si>
    <t>RibSeg dataset</t>
  </si>
  <si>
    <t>NAS: rsna-bone-age.zip</t>
  </si>
  <si>
    <t>RSNA Bone Age</t>
  </si>
  <si>
    <t>Bone age regression</t>
  </si>
  <si>
    <t>Bone age (months) and sex labels</t>
  </si>
  <si>
    <t>2048×2048</t>
  </si>
  <si>
    <t>https://www.kaggle.com/datasets/kmader/rsna-bone-age</t>
  </si>
  <si>
    <t>RSNA Pediatric Bone Age dataset</t>
  </si>
  <si>
    <t>NAS: RSNACSF</t>
  </si>
  <si>
    <t>RSNA Cervical Spine Fracture</t>
  </si>
  <si>
    <t>Fracture detection</t>
  </si>
  <si>
    <t>Binary fracture labels and bounding boxes</t>
  </si>
  <si>
    <t>https://www.rsna.org/rsnai/ai-image-challenge/cervical-spine-fractures-ai-detection-challenge-2022</t>
  </si>
  <si>
    <t>RSNA Cervical Spine Fracture challenge</t>
  </si>
  <si>
    <t>https://www.rsna.org/rsnai/ai-image-challenge/2022/defise</t>
  </si>
  <si>
    <t>NAS: SpinalDisease</t>
  </si>
  <si>
    <t>Spinal Disease Dataset</t>
  </si>
  <si>
    <t>https://tianchi.aliyun.com/dataset/79463</t>
  </si>
  <si>
    <t>SpineWeb</t>
  </si>
  <si>
    <t>http://spineweb.digitalimaginggroup.ca</t>
  </si>
  <si>
    <t>NAS: xVertSeg</t>
  </si>
  <si>
    <t>xVertSeg</t>
  </si>
  <si>
    <t>Segmentation masks; Fracture scores</t>
  </si>
  <si>
    <t>3.4</t>
  </si>
  <si>
    <t>https://lit.fe.uni-lj.si/en/research/resources/xVertSeg/</t>
  </si>
  <si>
    <t>https://lit.fe.uni-lj.si/xVertSeg/overview.php</t>
  </si>
  <si>
    <t>NAS: DDH.zip</t>
  </si>
  <si>
    <t>DDH x-ray images</t>
  </si>
  <si>
    <t>Joints</t>
  </si>
  <si>
    <t>Labels (DDH or normal)</t>
  </si>
  <si>
    <t>227×227×3</t>
  </si>
  <si>
    <t>Jordan (King Abdullah University Hospital &amp; Alsafa Hospital)</t>
  </si>
  <si>
    <t>https://data.mendeley.com/datasets/jf3pv98m9g/2</t>
  </si>
  <si>
    <t>K2S</t>
  </si>
  <si>
    <t>k-space and DICOM</t>
  </si>
  <si>
    <t>256×256×200 slices, 0.6 mm slice thickness</t>
  </si>
  <si>
    <t>https://k2s.grand-challenge.org</t>
  </si>
  <si>
    <t>350 (300 training + 50 test)</t>
  </si>
  <si>
    <t>NAS: kneemridataset.zip</t>
  </si>
  <si>
    <t>kneeMRI</t>
  </si>
  <si>
    <t>ROI boxes; ACL injury labels</t>
  </si>
  <si>
    <t>NIfTI/volumetric</t>
  </si>
  <si>
    <t>3.3</t>
  </si>
  <si>
    <t>Rijeka, Croatia</t>
  </si>
  <si>
    <t>https://www.kaggle.com/datasets/sohaibanwaar1203/kneemridataset</t>
  </si>
  <si>
    <t>KNOAP2020</t>
  </si>
  <si>
    <t>MRI; X-ray</t>
  </si>
  <si>
    <t>Prediction (symptomatic OA progression)</t>
  </si>
  <si>
    <t>Labels for 30 knees</t>
  </si>
  <si>
    <t>Multi-site (Osteoarthritis Initiative)</t>
  </si>
  <si>
    <t>https://knoap2020.grand-challenge.org</t>
  </si>
  <si>
    <t>30 labelled; 423 test</t>
  </si>
  <si>
    <t>NAS: LERA.zip</t>
  </si>
  <si>
    <t>LERA</t>
  </si>
  <si>
    <t>Abnormality detection</t>
  </si>
  <si>
    <t>Binary normal/abnormal labels</t>
  </si>
  <si>
    <t>https://aimi.stanford.edu/lera-lower-extremity-radiographs</t>
  </si>
  <si>
    <t>LERA dataset</t>
  </si>
  <si>
    <t>https://aimi.stanford.edu/lera-lower-extremity-radiograph-abnormality</t>
  </si>
  <si>
    <t>NAS: MRNet.zip</t>
  </si>
  <si>
    <t>MRNet</t>
  </si>
  <si>
    <t>Abnormality detection; ACL and meniscus tear classification</t>
  </si>
  <si>
    <t>Labels for abnormal exams, ACL tears, meniscus tears</t>
  </si>
  <si>
    <t>https://stanfordmlgroup.github.io/competitions/mrnet</t>
  </si>
  <si>
    <t>MRNet dataset</t>
  </si>
  <si>
    <t>Stanford ML Group</t>
  </si>
  <si>
    <t>https://stanfordmlgroup.github.io/competitions/mrnet/</t>
  </si>
  <si>
    <t>https://stanfordaimi.azurewebsites.net/datasets/bface6fc-7859-47d7-a1c8-022cd6b17419</t>
  </si>
  <si>
    <t>OAI</t>
  </si>
  <si>
    <t>Osteoarthritis progression analysis</t>
  </si>
  <si>
    <t>Clinical assessments and imaging data</t>
  </si>
  <si>
    <t>https://nda.nih.gov/oai</t>
  </si>
  <si>
    <t>Osteoarthritis Initiative (OAI)</t>
  </si>
  <si>
    <t>NIH (NDA)</t>
  </si>
  <si>
    <t>NAS: SKM-TEA</t>
  </si>
  <si>
    <t>SKM-TEA</t>
  </si>
  <si>
    <t>Reconstruction; Segmentation; Abnormality classification</t>
  </si>
  <si>
    <t>Segmentation of six tissues and bounding boxes for 16 pathologies</t>
  </si>
  <si>
    <t>DICOM; raw k-space</t>
  </si>
  <si>
    <t>https://github.com/StanfordMIMI/skm-tea</t>
  </si>
  <si>
    <t>SKM-TEA dataset</t>
  </si>
  <si>
    <t>Stanford MIMI</t>
  </si>
  <si>
    <t>NAS: XRay-HipJoints.zip</t>
  </si>
  <si>
    <t>X-ray images of the hip joints</t>
  </si>
  <si>
    <t>Segmentation masks (ilium, femur)</t>
  </si>
  <si>
    <t>https://data.mendeley.com/datasets/zm6bxzhmfz/1</t>
  </si>
  <si>
    <t>NAS: CT-ORG</t>
  </si>
  <si>
    <t>CT-ORG</t>
  </si>
  <si>
    <t>Whole Body</t>
  </si>
  <si>
    <t>Train: 119 Test: 21</t>
  </si>
  <si>
    <t>https://github.com/bbrister/ctOrganSegmentation</t>
  </si>
  <si>
    <t>https://www.nature.com/articles/s41597-020-00715-8</t>
  </si>
  <si>
    <t>https://wiki.cancerimagingarchive.net/pages/viewpage.action?pageId=61080890</t>
  </si>
  <si>
    <t>NAS: autoPET</t>
  </si>
  <si>
    <t>csv</t>
  </si>
  <si>
    <t>AutoPET</t>
  </si>
  <si>
    <t>400x400x200 to 512x512x743</t>
  </si>
  <si>
    <t>https://autopet.grand-challenge.org/, https://autopet-ii.grand-challenge.org</t>
  </si>
  <si>
    <t>https://www.nature.com/articles/s41597-022-01718-3, https://www.researchsquare.com/article/rs-2572595/v1</t>
  </si>
  <si>
    <t>https://wiki.cancerimagingarchive.net/pages/viewpage.action?pageId=93258287</t>
  </si>
  <si>
    <t>NAS: TotalSegmentator</t>
  </si>
  <si>
    <t>47x48x29 to 499x430x851</t>
  </si>
  <si>
    <t>https://github.com/wasserth/TotalSegmentator</t>
  </si>
  <si>
    <t>https://pubs.rsna.org/doi/10.1148/ryai.230024</t>
  </si>
  <si>
    <t>https://zenodo.org/record/6802614</t>
  </si>
  <si>
    <t>NAS: NAFLD.zip</t>
  </si>
  <si>
    <t>Mouse</t>
  </si>
  <si>
    <t>NAFLD</t>
  </si>
  <si>
    <t>https://osf.io/gqutd/</t>
  </si>
  <si>
    <t>https://www.sciencedirect.com/science/article/pii/S1361841523003274</t>
  </si>
  <si>
    <t>TotalSegmentator V2</t>
  </si>
  <si>
    <t>47x48x29 to 499x467x851</t>
  </si>
  <si>
    <t>https://zenodo.org/records/14710732</t>
  </si>
  <si>
    <t>NAS: 3DLowerLimb</t>
  </si>
  <si>
    <t>3D Lower Limb Musculoskeletal Geometry</t>
  </si>
  <si>
    <t>DICOM, TIFF</t>
  </si>
  <si>
    <t>https://www.nature.com/articles/s41597-022-01905-2</t>
  </si>
  <si>
    <t>https://digitalcommons.du.edu/visiblehuman/</t>
  </si>
  <si>
    <t>NAS: MedFM</t>
  </si>
  <si>
    <t>MedFM</t>
  </si>
  <si>
    <t>X-ray, Pathology, Endoscopy, Digital camera, Fundus imaging</t>
  </si>
  <si>
    <t>567x567 to 2953x2965</t>
  </si>
  <si>
    <t>https://medfm2023.grand-challenge.org</t>
  </si>
  <si>
    <t>https://www.nature.com/articles/s41597-023-02460-0</t>
  </si>
  <si>
    <t>OpenDataLab</t>
  </si>
  <si>
    <t>https://opendatalab.com/OpenDataLab/MedFMC</t>
  </si>
  <si>
    <t>Faster: ULS23</t>
  </si>
  <si>
    <t>ULS</t>
  </si>
  <si>
    <t>Train: 1014 Test: 200</t>
  </si>
  <si>
    <t>https://uls23.grand-challenge.org/</t>
  </si>
  <si>
    <t>https://uls23.grand-challenge.org/datasets/</t>
  </si>
  <si>
    <t>TotalSegmentator MRI</t>
  </si>
  <si>
    <t>11x12x5 to 1092x896x1138</t>
  </si>
  <si>
    <t>https://arxiv.org/pdf/2405.19492</t>
  </si>
  <si>
    <t>MICCAI2024-AutoPETIII</t>
  </si>
  <si>
    <t>168x168x164 to 400x400x963</t>
  </si>
  <si>
    <t>Germay</t>
  </si>
  <si>
    <t>https://autopet-iii.grand-challenge.org/task/</t>
  </si>
  <si>
    <t>https://www.nature.com/articles/s41597-022-01718-3</t>
  </si>
  <si>
    <t>https://autopet-iii.grand-challenge.org/dataset/</t>
  </si>
  <si>
    <t>CALGB50303</t>
  </si>
  <si>
    <t>Lymph Nodes</t>
  </si>
  <si>
    <t>CT; PET</t>
  </si>
  <si>
    <t>Clinical trial imaging</t>
  </si>
  <si>
    <t>https://www.cancerimagingarchive.net/collection/calgb50303</t>
  </si>
  <si>
    <t>NAS: CAMELYON</t>
  </si>
  <si>
    <t>CAMELYON16</t>
  </si>
  <si>
    <t>Metastasis detection</t>
  </si>
  <si>
    <t>Contour annotations and binary masks</t>
  </si>
  <si>
    <t>WSI (TIFF); XML masks</t>
  </si>
  <si>
    <t>https://camelyon16.grand-challenge.org</t>
  </si>
  <si>
    <t>CAMELYON17</t>
  </si>
  <si>
    <t>Metastasis detection; Patient-level classification</t>
  </si>
  <si>
    <t>Lesion-level and patient-level annotations</t>
  </si>
  <si>
    <t>https://camelyon17.grand-challenge.org</t>
  </si>
  <si>
    <t>https://registry.opendata.aws/camelyon/</t>
  </si>
  <si>
    <t>NAS: CTLymph</t>
  </si>
  <si>
    <t>CT Lymph nodes</t>
  </si>
  <si>
    <t>Lymph node detection and segmentation</t>
  </si>
  <si>
    <t>Lymph node positions and masks</t>
  </si>
  <si>
    <t>https://www.cancerimagingarchive.net/collection/ct-lymph-nodes</t>
  </si>
  <si>
    <t>NAS: LyNoS</t>
  </si>
  <si>
    <t>LyNoS</t>
  </si>
  <si>
    <t>Labels for lymph nodes and nearby structures</t>
  </si>
  <si>
    <t>https://huggingface.co/datasets/andreped/LyNoS</t>
  </si>
  <si>
    <t>NAS: MediastinalLymphNode</t>
  </si>
  <si>
    <t>Mediastinal-Lymph-Node-SEG</t>
  </si>
  <si>
    <t>CT, SEG</t>
  </si>
  <si>
    <t>Manual lymph node segmentations</t>
  </si>
  <si>
    <t>https://www.cancerimagingarchive.net/collection/mediastinal-lymph-node-seg</t>
  </si>
  <si>
    <t>NAS RIDERPILOT</t>
  </si>
  <si>
    <t>RIDER PILOT</t>
  </si>
  <si>
    <t>https://www.cancerimagingarchive.net/collection/rider-pilot/</t>
  </si>
  <si>
    <t>TMED-2</t>
  </si>
  <si>
    <t>https://tmed.cs.tufts.edu/tmed_v2.html</t>
  </si>
  <si>
    <t>NAS: VisibleHuman</t>
  </si>
  <si>
    <t>Visible Human Project</t>
  </si>
  <si>
    <t>https://www.nlm.nih.gov/research/visible/visible_human.html?_gl=1*1k3yi8r*_ga*MTc2MTEzODEzMi4xNzcxNDc5MDkz*_ga_7147EPK006*czE3NzE0NzkyMDAkbzEkZzEkdDE3NzE0NzkyNDMkajE3JGwwJGgw*_ga_P1FPTH9PL4*czE3NzE0NzkyMDAkbzEkZzEkdDE3NzE0NzkyNDMkajE3JGwwJGgw</t>
  </si>
  <si>
    <t>TB Portals</t>
  </si>
  <si>
    <t>https://tbportals.niaid.nih.gov</t>
  </si>
  <si>
    <t>NAS: BUID</t>
  </si>
  <si>
    <t>Breast Ultrasound Images Dataset</t>
  </si>
  <si>
    <t>https://www.kaggle.com/datasets/aryashah2k/breast-ultrasound-images-dataset</t>
  </si>
  <si>
    <t>Rows 2 - 111</t>
  </si>
  <si>
    <t>Rows 112 - 221</t>
  </si>
  <si>
    <t>Rows 222 - 331</t>
  </si>
  <si>
    <t>Rows 332 - 441</t>
  </si>
  <si>
    <t>Rows 442 - 551</t>
  </si>
  <si>
    <t>Rows 552 - 661</t>
  </si>
  <si>
    <t>Rows 662 - 827</t>
  </si>
  <si>
    <t>This sheet contains some example scripts to download data from different platforms</t>
  </si>
  <si>
    <t>Platform</t>
  </si>
  <si>
    <t>Prerequisite</t>
  </si>
  <si>
    <t>Command</t>
  </si>
  <si>
    <t>pip install gdown</t>
  </si>
  <si>
    <r>
      <rPr>
        <rFont val="Courier New"/>
      </rPr>
      <t>gdown --fuzzy '</t>
    </r>
    <r>
      <rPr>
        <rFont val="Courier New"/>
        <color rgb="FF1155CC"/>
        <u/>
      </rPr>
      <t>https://drive.google.com/file/d/xxxx</t>
    </r>
    <r>
      <rPr>
        <rFont val="Courier New"/>
      </rPr>
      <t>'</t>
    </r>
  </si>
  <si>
    <t>https://github.com/wkentaro/gdown</t>
  </si>
  <si>
    <r>
      <rPr>
        <rFont val="Courier New"/>
      </rPr>
      <t>gdown --folder '</t>
    </r>
    <r>
      <rPr>
        <rFont val="Courier New"/>
        <color rgb="FF1155CC"/>
        <u/>
      </rPr>
      <t>https://drive.google.com/drive/folders/xxxx</t>
    </r>
    <r>
      <rPr>
        <rFont val="Courier New"/>
      </rPr>
      <t>'</t>
    </r>
  </si>
  <si>
    <t>pip install kaggle</t>
  </si>
  <si>
    <t>kaggle competitions download xxxx</t>
  </si>
  <si>
    <t>kaggle datasets download xxxx</t>
  </si>
  <si>
    <t>https://www.kaggle.com/docs/api</t>
  </si>
  <si>
    <t>pip install zenodo_get</t>
  </si>
  <si>
    <t>zenodo_get -r xxxx</t>
  </si>
  <si>
    <t>https://github.com/dvolgyes/zenodo_get</t>
  </si>
  <si>
    <r>
      <rPr>
        <rFont val="Courier New"/>
      </rPr>
      <t xml:space="preserve">wget </t>
    </r>
    <r>
      <rPr>
        <rFont val="Courier New"/>
        <color rgb="FF1155CC"/>
        <u/>
      </rPr>
      <t>https://github.com/Azure/azure-storage-azcopy/releases/download/v10.30.1/azcopy_linux_amd64_10.30.1.tar.gz</t>
    </r>
  </si>
  <si>
    <t>azcopy copy url dir --recursive</t>
  </si>
  <si>
    <t>https://learn.microsoft.com/en-us/azure/storage/common/storage-use-azcopy-v10</t>
  </si>
  <si>
    <t>Others</t>
  </si>
  <si>
    <t>wget xxxx</t>
  </si>
  <si>
    <t>https://www.gnu.org/software/wget/manual/wget.html</t>
  </si>
  <si>
    <t>curl xxxx</t>
  </si>
  <si>
    <t>https://curl.se/docs/manpage.html</t>
  </si>
  <si>
    <t>TCIA (NBIA)</t>
  </si>
  <si>
    <t>pip install idc-index</t>
  </si>
  <si>
    <t>from idc_index import IDCClient; idc_client = IDCClient(); idc_client.download_from_selection(collection_id='prostate_3t', downloadDir='./prostate_3t')</t>
  </si>
  <si>
    <t>https://github.com/kirbyju/TCIA_Notebooks/blob/main/Accessing_TCIA_Public_DICOM_data_in_IDC.ipynb</t>
  </si>
  <si>
    <t>figshare</t>
  </si>
  <si>
    <t>wget https://api.figshare.com/v2/file/download/{id}</t>
  </si>
  <si>
    <t>Other useful commands</t>
  </si>
  <si>
    <t>Change directory permission to 755</t>
  </si>
  <si>
    <t>find dir -type d -exec chmod 755 {} \;</t>
  </si>
  <si>
    <t>Peek into zip file</t>
  </si>
  <si>
    <t>unzip -l foo.zip</t>
  </si>
  <si>
    <t>File (absolute path)</t>
  </si>
  <si>
    <t>/mnt/data-nas/medical_datasets/ACROBAT</t>
  </si>
  <si>
    <t>/mnt/data-nas/med_anant/Covid19-IP-Estimation</t>
  </si>
  <si>
    <t>/mnt/data-nas/med_anant/covid19-radiography-database.zip</t>
  </si>
  <si>
    <t>/mnt/data-nas/med_anant/covid19_ultrasound</t>
  </si>
  <si>
    <t>/mnt/data-nas/med_anant/COVID-BLUES</t>
  </si>
  <si>
    <t>/mnt/data-nas/med_anant/covid-chestxray-dataset</t>
  </si>
  <si>
    <t>/mnt/data-nas/med_anant/COVID-CT-MD</t>
  </si>
  <si>
    <t>/mnt/data-nas/med_anant/covidctset-a-large-covid19-ct-scans-dataset.zip</t>
  </si>
  <si>
    <t>/mnt/data-nas/med_anant/COVID19-CT</t>
  </si>
  <si>
    <t>/mnt/data-nas/med_anant/covidx-cxr2.zip</t>
  </si>
  <si>
    <t>/mnt/data-nas/med_anant/MSD/MSD/Task07_Pancreas.tar</t>
  </si>
  <si>
    <t>/mnt/data-nas/med_anant/MSD/MSD/Task08_HepaticVessel.tar</t>
  </si>
  <si>
    <t>/mnt/data-nas/med_anant/MSD/MSD/Task09_Spleen.tar</t>
  </si>
  <si>
    <t>/mnt/data-nas/med_anant/MSD/MSD/Task10_Colon.tar</t>
  </si>
  <si>
    <t>/mnt/data-nas/med_anant/MSD/MSD/Task05_Prostate.tar</t>
  </si>
  <si>
    <t>/mnt/data-nas/med_anant/empire10</t>
  </si>
  <si>
    <t>/mnt/data-nas/med_anant/chest-xrays-indiana-university.zip</t>
  </si>
  <si>
    <t>/mnt/data-nas/med_anant/the-iqothnccd-lung-cancer-dataset.zip</t>
  </si>
  <si>
    <t>/mnt/data-nas/med_anant/MedSeg.zip</t>
  </si>
  <si>
    <t>/mnt/data-nas/med_anant/dataset_node21.zip</t>
  </si>
  <si>
    <t>/mnt/data-nas/med_anant/pulmonary-chest-xray-abnormalities.zip</t>
  </si>
  <si>
    <t>/mnt/data-nas/med_anant/shcxr-lung-mask.zip</t>
  </si>
  <si>
    <t>/mnt/data-nas/med_anant/SIMBA</t>
  </si>
  <si>
    <t>/mnt/data-nas/med_anant/I-ELCAP</t>
  </si>
  <si>
    <t>/mnt/data-nas/med_anant/ddti-thyroid-ultrasound-images.zip</t>
  </si>
  <si>
    <t>/mnt/data-nas/med_anant/PDDCA</t>
  </si>
  <si>
    <t>/mnt/data-nas/med_anant/MSD/MSD/Task01_BrainTumour.tar</t>
  </si>
  <si>
    <t>/mnt/data-nas/med_anant/MSD/MSD/Task04_Hippocampus.tar</t>
  </si>
  <si>
    <t>/mnt/data-nas/med_anant/head-ct-hemorrhage.zip</t>
  </si>
  <si>
    <t>/mnt/data-nas/med_anant/OSCC</t>
  </si>
  <si>
    <t>/mnt/data-nas/med_anant/BraTS</t>
  </si>
  <si>
    <t>/mnt/data-nas/med_anant/FeTA2024</t>
  </si>
  <si>
    <t>/mnt/data-nas/med_anant/isles2022</t>
  </si>
  <si>
    <t>/mnt/data-nas/med_anant/Thyroid_Dataset.zip</t>
  </si>
  <si>
    <t>/mnt/data-nas/med_anant/HaN-Seg.zip</t>
  </si>
  <si>
    <t>/mnt/data-nas/med_anant/crossMoDA</t>
  </si>
  <si>
    <t>/mnt/data-nas/med_anant/MMIS-2024</t>
  </si>
  <si>
    <t>/mnt/data-nas/med_anant/STARE</t>
  </si>
  <si>
    <t>/mnt/data-nas/med_anant/drive-digital-retinal-images-for-vessel-extraction.zip</t>
  </si>
  <si>
    <t>NAS: DLBS</t>
  </si>
  <si>
    <t>NAS: HCP</t>
  </si>
  <si>
    <t>NAS: MIRIAD</t>
  </si>
  <si>
    <t>NAS: /NeuAtlas</t>
  </si>
  <si>
    <t>NAS: conp/conp-dataset/projects/preventad-open</t>
  </si>
  <si>
    <t>NAS: PRIME-DE</t>
  </si>
  <si>
    <t>NAS: RSNA_BrainTumorRC</t>
  </si>
  <si>
    <t>NAS: SIMON/</t>
  </si>
  <si>
    <t>NAS: SinoCT/</t>
  </si>
  <si>
    <t>NAS: 3DTeethSeg22</t>
  </si>
  <si>
    <t>BTCV-Cervix</t>
  </si>
  <si>
    <t>EBHI-Seg.zip</t>
  </si>
  <si>
    <t>mridata</t>
  </si>
  <si>
    <t>NAS: amrgatlas.zip</t>
  </si>
  <si>
    <t>NAS: RIDERPILOT</t>
  </si>
  <si>
    <t>/mnt/data-nas/medical_datasets/Advanced-MRI-Breast-Lesions</t>
  </si>
  <si>
    <t>/mnt/data-nas/medical_datasets/Breast-MRI-NACT-Pilot</t>
  </si>
  <si>
    <t>/mnt/data-nas/medical_datasets/duke_breast_cancer_mri</t>
  </si>
  <si>
    <t>/mnt/data-nas/medical_datasets/ispy1_trial</t>
  </si>
  <si>
    <t>/mnt/data-nas/medical_datasets/ispy2_trial</t>
  </si>
  <si>
    <t>/mnt/data-nas/medical_datasets/QIN-Breast</t>
  </si>
  <si>
    <t>/mnt/data-nas/medical_datasets/QIN-Breast-02</t>
  </si>
  <si>
    <t>/mnt/data-nas/medical_datasets/RIDER_Breast_MRI</t>
  </si>
  <si>
    <t>/mnt/data-nas/med_anant/Br35H</t>
  </si>
  <si>
    <t>/mnt/data-nas/medical_datasets/3D-MR-MS/</t>
  </si>
  <si>
    <t>/mnt/data-nas/medical_datasets/Diffusion_MRI/</t>
  </si>
  <si>
    <t>/mnt/data-nas/medical_datasets/7-Tesla/</t>
  </si>
  <si>
    <t>/mnt/data-nas/medical_datasets/ABIDE/</t>
  </si>
  <si>
    <t>/mnt/data-nas/medical_datasets/ACPI_DU_LaBar/</t>
  </si>
  <si>
    <t>/mnt/data-nas/medical_datasets/ACPI_MTA/</t>
  </si>
  <si>
    <t>/mnt/data-nas/medical_datasets/ACPI_NYU/</t>
  </si>
  <si>
    <t>/mnt/data-nas/medical_datasets/ADHD-200/</t>
  </si>
  <si>
    <t>/mnt/data-nas/medical_datasets/ATLAS/</t>
  </si>
  <si>
    <t>/mnt/data-nas/medical_datasets/BONBID-HIE2023/</t>
  </si>
  <si>
    <t>/mnt/data-nas/medical_datasets/BONBID-HIE2024/</t>
  </si>
  <si>
    <t>/mnt/data-nas/medical_datasets/BR35H/</t>
  </si>
  <si>
    <t>/mnt/data-nas/medical_datasets/BTC/</t>
  </si>
  <si>
    <t>/mnt/data-nas/medical_datasets/brain_tumor/</t>
  </si>
  <si>
    <t>/mnt/data-nas/medical_datasets/BrainMetShare/</t>
  </si>
  <si>
    <t>/mnt/data-nas/medical_datasets/BRAINS/</t>
  </si>
  <si>
    <t>/mnt/data-nas/medical_datasets/BRATS2023/</t>
  </si>
  <si>
    <t>/mnt/data-nas/medical_datasets/BRATS2024/</t>
  </si>
  <si>
    <t>/mnt/data-nas/medical_datasets/Calgary/</t>
  </si>
  <si>
    <t>/mnt/data-nas/medical_datasets/CAUSE07/</t>
  </si>
  <si>
    <t>/mnt/data-nas/medical_datasets/ds174_R1.0.0_all_data.tgz</t>
  </si>
  <si>
    <t>/mnt/data-nas/medical_datasets/CoRR/</t>
  </si>
  <si>
    <t>/mnt/data-nas/medical_datasets/crossMoDA2022/</t>
  </si>
  <si>
    <t>/mnt/data-nas/medical_datasets/DFCI/</t>
  </si>
  <si>
    <t>/mnt/data-nas/medical_datasets/EPISURG</t>
  </si>
  <si>
    <t>/mnt/data-nas/medical_datasets/synapse</t>
  </si>
  <si>
    <t>/mnt/data-nas/medical_datasets/FIND_Lab</t>
  </si>
  <si>
    <t>/mnt/data-nas/medical_datasets/shared_data.zip</t>
  </si>
  <si>
    <t>/mnt/data-nas/medical_datasets/HARDI2013</t>
  </si>
  <si>
    <t>/mnt/data-nas/medical_datasets/HCP</t>
  </si>
  <si>
    <t>/mnt/data-nas/medical_datasets/MSD</t>
  </si>
  <si>
    <t>/mnt/data-nas/medical_datasets/HNU</t>
  </si>
  <si>
    <t>/mnt/data-nas/medical_datasets/Hypo-Seg</t>
  </si>
  <si>
    <t>/mnt/data-nas/medical_datasets/IBSR</t>
  </si>
  <si>
    <t>/mnt/data-nas/medical_datasets/M4Raw.zip</t>
  </si>
  <si>
    <t>/mnt/data-nas/medical_datasets/Mindboggle</t>
  </si>
  <si>
    <t>/mnt/data-nas/medical_datasets/MIRIAD</t>
  </si>
  <si>
    <t>/mnt/data-nas/medical_datasets/MNI-HiSUB25</t>
  </si>
  <si>
    <t>/mnt/data-nas/medical_datasets/MRBrainS18.zip</t>
  </si>
  <si>
    <t>/mnt/data-nas/medical_datasets/mri-and-alzheimers.zip</t>
  </si>
  <si>
    <t>/mnt/data-nas/medical_datasets/MSSeg/msseg2008</t>
  </si>
  <si>
    <t>/mnt/data-nas/medical_datasets/MSSeg/msseg2016</t>
  </si>
  <si>
    <t>/mnt/data-nas/medical_datasets/multishell_diffu_MRI</t>
  </si>
  <si>
    <t>/mnt/data-nas/medical_datasets/MMCP</t>
  </si>
  <si>
    <t>/mnt/data-nas/medical_datasets/Narratives</t>
  </si>
  <si>
    <t>/mnt/data-nas/medical_datasets//NeuAtlas</t>
  </si>
  <si>
    <t>/mnt/data-nas/medical_datasets/Parkinson</t>
  </si>
  <si>
    <t>/mnt/data-nas/medical_datasets/Prenatal_brain</t>
  </si>
  <si>
    <t>/mnt/data-nas/medical_datasets/conp/conp-dataset/projects/preventad-open</t>
  </si>
  <si>
    <t>/mnt/data-nas/medical_datasets/PRIME-DE</t>
  </si>
  <si>
    <t>/mnt/data-nas/medical_datasets/realnoiseMRI</t>
  </si>
  <si>
    <t>/mnt/data-nas/medical_datasets/RSNA_BrainTumorRC</t>
  </si>
  <si>
    <t>/mnt/data-nas/medical_datasets/SALD</t>
  </si>
  <si>
    <t>/mnt/data-nas/medical_datasets/SIMON/</t>
  </si>
  <si>
    <t>/mnt/data-nas/medical_datasets/SLIM</t>
  </si>
  <si>
    <t>/mnt/data-nas/medical_datasets/T1w/</t>
  </si>
  <si>
    <t>/mnt/data-nas/medical_datasets/TrackRAD/</t>
  </si>
  <si>
    <t>/mnt/data-nas/medical_datasets/UNAMH</t>
  </si>
  <si>
    <t>/mnt/data-nas/medical_datasets/UPenn-GBM/</t>
  </si>
  <si>
    <t>/mnt/data-nas/medical_datasets/VALDO/</t>
  </si>
  <si>
    <t>/mnt/data-nas/medical_datasets/WayneState</t>
  </si>
  <si>
    <t>/mnt/data-nas/medical_datasets/Yale/highres</t>
  </si>
  <si>
    <t>/mnt/data-nas/medical_datasets/Yale/lowres</t>
  </si>
  <si>
    <t>/mnt/data-nas/medical_datasets/Yale/test_retest</t>
  </si>
  <si>
    <t>/mnt/data-nas/medical_datasets/VSSEG</t>
  </si>
  <si>
    <t>/mnt/data-nas/medical_datasets/ANT</t>
  </si>
  <si>
    <t>/mnt/data-nas/medical_datasets/CEREBRuM</t>
  </si>
  <si>
    <t>/mnt/data-nas/medical_datasets/CSMLP</t>
  </si>
  <si>
    <t>/mnt/data-nas/medical_datasets/HVSPCD</t>
  </si>
  <si>
    <t>/mnt/data-nas/medical_datasets/LNAP</t>
  </si>
  <si>
    <t>/mnt/data-nas/medical_datasets/Maclaren</t>
  </si>
  <si>
    <t>/mnt/data-nas/medical_datasets/MPILMBB</t>
  </si>
  <si>
    <t>/mnt/data-nas/medical_datasets/MSC</t>
  </si>
  <si>
    <t>/mnt/data-nas/medical_datasets/SCA2</t>
  </si>
  <si>
    <t>/mnt/data-nas/medical_datasets/PROMISE12.zip</t>
  </si>
  <si>
    <t>/mnt/data-nas/medical_datasets/QIN-PROSTATE-Repeatability</t>
  </si>
  <si>
    <t>/mnt/data-nas/medical_datasets/uw-madison-gi-tract-image-segmentation</t>
  </si>
  <si>
    <t>/mnt/data-nas/medical_datasets/PI-CAI</t>
  </si>
  <si>
    <t>/mnt/data-nas/medical_datasets/SPPIN.zip</t>
  </si>
  <si>
    <t>/mnt/data-nas/medical_datasets/atlas-train-dataset-1.0.1.zip</t>
  </si>
  <si>
    <t>/mnt/data-nas/medical_datasets/Processed_data_nii.zip</t>
  </si>
  <si>
    <t>/mnt/data-nas/medical_datasets/ISBI-MR-Prostate-2013</t>
  </si>
  <si>
    <t>/mnt/data-nas/medical_datasets/Prostate-3T</t>
  </si>
  <si>
    <t>/mnt/data-nas/medical_datasets/PROSTATE-DIAGNOSIS</t>
  </si>
  <si>
    <t>/mnt/data-nas/medical_datasets/PROSTATEx</t>
  </si>
  <si>
    <t>/mnt/data-nas/medical_datasets/ThoraxCBCT.zip</t>
  </si>
  <si>
    <t>/mnt/data-nas/medical_datasets/mridata</t>
  </si>
  <si>
    <t>/mnt/data-nas/medical_datasets/Mouse-Astrocytoma</t>
  </si>
  <si>
    <t>/mnt/data-nas/medical_datasets/mouse-brain-atlas</t>
  </si>
  <si>
    <t>/mnt/data-nas/medical_datasets/Mouse-Mammary</t>
  </si>
  <si>
    <t>/mnt/data-nas/medical_datasets/HVSMR.zip</t>
  </si>
  <si>
    <t>/mnt/data-nas/medical_datasets/ACDC.zip</t>
  </si>
  <si>
    <t>/mnt/data-nas/medical_datasets/MAndMs.zip</t>
  </si>
  <si>
    <t>/mnt/data-nas/medical_datasets/EMIDEC</t>
  </si>
  <si>
    <t>/mnt/data-nas/medical_datasets/CMRxMotion</t>
  </si>
  <si>
    <t>/mnt/data-nas/medical_datasets/amrgatlas.zip</t>
  </si>
  <si>
    <t>/mnt/data-nas/medical_datasets/AtriaSegmentation.zip</t>
  </si>
  <si>
    <t>/mnt/data-nas/medical_datasets/CDEMRIS</t>
  </si>
  <si>
    <t>/mnt/data-nas/medical_datasets/LASC13</t>
  </si>
  <si>
    <t>/mnt/data-nas/medical_datasets/LivScar</t>
  </si>
  <si>
    <t>/mnt/data-nas/medical_datasets/MnM2.rar</t>
  </si>
  <si>
    <t>/mnt/data-nas/medical_datasets/RadFusion</t>
  </si>
  <si>
    <t>/mnt/data-nas/medical_datasets/SCD</t>
  </si>
  <si>
    <t>/mnt/data-nas/medical_datasets/SADSB</t>
  </si>
  <si>
    <t>/mnt/data-nas/medical_datasets/SLAWT</t>
  </si>
  <si>
    <t>/mnt/data-nas/medical_datasets/LumbosacralSpineMRI</t>
  </si>
  <si>
    <t>/mnt/data-nas/medical_datasets/kneemridataset.zip</t>
  </si>
  <si>
    <t>/mnt/data-nas/medical_datasets/MRNet.zip</t>
  </si>
  <si>
    <t>/mnt/data-nas/medical_datasets/SKM-TEA</t>
  </si>
  <si>
    <t>/mnt/data-nas/medical_datasets/TotalSegmentator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</si>
</sst>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5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color rgb="FF000000"/>
      <name val="Arial"/>
      <scheme val="minor"/>
    </font>
    <font>
      <color rgb="FF000000"/>
      <name val="-apple-system"/>
    </font>
    <font>
      <color rgb="FF000000"/>
      <name val="Arial"/>
    </font>
    <font>
      <u/>
      <color rgb="FF000000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sz val="9.0"/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00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color theme="1"/>
      <name val="Courier New"/>
    </font>
    <font>
      <u/>
      <color rgb="FF0000FF"/>
      <name val="Courier New"/>
    </font>
    <font>
      <color rgb="FF212529"/>
      <name val="-apple-system"/>
    </font>
    <font>
      <color rgb="FFFF0000"/>
      <name val="Arial"/>
    </font>
    <font>
      <color rgb="FFFF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2" fontId="5" numFmtId="0" xfId="0" applyFill="1" applyFont="1"/>
    <xf borderId="0" fillId="2" fontId="5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0" fillId="2" fontId="7" numFmtId="0" xfId="0" applyAlignment="1" applyFont="1">
      <alignment readingOrder="0" vertical="bottom"/>
    </xf>
    <xf borderId="0" fillId="2" fontId="8" numFmtId="0" xfId="0" applyAlignment="1" applyFon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2" fontId="3" numFmtId="0" xfId="0" applyAlignment="1" applyFont="1">
      <alignment readingOrder="0" vertical="bottom"/>
    </xf>
    <xf borderId="0" fillId="2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3" numFmtId="0" xfId="0" applyAlignment="1" applyFont="1">
      <alignment vertical="bottom"/>
    </xf>
    <xf borderId="0" fillId="3" fontId="2" numFmtId="0" xfId="0" applyFill="1" applyFont="1"/>
    <xf borderId="0" fillId="3" fontId="2" numFmtId="0" xfId="0" applyAlignment="1" applyFont="1">
      <alignment readingOrder="0"/>
    </xf>
    <xf borderId="0" fillId="3" fontId="3" numFmtId="0" xfId="0" applyAlignment="1" applyFont="1">
      <alignment readingOrder="0" vertical="bottom"/>
    </xf>
    <xf borderId="0" fillId="3" fontId="11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2" numFmtId="0" xfId="0" applyFill="1" applyFont="1"/>
    <xf borderId="0" fillId="4" fontId="2" numFmtId="0" xfId="0" applyAlignment="1" applyFont="1">
      <alignment readingOrder="0"/>
    </xf>
    <xf borderId="0" fillId="4" fontId="3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4" fontId="2" numFmtId="0" xfId="0" applyAlignment="1" applyFont="1">
      <alignment readingOrder="0"/>
    </xf>
    <xf borderId="0" fillId="4" fontId="12" numFmtId="0" xfId="0" applyAlignment="1" applyFont="1">
      <alignment readingOrder="0"/>
    </xf>
    <xf borderId="0" fillId="4" fontId="13" numFmtId="0" xfId="0" applyAlignment="1" applyFont="1">
      <alignment readingOrder="0"/>
    </xf>
    <xf borderId="0" fillId="4" fontId="3" numFmtId="0" xfId="0" applyAlignment="1" applyFont="1">
      <alignment horizontal="right" vertical="bottom"/>
    </xf>
    <xf borderId="0" fillId="4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right" vertical="bottom"/>
    </xf>
    <xf borderId="0" fillId="2" fontId="17" numFmtId="0" xfId="0" applyAlignment="1" applyFont="1">
      <alignment vertical="bottom"/>
    </xf>
    <xf borderId="0" fillId="5" fontId="2" numFmtId="0" xfId="0" applyFill="1" applyFont="1"/>
    <xf borderId="0" fillId="5" fontId="2" numFmtId="0" xfId="0" applyAlignment="1" applyFont="1">
      <alignment readingOrder="0"/>
    </xf>
    <xf borderId="0" fillId="5" fontId="18" numFmtId="0" xfId="0" applyAlignment="1" applyFont="1">
      <alignment readingOrder="0"/>
    </xf>
    <xf borderId="0" fillId="2" fontId="2" numFmtId="3" xfId="0" applyAlignment="1" applyFont="1" applyNumberFormat="1">
      <alignment readingOrder="0"/>
    </xf>
    <xf borderId="0" fillId="5" fontId="2" numFmtId="3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3" fontId="19" numFmtId="0" xfId="0" applyAlignment="1" applyFont="1">
      <alignment readingOrder="0"/>
    </xf>
    <xf borderId="0" fillId="6" fontId="2" numFmtId="0" xfId="0" applyFill="1" applyFont="1"/>
    <xf borderId="0" fillId="6" fontId="2" numFmtId="0" xfId="0" applyAlignment="1" applyFont="1">
      <alignment readingOrder="0"/>
    </xf>
    <xf borderId="0" fillId="6" fontId="20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5" fontId="21" numFmtId="0" xfId="0" applyAlignment="1" applyFont="1">
      <alignment readingOrder="0"/>
    </xf>
    <xf borderId="0" fillId="3" fontId="3" numFmtId="0" xfId="0" applyAlignment="1" applyFont="1">
      <alignment vertical="bottom"/>
    </xf>
    <xf borderId="0" fillId="3" fontId="22" numFmtId="0" xfId="0" applyAlignment="1" applyFont="1">
      <alignment vertical="bottom"/>
    </xf>
    <xf borderId="0" fillId="3" fontId="3" numFmtId="0" xfId="0" applyAlignment="1" applyFont="1">
      <alignment horizontal="right" vertical="bottom"/>
    </xf>
    <xf borderId="0" fillId="5" fontId="3" numFmtId="0" xfId="0" applyAlignment="1" applyFont="1">
      <alignment readingOrder="0" vertical="bottom"/>
    </xf>
    <xf borderId="0" fillId="5" fontId="3" numFmtId="0" xfId="0" applyAlignment="1" applyFont="1">
      <alignment vertical="bottom"/>
    </xf>
    <xf borderId="0" fillId="5" fontId="23" numFmtId="0" xfId="0" applyAlignment="1" applyFont="1">
      <alignment vertical="bottom"/>
    </xf>
    <xf borderId="0" fillId="5" fontId="3" numFmtId="0" xfId="0" applyAlignment="1" applyFont="1">
      <alignment horizontal="right" vertical="bottom"/>
    </xf>
    <xf borderId="0" fillId="5" fontId="3" numFmtId="0" xfId="0" applyAlignment="1" applyFont="1">
      <alignment horizontal="right" readingOrder="0" vertical="bottom"/>
    </xf>
    <xf borderId="0" fillId="5" fontId="24" numFmtId="0" xfId="0" applyAlignment="1" applyFont="1">
      <alignment readingOrder="0" vertical="bottom"/>
    </xf>
    <xf borderId="0" fillId="4" fontId="5" numFmtId="0" xfId="0" applyAlignment="1" applyFont="1">
      <alignment readingOrder="0"/>
    </xf>
    <xf borderId="0" fillId="4" fontId="3" numFmtId="0" xfId="0" applyAlignment="1" applyFont="1">
      <alignment horizontal="right" readingOrder="0" vertical="bottom"/>
    </xf>
    <xf borderId="0" fillId="4" fontId="25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26" numFmtId="0" xfId="0" applyAlignment="1" applyFont="1">
      <alignment readingOrder="0" vertical="bottom"/>
    </xf>
    <xf borderId="0" fillId="5" fontId="27" numFmtId="0" xfId="0" applyAlignment="1" applyFont="1">
      <alignment readingOrder="0" vertical="bottom"/>
    </xf>
    <xf borderId="0" fillId="0" fontId="28" numFmtId="0" xfId="0" applyAlignment="1" applyFont="1">
      <alignment readingOrder="0" vertical="bottom"/>
    </xf>
    <xf borderId="0" fillId="4" fontId="3" numFmtId="0" xfId="0" applyAlignment="1" applyFont="1">
      <alignment horizontal="center" vertical="bottom"/>
    </xf>
    <xf borderId="0" fillId="4" fontId="29" numFmtId="0" xfId="0" applyAlignment="1" applyFont="1">
      <alignment readingOrder="0" vertical="bottom"/>
    </xf>
    <xf borderId="0" fillId="3" fontId="3" numFmtId="0" xfId="0" applyAlignment="1" applyFont="1">
      <alignment horizontal="right" readingOrder="0" vertical="bottom"/>
    </xf>
    <xf borderId="0" fillId="3" fontId="30" numFmtId="0" xfId="0" applyAlignment="1" applyFont="1">
      <alignment readingOrder="0" vertical="bottom"/>
    </xf>
    <xf borderId="0" fillId="2" fontId="31" numFmtId="0" xfId="0" applyAlignment="1" applyFont="1">
      <alignment readingOrder="0" vertical="bottom"/>
    </xf>
    <xf borderId="0" fillId="7" fontId="3" numFmtId="0" xfId="0" applyAlignment="1" applyFill="1" applyFont="1">
      <alignment vertical="bottom"/>
    </xf>
    <xf borderId="0" fillId="7" fontId="2" numFmtId="0" xfId="0" applyFont="1"/>
    <xf borderId="0" fillId="7" fontId="3" numFmtId="0" xfId="0" applyAlignment="1" applyFont="1">
      <alignment readingOrder="0" vertical="bottom"/>
    </xf>
    <xf borderId="0" fillId="7" fontId="2" numFmtId="0" xfId="0" applyAlignment="1" applyFont="1">
      <alignment readingOrder="0"/>
    </xf>
    <xf borderId="0" fillId="7" fontId="3" numFmtId="0" xfId="0" applyAlignment="1" applyFont="1">
      <alignment horizontal="right" vertical="bottom"/>
    </xf>
    <xf borderId="0" fillId="7" fontId="32" numFmtId="0" xfId="0" applyAlignment="1" applyFont="1">
      <alignment vertical="bottom"/>
    </xf>
    <xf borderId="0" fillId="2" fontId="3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vertical="bottom"/>
    </xf>
    <xf borderId="0" fillId="3" fontId="34" numFmtId="0" xfId="0" applyAlignment="1" applyFont="1">
      <alignment vertical="bottom"/>
    </xf>
    <xf borderId="0" fillId="8" fontId="2" numFmtId="0" xfId="0" applyAlignment="1" applyFill="1" applyFont="1">
      <alignment readingOrder="0"/>
    </xf>
    <xf borderId="0" fillId="8" fontId="3" numFmtId="0" xfId="0" applyAlignment="1" applyFont="1">
      <alignment readingOrder="0" vertical="bottom"/>
    </xf>
    <xf borderId="0" fillId="8" fontId="2" numFmtId="0" xfId="0" applyFont="1"/>
    <xf borderId="0" fillId="8" fontId="3" numFmtId="0" xfId="0" applyAlignment="1" applyFont="1">
      <alignment vertical="bottom"/>
    </xf>
    <xf borderId="0" fillId="8" fontId="3" numFmtId="0" xfId="0" applyAlignment="1" applyFont="1">
      <alignment horizontal="right" vertical="bottom"/>
    </xf>
    <xf borderId="0" fillId="8" fontId="35" numFmtId="0" xfId="0" applyAlignment="1" applyFont="1">
      <alignment vertical="bottom"/>
    </xf>
    <xf borderId="0" fillId="8" fontId="36" numFmtId="0" xfId="0" applyAlignment="1" applyFont="1">
      <alignment vertical="bottom"/>
    </xf>
    <xf borderId="0" fillId="8" fontId="37" numFmtId="0" xfId="0" applyAlignment="1" applyFont="1">
      <alignment readingOrder="0" vertical="bottom"/>
    </xf>
    <xf borderId="0" fillId="0" fontId="38" numFmtId="0" xfId="0" applyAlignment="1" applyFont="1">
      <alignment vertical="bottom"/>
    </xf>
    <xf borderId="0" fillId="4" fontId="39" numFmtId="0" xfId="0" applyAlignment="1" applyFont="1">
      <alignment vertical="bottom"/>
    </xf>
    <xf borderId="0" fillId="5" fontId="40" numFmtId="0" xfId="0" applyAlignment="1" applyFont="1">
      <alignment vertical="bottom"/>
    </xf>
    <xf borderId="0" fillId="2" fontId="41" numFmtId="0" xfId="0" applyAlignment="1" applyFont="1">
      <alignment vertical="bottom"/>
    </xf>
    <xf borderId="0" fillId="7" fontId="42" numFmtId="0" xfId="0" applyAlignment="1" applyFont="1">
      <alignment readingOrder="0"/>
    </xf>
    <xf borderId="0" fillId="7" fontId="43" numFmtId="0" xfId="0" applyAlignment="1" applyFont="1">
      <alignment vertical="bottom"/>
    </xf>
    <xf borderId="0" fillId="2" fontId="2" numFmtId="0" xfId="0" applyAlignment="1" applyFont="1">
      <alignment readingOrder="0"/>
    </xf>
    <xf borderId="0" fillId="0" fontId="44" numFmtId="0" xfId="0" applyAlignment="1" applyFont="1">
      <alignment readingOrder="0"/>
    </xf>
    <xf borderId="0" fillId="7" fontId="45" numFmtId="0" xfId="0" applyAlignment="1" applyFont="1">
      <alignment readingOrder="0"/>
    </xf>
    <xf borderId="0" fillId="4" fontId="2" numFmtId="0" xfId="0" applyFont="1"/>
    <xf borderId="0" fillId="2" fontId="46" numFmtId="0" xfId="0" applyAlignment="1" applyFont="1">
      <alignment readingOrder="0"/>
    </xf>
    <xf borderId="0" fillId="3" fontId="2" numFmtId="0" xfId="0" applyFont="1"/>
    <xf borderId="0" fillId="9" fontId="2" numFmtId="0" xfId="0" applyFill="1" applyFont="1"/>
    <xf borderId="0" fillId="9" fontId="3" numFmtId="0" xfId="0" applyAlignment="1" applyFont="1">
      <alignment readingOrder="0" vertical="bottom"/>
    </xf>
    <xf borderId="0" fillId="9" fontId="2" numFmtId="0" xfId="0" applyAlignment="1" applyFont="1">
      <alignment readingOrder="0"/>
    </xf>
    <xf borderId="0" fillId="9" fontId="47" numFmtId="0" xfId="0" applyAlignment="1" applyFont="1">
      <alignment readingOrder="0"/>
    </xf>
    <xf borderId="0" fillId="10" fontId="2" numFmtId="0" xfId="0" applyFill="1" applyFont="1"/>
    <xf borderId="0" fillId="10" fontId="3" numFmtId="0" xfId="0" applyAlignment="1" applyFont="1">
      <alignment readingOrder="0" vertical="bottom"/>
    </xf>
    <xf borderId="0" fillId="10" fontId="2" numFmtId="0" xfId="0" applyAlignment="1" applyFont="1">
      <alignment readingOrder="0"/>
    </xf>
    <xf borderId="0" fillId="10" fontId="48" numFmtId="0" xfId="0" applyAlignment="1" applyFont="1">
      <alignment readingOrder="0"/>
    </xf>
    <xf borderId="0" fillId="4" fontId="5" numFmtId="0" xfId="0" applyFont="1"/>
    <xf borderId="0" fillId="4" fontId="7" numFmtId="0" xfId="0" applyAlignment="1" applyFont="1">
      <alignment vertical="bottom"/>
    </xf>
    <xf borderId="0" fillId="4" fontId="7" numFmtId="0" xfId="0" applyAlignment="1" applyFont="1">
      <alignment readingOrder="0" vertical="bottom"/>
    </xf>
    <xf borderId="0" fillId="4" fontId="49" numFmtId="0" xfId="0" applyAlignment="1" applyFont="1">
      <alignment readingOrder="0"/>
    </xf>
    <xf borderId="0" fillId="7" fontId="50" numFmtId="0" xfId="0" applyAlignment="1" applyFont="1">
      <alignment readingOrder="0" vertical="bottom"/>
    </xf>
    <xf borderId="0" fillId="5" fontId="2" numFmtId="0" xfId="0" applyAlignment="1" applyFont="1">
      <alignment readingOrder="0"/>
    </xf>
    <xf borderId="0" fillId="3" fontId="51" numFmtId="0" xfId="0" applyAlignment="1" applyFont="1">
      <alignment readingOrder="0" vertical="bottom"/>
    </xf>
    <xf borderId="0" fillId="3" fontId="52" numFmtId="0" xfId="0" applyAlignment="1" applyFont="1">
      <alignment readingOrder="0" vertical="bottom"/>
    </xf>
    <xf borderId="0" fillId="2" fontId="3" numFmtId="0" xfId="0" applyAlignment="1" applyFont="1">
      <alignment horizontal="right" readingOrder="0" vertical="bottom"/>
    </xf>
    <xf borderId="0" fillId="0" fontId="1" numFmtId="0" xfId="0" applyFont="1"/>
    <xf borderId="0" fillId="0" fontId="53" numFmtId="0" xfId="0" applyAlignment="1" applyFont="1">
      <alignment readingOrder="0"/>
    </xf>
    <xf borderId="0" fillId="0" fontId="54" numFmtId="0" xfId="0" applyAlignment="1" applyFont="1">
      <alignment readingOrder="0"/>
    </xf>
    <xf borderId="0" fillId="0" fontId="53" numFmtId="0" xfId="0" applyFont="1"/>
    <xf borderId="0" fillId="0" fontId="53" numFmtId="0" xfId="0" applyAlignment="1" applyFont="1">
      <alignment readingOrder="0"/>
    </xf>
    <xf borderId="0" fillId="11" fontId="55" numFmtId="0" xfId="0" applyAlignment="1" applyFill="1" applyFont="1">
      <alignment horizontal="left" readingOrder="0"/>
    </xf>
    <xf borderId="0" fillId="0" fontId="2" numFmtId="0" xfId="0" applyAlignment="1" applyFont="1">
      <alignment horizontal="left"/>
    </xf>
    <xf borderId="0" fillId="11" fontId="3" numFmtId="0" xfId="0" applyAlignment="1" applyFont="1">
      <alignment readingOrder="0" vertical="bottom"/>
    </xf>
    <xf borderId="0" fillId="11" fontId="7" numFmtId="0" xfId="0" applyAlignment="1" applyFont="1">
      <alignment readingOrder="0" vertical="bottom"/>
    </xf>
    <xf borderId="0" fillId="11" fontId="3" numFmtId="0" xfId="0" applyAlignment="1" applyFont="1">
      <alignment vertical="bottom"/>
    </xf>
    <xf borderId="0" fillId="11" fontId="2" numFmtId="0" xfId="0" applyAlignment="1" applyFont="1">
      <alignment readingOrder="0"/>
    </xf>
    <xf borderId="0" fillId="9" fontId="56" numFmtId="0" xfId="0" applyAlignment="1" applyFont="1">
      <alignment vertical="bottom"/>
    </xf>
    <xf borderId="0" fillId="9" fontId="57" numFmtId="0" xfId="0" applyAlignment="1" applyFont="1">
      <alignment readingOrder="0"/>
    </xf>
    <xf borderId="0" fillId="9" fontId="57" numFmtId="0" xfId="0" applyFont="1"/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vessel-wall-segmentation-2022.grand-challenge.org/" TargetMode="External"/><Relationship Id="rId391" Type="http://schemas.openxmlformats.org/officeDocument/2006/relationships/hyperlink" Target="https://vessel-wall-segmentation-2022.grand-challenge.org/" TargetMode="External"/><Relationship Id="rId390" Type="http://schemas.openxmlformats.org/officeDocument/2006/relationships/hyperlink" Target="https://www.kaggle.com/datasets/ahmedhamada0/brain-tumor-detection/data" TargetMode="External"/><Relationship Id="rId1" Type="http://schemas.openxmlformats.org/officeDocument/2006/relationships/hyperlink" Target="https://www.kaggle.com/datasets/nih-chest-xrays/data" TargetMode="External"/><Relationship Id="rId2" Type="http://schemas.openxmlformats.org/officeDocument/2006/relationships/hyperlink" Target="https://www.kaggle.com/api/v1/datasets/download/nih-chest-xrays/data" TargetMode="External"/><Relationship Id="rId3" Type="http://schemas.openxmlformats.org/officeDocument/2006/relationships/hyperlink" Target="https://physionet.org/content/mimic-cxr-jpg/2.1.0/" TargetMode="External"/><Relationship Id="rId4" Type="http://schemas.openxmlformats.org/officeDocument/2006/relationships/hyperlink" Target="https://stanfordaimi.azurewebsites.net/datasets/8cbd9ed4-2eb9-4565-affc-111cf4f7ebe2" TargetMode="External"/><Relationship Id="rId9" Type="http://schemas.openxmlformats.org/officeDocument/2006/relationships/hyperlink" Target="https://luna16.grand-challenge.org/Data/" TargetMode="External"/><Relationship Id="rId385" Type="http://schemas.openxmlformats.org/officeDocument/2006/relationships/hyperlink" Target="https://ieeexplore.ieee.org/abstract/document/9434087/" TargetMode="External"/><Relationship Id="rId384" Type="http://schemas.openxmlformats.org/officeDocument/2006/relationships/hyperlink" Target="https://github.com/haifangong/TRFE-Net-for-thyroid-nodule-segmentation" TargetMode="External"/><Relationship Id="rId383" Type="http://schemas.openxmlformats.org/officeDocument/2006/relationships/hyperlink" Target="https://osf.io/xctdy/" TargetMode="External"/><Relationship Id="rId382" Type="http://schemas.openxmlformats.org/officeDocument/2006/relationships/hyperlink" Target="https://github.com/DCBIA-OrthoLab/3DTeethSeg22_challenge" TargetMode="External"/><Relationship Id="rId5" Type="http://schemas.openxmlformats.org/officeDocument/2006/relationships/hyperlink" Target="https://bimcv.cipf.es/bimcv-projects/padchest/" TargetMode="External"/><Relationship Id="rId389" Type="http://schemas.openxmlformats.org/officeDocument/2006/relationships/hyperlink" Target="https://www.heywhale.com/mw/dataset/61d3e5682d30dc001701f728" TargetMode="External"/><Relationship Id="rId6" Type="http://schemas.openxmlformats.org/officeDocument/2006/relationships/hyperlink" Target="https://www.google.com/url?q=https://b2drop.bsc.es/index.php/s/BIMCV-PadChest-FULL&amp;sa=D&amp;source=editors&amp;ust=1763687993652391&amp;usg=AOvVaw3w_MUnPlpZ0XvzbogYd-mr" TargetMode="External"/><Relationship Id="rId388" Type="http://schemas.openxmlformats.org/officeDocument/2006/relationships/hyperlink" Target="https://www.kaggle.com/datasets/ahmedhamada0/brain-tumor-detection/data" TargetMode="External"/><Relationship Id="rId7" Type="http://schemas.openxmlformats.org/officeDocument/2006/relationships/hyperlink" Target="https://www.cancerimagingarchive.net/collection/lidc-idri/" TargetMode="External"/><Relationship Id="rId387" Type="http://schemas.openxmlformats.org/officeDocument/2006/relationships/hyperlink" Target="https://github.com/haifangong/TRFE-Net-for-thyroid-nodule-segmentation" TargetMode="External"/><Relationship Id="rId8" Type="http://schemas.openxmlformats.org/officeDocument/2006/relationships/hyperlink" Target="https://www.cancerimagingarchive.net/collection/lidc-idri/" TargetMode="External"/><Relationship Id="rId386" Type="http://schemas.openxmlformats.org/officeDocument/2006/relationships/hyperlink" Target="https://github.com/haifangong/TRFE-Net-for-thyroid-nodule-segmentation" TargetMode="External"/><Relationship Id="rId381" Type="http://schemas.openxmlformats.org/officeDocument/2006/relationships/hyperlink" Target="https://arxiv.org/pdf/2210.06094.pdf" TargetMode="External"/><Relationship Id="rId380" Type="http://schemas.openxmlformats.org/officeDocument/2006/relationships/hyperlink" Target="https://3dteethseg.grand-challenge.org" TargetMode="External"/><Relationship Id="rId379" Type="http://schemas.openxmlformats.org/officeDocument/2006/relationships/hyperlink" Target="https://curious2022.grand-challenge.org/data/" TargetMode="External"/><Relationship Id="rId374" Type="http://schemas.openxmlformats.org/officeDocument/2006/relationships/hyperlink" Target="https://www.nature.com/articles/s41597-022-01875-5" TargetMode="External"/><Relationship Id="rId373" Type="http://schemas.openxmlformats.org/officeDocument/2006/relationships/hyperlink" Target="https://isles22.grand-challenge.org/" TargetMode="External"/><Relationship Id="rId372" Type="http://schemas.openxmlformats.org/officeDocument/2006/relationships/hyperlink" Target="https://instance.grand-challenge.org/Dataset/" TargetMode="External"/><Relationship Id="rId371" Type="http://schemas.openxmlformats.org/officeDocument/2006/relationships/hyperlink" Target="https://instance.grand-challenge.org/" TargetMode="External"/><Relationship Id="rId378" Type="http://schemas.openxmlformats.org/officeDocument/2006/relationships/hyperlink" Target="https://curious2022.grand-challenge.org" TargetMode="External"/><Relationship Id="rId377" Type="http://schemas.openxmlformats.org/officeDocument/2006/relationships/hyperlink" Target="https://curious2022.grand-challenge.org" TargetMode="External"/><Relationship Id="rId376" Type="http://schemas.openxmlformats.org/officeDocument/2006/relationships/hyperlink" Target="https://zenodo.org/records/7960856" TargetMode="External"/><Relationship Id="rId375" Type="http://schemas.openxmlformats.org/officeDocument/2006/relationships/hyperlink" Target="https://isles22.grand-challenge.org/" TargetMode="External"/><Relationship Id="rId396" Type="http://schemas.openxmlformats.org/officeDocument/2006/relationships/hyperlink" Target="https://han-seg2023.grand-challenge.org/" TargetMode="External"/><Relationship Id="rId395" Type="http://schemas.openxmlformats.org/officeDocument/2006/relationships/hyperlink" Target="https://aapm.onlinelibrary.wiley.com/doi/10.1002/mp.16197" TargetMode="External"/><Relationship Id="rId394" Type="http://schemas.openxmlformats.org/officeDocument/2006/relationships/hyperlink" Target="https://han-seg2023.grand-challenge.org/" TargetMode="External"/><Relationship Id="rId393" Type="http://schemas.openxmlformats.org/officeDocument/2006/relationships/hyperlink" Target="https://vessel-wall-segmentation-2022.grand-challenge.org/" TargetMode="External"/><Relationship Id="rId399" Type="http://schemas.openxmlformats.org/officeDocument/2006/relationships/hyperlink" Target="https://ieeexplore.ieee.org/document/10816445" TargetMode="External"/><Relationship Id="rId398" Type="http://schemas.openxmlformats.org/officeDocument/2006/relationships/hyperlink" Target="https://toothfairy.grand-challenge.org/toothfairy/" TargetMode="External"/><Relationship Id="rId397" Type="http://schemas.openxmlformats.org/officeDocument/2006/relationships/hyperlink" Target="https://zenodo.org/record/7442914" TargetMode="External"/><Relationship Id="rId1730" Type="http://schemas.openxmlformats.org/officeDocument/2006/relationships/hyperlink" Target="https://arxiv.org/abs/2308.05864" TargetMode="External"/><Relationship Id="rId1731" Type="http://schemas.openxmlformats.org/officeDocument/2006/relationships/hyperlink" Target="https://neurips22-cellseg.grand-challenge.org/dataset/" TargetMode="External"/><Relationship Id="rId1732" Type="http://schemas.openxmlformats.org/officeDocument/2006/relationships/hyperlink" Target="https://www.bracs.icar.cnr.it/" TargetMode="External"/><Relationship Id="rId1733" Type="http://schemas.openxmlformats.org/officeDocument/2006/relationships/hyperlink" Target="https://academic.oup.com/database/article/doi/10.1093/database/baac093/6762252" TargetMode="External"/><Relationship Id="rId1734" Type="http://schemas.openxmlformats.org/officeDocument/2006/relationships/hyperlink" Target="https://www.bracs.icar.cnr.it/download/" TargetMode="External"/><Relationship Id="rId1735" Type="http://schemas.openxmlformats.org/officeDocument/2006/relationships/hyperlink" Target="https://bupt-ai-cz.github.io/BCI/" TargetMode="External"/><Relationship Id="rId1736" Type="http://schemas.openxmlformats.org/officeDocument/2006/relationships/hyperlink" Target="https://openaccess.thecvf.com/content/CVPR2022W/CVMI/html/Liu_BCI_Breast_Cancer_Immunohistochemical_Image_Generation_Through_Pyramid_Pix2pix_CVPRW_2022_paper.html" TargetMode="External"/><Relationship Id="rId1737" Type="http://schemas.openxmlformats.org/officeDocument/2006/relationships/hyperlink" Target="https://bupt-ai-cz.github.io/BCI/" TargetMode="External"/><Relationship Id="rId1738" Type="http://schemas.openxmlformats.org/officeDocument/2006/relationships/hyperlink" Target="https://github.com/DeepMicroscopy/MIDOGpp/tree/main" TargetMode="External"/><Relationship Id="rId1739" Type="http://schemas.openxmlformats.org/officeDocument/2006/relationships/hyperlink" Target="https://www.nature.com/articles/s41597-023-02327-4" TargetMode="External"/><Relationship Id="rId1720" Type="http://schemas.openxmlformats.org/officeDocument/2006/relationships/hyperlink" Target="https://wiki.cancerimagingarchive.net/pages/viewpage.action?pageId=101941770" TargetMode="External"/><Relationship Id="rId1721" Type="http://schemas.openxmlformats.org/officeDocument/2006/relationships/hyperlink" Target="https://ashpublications.org/blood/article/138/20/1917/477932/Highly-accurate-differentiation-of-bone-marrow" TargetMode="External"/><Relationship Id="rId1722" Type="http://schemas.openxmlformats.org/officeDocument/2006/relationships/hyperlink" Target="https://wiki.cancerimagingarchive.net/pages/viewpage.action?pageId=101941770" TargetMode="External"/><Relationship Id="rId1723" Type="http://schemas.openxmlformats.org/officeDocument/2006/relationships/hyperlink" Target="https://bupt-ai-cz.github.io/HSA-NRL/" TargetMode="External"/><Relationship Id="rId1724" Type="http://schemas.openxmlformats.org/officeDocument/2006/relationships/hyperlink" Target="https://ieeexplore.ieee.org/abstract/document/9600806" TargetMode="External"/><Relationship Id="rId1725" Type="http://schemas.openxmlformats.org/officeDocument/2006/relationships/hyperlink" Target="https://bupt-ai-cz.github.io/HSA-NRL/" TargetMode="External"/><Relationship Id="rId1726" Type="http://schemas.openxmlformats.org/officeDocument/2006/relationships/hyperlink" Target="https://conic-challenge.grand-challenge.org/" TargetMode="External"/><Relationship Id="rId1727" Type="http://schemas.openxmlformats.org/officeDocument/2006/relationships/hyperlink" Target="https://arxiv.org/pdf/2111.14485.pdf" TargetMode="External"/><Relationship Id="rId1728" Type="http://schemas.openxmlformats.org/officeDocument/2006/relationships/hyperlink" Target="https://conic-challenge.grand-challenge.org/Data/" TargetMode="External"/><Relationship Id="rId1729" Type="http://schemas.openxmlformats.org/officeDocument/2006/relationships/hyperlink" Target="https://neurips22-cellseg.grand-challenge.org/" TargetMode="External"/><Relationship Id="rId1752" Type="http://schemas.openxmlformats.org/officeDocument/2006/relationships/hyperlink" Target="https://stanfordmlgroup.github.io/competitions/mura/" TargetMode="External"/><Relationship Id="rId1753" Type="http://schemas.openxmlformats.org/officeDocument/2006/relationships/hyperlink" Target="https://arxiv.org/pdf/1712.06957" TargetMode="External"/><Relationship Id="rId1754" Type="http://schemas.openxmlformats.org/officeDocument/2006/relationships/hyperlink" Target="https://stanfordaimi.azurewebsites.net/datasets/3e00d84b-d86e-4fed-b2a4-bfe3effd661b" TargetMode="External"/><Relationship Id="rId1755" Type="http://schemas.openxmlformats.org/officeDocument/2006/relationships/hyperlink" Target="https://ivdm3seg.weebly.com/" TargetMode="External"/><Relationship Id="rId1756" Type="http://schemas.openxmlformats.org/officeDocument/2006/relationships/hyperlink" Target="https://ivdm3seg.weebly.com/data.html" TargetMode="External"/><Relationship Id="rId1757" Type="http://schemas.openxmlformats.org/officeDocument/2006/relationships/hyperlink" Target="https://www.cancerimagingarchive.net/collection/osteosarcoma-tumor-assessment/" TargetMode="External"/><Relationship Id="rId1758" Type="http://schemas.openxmlformats.org/officeDocument/2006/relationships/hyperlink" Target="https://doi.org/10.1007/978-3-319-59575-7_2" TargetMode="External"/><Relationship Id="rId1759" Type="http://schemas.openxmlformats.org/officeDocument/2006/relationships/hyperlink" Target="https://www.cancerimagingarchive.net/collection/osteosarcoma-tumor-assessment/" TargetMode="External"/><Relationship Id="rId808" Type="http://schemas.openxmlformats.org/officeDocument/2006/relationships/hyperlink" Target="https://rdr.ucl.ac.uk/articles/dataset/EPISURG_a_dataset_of_postoperative_magnetic_resonance_images_MRI_for_quantitative_analysis_of_resection_neurosurgery_for_refractory_epilepsy/9996158" TargetMode="External"/><Relationship Id="rId807" Type="http://schemas.openxmlformats.org/officeDocument/2006/relationships/hyperlink" Target="https://rdr.ucl.ac.uk/articles/dataset/EPISURG_a_dataset_of_postoperative_magnetic_resonance_images_MRI_for_quantitative_analysis_of_resection_neurosurgery_for_refractory_epilepsy/9996158" TargetMode="External"/><Relationship Id="rId806" Type="http://schemas.openxmlformats.org/officeDocument/2006/relationships/hyperlink" Target="https://rdr.ucl.ac.uk/articles/dataset/EPISURG_a_dataset_of_postoperative_magnetic_resonance_images_MRI_for_quantitative_analysis_of_resection_neurosurgery_for_refractory_epilepsy/9996158?file=26153588" TargetMode="External"/><Relationship Id="rId805" Type="http://schemas.openxmlformats.org/officeDocument/2006/relationships/hyperlink" Target="https://xnat.bmia.nl/data/archive/projects/egd" TargetMode="External"/><Relationship Id="rId809" Type="http://schemas.openxmlformats.org/officeDocument/2006/relationships/hyperlink" Target="https://www.synapse.org/Synapse:syn28546456/wiki/617093" TargetMode="External"/><Relationship Id="rId800" Type="http://schemas.openxmlformats.org/officeDocument/2006/relationships/hyperlink" Target="https://fcon_1000.projects.nitrc.org/indi/retro/dlbs.html" TargetMode="External"/><Relationship Id="rId804" Type="http://schemas.openxmlformats.org/officeDocument/2006/relationships/hyperlink" Target="https://xnat.bmia.nl/data/archive/projects/egd" TargetMode="External"/><Relationship Id="rId803" Type="http://schemas.openxmlformats.org/officeDocument/2006/relationships/hyperlink" Target="https://www.health-ri.nl/en/health-ri-service-desk?utm_source=chatgpt.com" TargetMode="External"/><Relationship Id="rId802" Type="http://schemas.openxmlformats.org/officeDocument/2006/relationships/hyperlink" Target="http://fcon_1000.projects.nitrc.org/indi/retro/dlbs.html" TargetMode="External"/><Relationship Id="rId801" Type="http://schemas.openxmlformats.org/officeDocument/2006/relationships/hyperlink" Target="http://fcon_1000.projects.nitrc.org/indi/retro/dlbs.html" TargetMode="External"/><Relationship Id="rId1750" Type="http://schemas.openxmlformats.org/officeDocument/2006/relationships/hyperlink" Target="https://www.researchgate.net/publication/309326405_Bone_Texture_Characterization_for_Osteoporosis_Diagnosis_using_Digital_Radiography" TargetMode="External"/><Relationship Id="rId1751" Type="http://schemas.openxmlformats.org/officeDocument/2006/relationships/hyperlink" Target="https://www.idpoisson.fr/tcbchallenge/data/" TargetMode="External"/><Relationship Id="rId1741" Type="http://schemas.openxmlformats.org/officeDocument/2006/relationships/hyperlink" Target="https://link.springer.com/chapter/10.1007/978-3-031-44917-8_25" TargetMode="External"/><Relationship Id="rId1742" Type="http://schemas.openxmlformats.org/officeDocument/2006/relationships/hyperlink" Target="https://link.springer.com/chapter/10.1007/978-3-031-44917-8_25" TargetMode="External"/><Relationship Id="rId1743" Type="http://schemas.openxmlformats.org/officeDocument/2006/relationships/hyperlink" Target="https://drive.google.com/drive/folders/1kPWiFxL5HxVRM4antSPq9FzjBIbmkGWA" TargetMode="External"/><Relationship Id="rId1744" Type="http://schemas.openxmlformats.org/officeDocument/2006/relationships/hyperlink" Target="https://link.springer.com/chapter/10.1007/978-3-031-43987-2_61" TargetMode="External"/><Relationship Id="rId1745" Type="http://schemas.openxmlformats.org/officeDocument/2006/relationships/hyperlink" Target="https://link.springer.com/chapter/10.1007/978-3-031-43987-2_61" TargetMode="External"/><Relationship Id="rId1746" Type="http://schemas.openxmlformats.org/officeDocument/2006/relationships/hyperlink" Target="https://drive.google.com/drive/folders/146V99Zv1LzoHFYlXvSDhKmflIL-joo6p?usp=sharing" TargetMode="External"/><Relationship Id="rId1747" Type="http://schemas.openxmlformats.org/officeDocument/2006/relationships/hyperlink" Target="https://sites.google.com/view/kpis2024" TargetMode="External"/><Relationship Id="rId1748" Type="http://schemas.openxmlformats.org/officeDocument/2006/relationships/hyperlink" Target="https://www.synapse.org/" TargetMode="External"/><Relationship Id="rId1749" Type="http://schemas.openxmlformats.org/officeDocument/2006/relationships/hyperlink" Target="https://www.idpoisson.fr/tcbchallenge/" TargetMode="External"/><Relationship Id="rId1740" Type="http://schemas.openxmlformats.org/officeDocument/2006/relationships/hyperlink" Target="https://github.com/DeepMicroscopy/MIDOGpp/tree/main" TargetMode="External"/><Relationship Id="rId1710" Type="http://schemas.openxmlformats.org/officeDocument/2006/relationships/hyperlink" Target="https://openaccess.thecvf.com/content/CVPR2021/html/Gamper_Multiple_Instance_Captioning_Learning_Representations_From_Histopathology_Textbooks_and_Articles_CVPR_2021_paper.html" TargetMode="External"/><Relationship Id="rId1711" Type="http://schemas.openxmlformats.org/officeDocument/2006/relationships/hyperlink" Target="https://warwick.ac.uk/fac/cross_fac/tia/data/arch" TargetMode="External"/><Relationship Id="rId1712" Type="http://schemas.openxmlformats.org/officeDocument/2006/relationships/hyperlink" Target="https://lhncbc.nlm.nih.gov/LHC-research/LHC-projects/image-processing/malaria-screener.html" TargetMode="External"/><Relationship Id="rId1713" Type="http://schemas.openxmlformats.org/officeDocument/2006/relationships/hyperlink" Target="https://lhncbc.nlm.nih.gov/LHC-publications/pubs/Patientlevelperformanceevaluationofasmartphonebasedmalariadiagnosticapplication.html" TargetMode="External"/><Relationship Id="rId1714" Type="http://schemas.openxmlformats.org/officeDocument/2006/relationships/hyperlink" Target="https://segpc-2021.grand-challenge.org/SegPC-2021/" TargetMode="External"/><Relationship Id="rId1715" Type="http://schemas.openxmlformats.org/officeDocument/2006/relationships/hyperlink" Target="https://www.sciencedirect.com/science/article/pii/S1361841520301523?via%3Dihub" TargetMode="External"/><Relationship Id="rId1716" Type="http://schemas.openxmlformats.org/officeDocument/2006/relationships/hyperlink" Target="https://ieee-dataport.org/open-access/segpc-2021-segmentation-multiple-myeloma-plasma-cells-microscopic-images" TargetMode="External"/><Relationship Id="rId1717" Type="http://schemas.openxmlformats.org/officeDocument/2006/relationships/hyperlink" Target="https://bmirds.github.io/MHIST/" TargetMode="External"/><Relationship Id="rId1718" Type="http://schemas.openxmlformats.org/officeDocument/2006/relationships/hyperlink" Target="https://link.springer.com/chapter/10.1007/978-3-030-77211-6_2" TargetMode="External"/><Relationship Id="rId1719" Type="http://schemas.openxmlformats.org/officeDocument/2006/relationships/hyperlink" Target="https://bmirds.github.io/MHIST/" TargetMode="External"/><Relationship Id="rId1700" Type="http://schemas.openxmlformats.org/officeDocument/2006/relationships/hyperlink" Target="https://anhir.grand-challenge.org/" TargetMode="External"/><Relationship Id="rId1701" Type="http://schemas.openxmlformats.org/officeDocument/2006/relationships/hyperlink" Target="https://ieeexplore.ieee.org/abstract/document/9058666" TargetMode="External"/><Relationship Id="rId1702" Type="http://schemas.openxmlformats.org/officeDocument/2006/relationships/hyperlink" Target="https://anhir.grand-challenge.org/Download/" TargetMode="External"/><Relationship Id="rId1703" Type="http://schemas.openxmlformats.org/officeDocument/2006/relationships/hyperlink" Target="https://mitoem.grand-challenge.org/" TargetMode="External"/><Relationship Id="rId1704" Type="http://schemas.openxmlformats.org/officeDocument/2006/relationships/hyperlink" Target="https://link.springer.com/chapter/10.1007/978-3-030-59722-1_7" TargetMode="External"/><Relationship Id="rId1705" Type="http://schemas.openxmlformats.org/officeDocument/2006/relationships/hyperlink" Target="https://mitoem.grand-challenge.org/" TargetMode="External"/><Relationship Id="rId1706" Type="http://schemas.openxmlformats.org/officeDocument/2006/relationships/hyperlink" Target="https://cocahis.irb.hr/" TargetMode="External"/><Relationship Id="rId1707" Type="http://schemas.openxmlformats.org/officeDocument/2006/relationships/hyperlink" Target="https://www.sciencedirect.com/science/article/pii/S1746809420305085?via%3Dihub" TargetMode="External"/><Relationship Id="rId1708" Type="http://schemas.openxmlformats.org/officeDocument/2006/relationships/hyperlink" Target="http://cocahis.irb.hr/wpcontent/uploads/2020/12/CoCaHis.hdf5" TargetMode="External"/><Relationship Id="rId1709" Type="http://schemas.openxmlformats.org/officeDocument/2006/relationships/hyperlink" Target="https://warwick.ac.uk/fac/cross_fac/tia/data/arch" TargetMode="External"/><Relationship Id="rId40" Type="http://schemas.openxmlformats.org/officeDocument/2006/relationships/hyperlink" Target="https://www.nature.com/articles/ncomms5006" TargetMode="External"/><Relationship Id="rId1334" Type="http://schemas.openxmlformats.org/officeDocument/2006/relationships/hyperlink" Target="https://www.cancerimagingarchive.net/collection/cptac-ccrcc" TargetMode="External"/><Relationship Id="rId1335" Type="http://schemas.openxmlformats.org/officeDocument/2006/relationships/hyperlink" Target="https://www.kaggle.com/competitions/hubmap-kidney-segmentation" TargetMode="External"/><Relationship Id="rId42" Type="http://schemas.openxmlformats.org/officeDocument/2006/relationships/hyperlink" Target="https://www.cancerimagingarchive.net/analysis-result/plethora" TargetMode="External"/><Relationship Id="rId1336" Type="http://schemas.openxmlformats.org/officeDocument/2006/relationships/hyperlink" Target="https://www.kaggle.com/competitions/hubmap-kidney-segmentation/data" TargetMode="External"/><Relationship Id="rId41" Type="http://schemas.openxmlformats.org/officeDocument/2006/relationships/hyperlink" Target="https://www.cancerimagingarchive.net/analysis-result/rider-lungct-seg/" TargetMode="External"/><Relationship Id="rId1337" Type="http://schemas.openxmlformats.org/officeDocument/2006/relationships/hyperlink" Target="https://www.kaggle.com/competitions/hubmap-kidney-segmentation" TargetMode="External"/><Relationship Id="rId44" Type="http://schemas.openxmlformats.org/officeDocument/2006/relationships/hyperlink" Target="https://www.cancerimagingarchive.net/analysis-result/plethora" TargetMode="External"/><Relationship Id="rId1338" Type="http://schemas.openxmlformats.org/officeDocument/2006/relationships/hyperlink" Target="https://monkey.grand-challenge.org/" TargetMode="External"/><Relationship Id="rId43" Type="http://schemas.openxmlformats.org/officeDocument/2006/relationships/hyperlink" Target="https://aapm.onlinelibrary.wiley.com/doi/epdf/10.1002/mp.14424" TargetMode="External"/><Relationship Id="rId1339" Type="http://schemas.openxmlformats.org/officeDocument/2006/relationships/hyperlink" Target="https://monkey.grand-challenge.org/dataset/" TargetMode="External"/><Relationship Id="rId46" Type="http://schemas.openxmlformats.org/officeDocument/2006/relationships/hyperlink" Target="https://www.medrxiv.org/content/10.1101/2020.04.24.20078584v3.full.pdf" TargetMode="External"/><Relationship Id="rId45" Type="http://schemas.openxmlformats.org/officeDocument/2006/relationships/hyperlink" Target="https://www.kaggle.com/datasets/plameneduardo/sarscov2-ctscan-dataset" TargetMode="External"/><Relationship Id="rId745" Type="http://schemas.openxmlformats.org/officeDocument/2006/relationships/hyperlink" Target="https://www.med.upenn.edu/sbia/brats2017/data.html" TargetMode="External"/><Relationship Id="rId744" Type="http://schemas.openxmlformats.org/officeDocument/2006/relationships/hyperlink" Target="https://www.smir.ch/BRATS/Start2015" TargetMode="External"/><Relationship Id="rId743" Type="http://schemas.openxmlformats.org/officeDocument/2006/relationships/hyperlink" Target="https://www.smir.ch/BRATS/Start2015" TargetMode="External"/><Relationship Id="rId742" Type="http://schemas.openxmlformats.org/officeDocument/2006/relationships/hyperlink" Target="https://www.smir.ch/BRATS/Start2015" TargetMode="External"/><Relationship Id="rId749" Type="http://schemas.openxmlformats.org/officeDocument/2006/relationships/hyperlink" Target="https://www.med.upenn.edu/cbica/brats-2019" TargetMode="External"/><Relationship Id="rId748" Type="http://schemas.openxmlformats.org/officeDocument/2006/relationships/hyperlink" Target="https://www.med.upenn.edu/cbica/brats-2019" TargetMode="External"/><Relationship Id="rId747" Type="http://schemas.openxmlformats.org/officeDocument/2006/relationships/hyperlink" Target="https://www.med.upenn.edu/sbia/brats2017/data.html" TargetMode="External"/><Relationship Id="rId746" Type="http://schemas.openxmlformats.org/officeDocument/2006/relationships/hyperlink" Target="https://www.med.upenn.edu/sbia/brats2017/data.html" TargetMode="External"/><Relationship Id="rId48" Type="http://schemas.openxmlformats.org/officeDocument/2006/relationships/hyperlink" Target="https://tianchi.aliyun.com/dataset/106604" TargetMode="External"/><Relationship Id="rId47" Type="http://schemas.openxmlformats.org/officeDocument/2006/relationships/hyperlink" Target="https://www.kaggle.com/datasets/plameneduardo/sarscov2-ctscan-dataset" TargetMode="External"/><Relationship Id="rId49" Type="http://schemas.openxmlformats.org/officeDocument/2006/relationships/hyperlink" Target="https://arxiv.org/pdf/2003.13865.pdf" TargetMode="External"/><Relationship Id="rId741" Type="http://schemas.openxmlformats.org/officeDocument/2006/relationships/hyperlink" Target="https://www.smir.ch/BRATS/Start2014" TargetMode="External"/><Relationship Id="rId1330" Type="http://schemas.openxmlformats.org/officeDocument/2006/relationships/hyperlink" Target="https://www.synapse.org/Synapse:syn26376615/wiki/613312" TargetMode="External"/><Relationship Id="rId740" Type="http://schemas.openxmlformats.org/officeDocument/2006/relationships/hyperlink" Target="https://www.smir.ch/BRATS/Start2014" TargetMode="External"/><Relationship Id="rId1331" Type="http://schemas.openxmlformats.org/officeDocument/2006/relationships/hyperlink" Target="https://www.cancerimagingarchive.net/collection/tcga-coad" TargetMode="External"/><Relationship Id="rId1332" Type="http://schemas.openxmlformats.org/officeDocument/2006/relationships/hyperlink" Target="https://www.cancerimagingarchive.net/collection/tcga-read" TargetMode="External"/><Relationship Id="rId1333" Type="http://schemas.openxmlformats.org/officeDocument/2006/relationships/hyperlink" Target="https://www.cancerimagingarchive.net/collection/ct-colonography" TargetMode="External"/><Relationship Id="rId1323" Type="http://schemas.openxmlformats.org/officeDocument/2006/relationships/hyperlink" Target="http://vi.cvc.uab.es/colon-qa/cvccolondb" TargetMode="External"/><Relationship Id="rId1324" Type="http://schemas.openxmlformats.org/officeDocument/2006/relationships/hyperlink" Target="https://ieee-dataport.org/competitions/endoscopy-disease-detection-and-segmentation-edd2020" TargetMode="External"/><Relationship Id="rId31" Type="http://schemas.openxmlformats.org/officeDocument/2006/relationships/hyperlink" Target="http://medicaldecathlon.com/" TargetMode="External"/><Relationship Id="rId1325" Type="http://schemas.openxmlformats.org/officeDocument/2006/relationships/hyperlink" Target="https://www.gastrointestinalatlas.com/english/english.html" TargetMode="External"/><Relationship Id="rId30" Type="http://schemas.openxmlformats.org/officeDocument/2006/relationships/hyperlink" Target="https://ieeexplore.ieee.org/document/9286453" TargetMode="External"/><Relationship Id="rId1326" Type="http://schemas.openxmlformats.org/officeDocument/2006/relationships/hyperlink" Target="https://endocv2021.grand-challenge.org/" TargetMode="External"/><Relationship Id="rId33" Type="http://schemas.openxmlformats.org/officeDocument/2006/relationships/hyperlink" Target="https://lndb.grand-challenge.org/" TargetMode="External"/><Relationship Id="rId1327" Type="http://schemas.openxmlformats.org/officeDocument/2006/relationships/hyperlink" Target="https://github.com/simula/hyper-kvasir" TargetMode="External"/><Relationship Id="rId32" Type="http://schemas.openxmlformats.org/officeDocument/2006/relationships/hyperlink" Target="https://drive.google.com/drive/folders/1HqEgzS8BV2c7xYNrZdEAnrHk7osJJ--2" TargetMode="External"/><Relationship Id="rId1328" Type="http://schemas.openxmlformats.org/officeDocument/2006/relationships/hyperlink" Target="https://paip2020.grand-challenge.org/" TargetMode="External"/><Relationship Id="rId35" Type="http://schemas.openxmlformats.org/officeDocument/2006/relationships/hyperlink" Target="https://zenodo.org/record/7153205" TargetMode="External"/><Relationship Id="rId1329" Type="http://schemas.openxmlformats.org/officeDocument/2006/relationships/hyperlink" Target="https://2023paip.grand-challenge.org/" TargetMode="External"/><Relationship Id="rId34" Type="http://schemas.openxmlformats.org/officeDocument/2006/relationships/hyperlink" Target="https://doi.org/10.5281/zenodo.7153205" TargetMode="External"/><Relationship Id="rId739" Type="http://schemas.openxmlformats.org/officeDocument/2006/relationships/hyperlink" Target="https://www.smir.ch/BRATS/Start2014" TargetMode="External"/><Relationship Id="rId734" Type="http://schemas.openxmlformats.org/officeDocument/2006/relationships/hyperlink" Target="https://www.smir.ch/BRATS/Start2012" TargetMode="External"/><Relationship Id="rId733" Type="http://schemas.openxmlformats.org/officeDocument/2006/relationships/hyperlink" Target="https://datashare.ed.ac.uk/handle/10283/1957" TargetMode="External"/><Relationship Id="rId732" Type="http://schemas.openxmlformats.org/officeDocument/2006/relationships/hyperlink" Target="https://datashare.ed.ac.uk/handle/10283/1957" TargetMode="External"/><Relationship Id="rId731" Type="http://schemas.openxmlformats.org/officeDocument/2006/relationships/hyperlink" Target="https://aimi.stanford.edu/brainmetshare" TargetMode="External"/><Relationship Id="rId738" Type="http://schemas.openxmlformats.org/officeDocument/2006/relationships/hyperlink" Target="https://www.smir.ch/BRATS/Start2013" TargetMode="External"/><Relationship Id="rId737" Type="http://schemas.openxmlformats.org/officeDocument/2006/relationships/hyperlink" Target="https://www.smir.ch/BRATS/Start2013" TargetMode="External"/><Relationship Id="rId736" Type="http://schemas.openxmlformats.org/officeDocument/2006/relationships/hyperlink" Target="https://www.smir.ch/BRATS/Start2013" TargetMode="External"/><Relationship Id="rId735" Type="http://schemas.openxmlformats.org/officeDocument/2006/relationships/hyperlink" Target="https://www.smir.ch/BRATS/Start2012" TargetMode="External"/><Relationship Id="rId37" Type="http://schemas.openxmlformats.org/officeDocument/2006/relationships/hyperlink" Target="https://www.sciencedirect.com/science/article/pii/S2352340919312181" TargetMode="External"/><Relationship Id="rId36" Type="http://schemas.openxmlformats.org/officeDocument/2006/relationships/hyperlink" Target="https://scholar.cu.edu.eg/?q=afahmy/pages/dataset" TargetMode="External"/><Relationship Id="rId39" Type="http://schemas.openxmlformats.org/officeDocument/2006/relationships/hyperlink" Target="https://www.cancerimagingarchive.net/analysis-result/rider-lungct-seg/" TargetMode="External"/><Relationship Id="rId38" Type="http://schemas.openxmlformats.org/officeDocument/2006/relationships/hyperlink" Target="https://scholar.cu.edu.eg/?q=afahmy/pages/dataset" TargetMode="External"/><Relationship Id="rId730" Type="http://schemas.openxmlformats.org/officeDocument/2006/relationships/hyperlink" Target="https://aimi.stanford.edu/brainmetshare" TargetMode="External"/><Relationship Id="rId1320" Type="http://schemas.openxmlformats.org/officeDocument/2006/relationships/hyperlink" Target="https://www.cancerimagingarchive.net/collection/cmb-crc" TargetMode="External"/><Relationship Id="rId1321" Type="http://schemas.openxmlformats.org/officeDocument/2006/relationships/hyperlink" Target="https://zenodo.org/records/53169" TargetMode="External"/><Relationship Id="rId1322" Type="http://schemas.openxmlformats.org/officeDocument/2006/relationships/hyperlink" Target="https://www.cancerimagingarchive.net/collection/cptac-coad" TargetMode="External"/><Relationship Id="rId1356" Type="http://schemas.openxmlformats.org/officeDocument/2006/relationships/hyperlink" Target="https://github.com/cwwang1979/MICCAI_ATEC23challenge" TargetMode="External"/><Relationship Id="rId1357" Type="http://schemas.openxmlformats.org/officeDocument/2006/relationships/hyperlink" Target="https://www.cancerimagingarchive.net/collection/cmb-ov" TargetMode="External"/><Relationship Id="rId20" Type="http://schemas.openxmlformats.org/officeDocument/2006/relationships/hyperlink" Target="https://www.nature.com/articles/sdata2018180" TargetMode="External"/><Relationship Id="rId1358" Type="http://schemas.openxmlformats.org/officeDocument/2006/relationships/hyperlink" Target="https://www.cancerimagingarchive.net/collection/cptac-ucec" TargetMode="External"/><Relationship Id="rId1359" Type="http://schemas.openxmlformats.org/officeDocument/2006/relationships/hyperlink" Target="https://zenodo.org/records/7372187" TargetMode="External"/><Relationship Id="rId22" Type="http://schemas.openxmlformats.org/officeDocument/2006/relationships/hyperlink" Target="https://www.cancerimagingarchive.net/analysis-result/qin-lungct-seg/" TargetMode="External"/><Relationship Id="rId21" Type="http://schemas.openxmlformats.org/officeDocument/2006/relationships/hyperlink" Target="https://www.kaggle.com/datasets/andrewmvd/pulmonary-embolism-in-ct-images" TargetMode="External"/><Relationship Id="rId24" Type="http://schemas.openxmlformats.org/officeDocument/2006/relationships/hyperlink" Target="https://www.cancerimagingarchive.net/analysis-result/qin-lungct-seg/" TargetMode="External"/><Relationship Id="rId23" Type="http://schemas.openxmlformats.org/officeDocument/2006/relationships/hyperlink" Target="https://link.springer.com/article/10.1007/s10278-016-9859-z" TargetMode="External"/><Relationship Id="rId767" Type="http://schemas.openxmlformats.org/officeDocument/2006/relationships/hyperlink" Target="https://caddementia.grand-challenge.org" TargetMode="External"/><Relationship Id="rId766" Type="http://schemas.openxmlformats.org/officeDocument/2006/relationships/hyperlink" Target="https://caddementia.grand-challenge.org" TargetMode="External"/><Relationship Id="rId765" Type="http://schemas.openxmlformats.org/officeDocument/2006/relationships/hyperlink" Target="https://cada.grand-challenge.org" TargetMode="External"/><Relationship Id="rId764" Type="http://schemas.openxmlformats.org/officeDocument/2006/relationships/hyperlink" Target="https://cada.grand-challenge.org" TargetMode="External"/><Relationship Id="rId769" Type="http://schemas.openxmlformats.org/officeDocument/2006/relationships/hyperlink" Target="https://sites.google.com/view/calgary-campinas-dataset/home" TargetMode="External"/><Relationship Id="rId768" Type="http://schemas.openxmlformats.org/officeDocument/2006/relationships/hyperlink" Target="https://sites.google.com/view/calgary-campinas-dataset/home" TargetMode="External"/><Relationship Id="rId26" Type="http://schemas.openxmlformats.org/officeDocument/2006/relationships/hyperlink" Target="https://www.kaggle.com/datasets/vbookshelf/pneumothorax-chest-xray-images-and-masks/data" TargetMode="External"/><Relationship Id="rId25" Type="http://schemas.openxmlformats.org/officeDocument/2006/relationships/hyperlink" Target="https://structseg2019.grand-challenge.org" TargetMode="External"/><Relationship Id="rId28" Type="http://schemas.openxmlformats.org/officeDocument/2006/relationships/hyperlink" Target="https://structseg2019.grand-challenge.org" TargetMode="External"/><Relationship Id="rId1350" Type="http://schemas.openxmlformats.org/officeDocument/2006/relationships/hyperlink" Target="https://zenodo.org/records/7774566" TargetMode="External"/><Relationship Id="rId27" Type="http://schemas.openxmlformats.org/officeDocument/2006/relationships/hyperlink" Target="https://www.kaggle.com/datasets/vbookshelf/pneumothorax-chest-xray-images-and-masks/data" TargetMode="External"/><Relationship Id="rId1351" Type="http://schemas.openxmlformats.org/officeDocument/2006/relationships/hyperlink" Target="https://p2ilf.grand-challenge.org" TargetMode="External"/><Relationship Id="rId763" Type="http://schemas.openxmlformats.org/officeDocument/2006/relationships/hyperlink" Target="https://www.synapse.org/Synapse:syn53708249/wiki/626323" TargetMode="External"/><Relationship Id="rId1352" Type="http://schemas.openxmlformats.org/officeDocument/2006/relationships/hyperlink" Target="https://paip2019.grand-challenge.org/" TargetMode="External"/><Relationship Id="rId29" Type="http://schemas.openxmlformats.org/officeDocument/2006/relationships/hyperlink" Target="https://competitions.codalab.org/competitions/21145" TargetMode="External"/><Relationship Id="rId762" Type="http://schemas.openxmlformats.org/officeDocument/2006/relationships/hyperlink" Target="https://www.synapse.org/Synapse:syn53708249/wiki/626323" TargetMode="External"/><Relationship Id="rId1353" Type="http://schemas.openxmlformats.org/officeDocument/2006/relationships/hyperlink" Target="https://www.smir.ch/ShapeChallenge/Start2014" TargetMode="External"/><Relationship Id="rId761" Type="http://schemas.openxmlformats.org/officeDocument/2006/relationships/hyperlink" Target="https://synapse.org/brats2023" TargetMode="External"/><Relationship Id="rId1354" Type="http://schemas.openxmlformats.org/officeDocument/2006/relationships/hyperlink" Target="https://www.cancerimagingarchive.net/collection/tcga-lihc" TargetMode="External"/><Relationship Id="rId760" Type="http://schemas.openxmlformats.org/officeDocument/2006/relationships/hyperlink" Target="https://synapse.org/brats2023" TargetMode="External"/><Relationship Id="rId1355" Type="http://schemas.openxmlformats.org/officeDocument/2006/relationships/hyperlink" Target="https://a-afma.grand-challenge.org" TargetMode="External"/><Relationship Id="rId1345" Type="http://schemas.openxmlformats.org/officeDocument/2006/relationships/hyperlink" Target="https://www.cancerimagingarchive.net/collection/tcga-kirc" TargetMode="External"/><Relationship Id="rId1346" Type="http://schemas.openxmlformats.org/officeDocument/2006/relationships/hyperlink" Target="https://www.cancerimagingarchive.net/collection/tcga-kirp" TargetMode="External"/><Relationship Id="rId1347" Type="http://schemas.openxmlformats.org/officeDocument/2006/relationships/hyperlink" Target="https://rodare.hzdr.de/record/2473" TargetMode="External"/><Relationship Id="rId1348" Type="http://schemas.openxmlformats.org/officeDocument/2006/relationships/hyperlink" Target="https://www.cancerimagingarchive.net/collection/ahep0731" TargetMode="External"/><Relationship Id="rId11" Type="http://schemas.openxmlformats.org/officeDocument/2006/relationships/hyperlink" Target="https://zenodo.org/records/11367005" TargetMode="External"/><Relationship Id="rId1349" Type="http://schemas.openxmlformats.org/officeDocument/2006/relationships/hyperlink" Target="https://clust.ethz.ch/" TargetMode="External"/><Relationship Id="rId10" Type="http://schemas.openxmlformats.org/officeDocument/2006/relationships/hyperlink" Target="https://zenodo.org/records/10047292" TargetMode="External"/><Relationship Id="rId13" Type="http://schemas.openxmlformats.org/officeDocument/2006/relationships/hyperlink" Target="https://crass.grand-challenge.org/Home/" TargetMode="External"/><Relationship Id="rId12" Type="http://schemas.openxmlformats.org/officeDocument/2006/relationships/hyperlink" Target="http://imgcom.jsrt.or.jp/minijsrtdb/" TargetMode="External"/><Relationship Id="rId756" Type="http://schemas.openxmlformats.org/officeDocument/2006/relationships/hyperlink" Target="https://www.med.upenn.edu/cbica/brats2021/data.html" TargetMode="External"/><Relationship Id="rId755" Type="http://schemas.openxmlformats.org/officeDocument/2006/relationships/hyperlink" Target="http://www.braintumorsegmentation.org" TargetMode="External"/><Relationship Id="rId754" Type="http://schemas.openxmlformats.org/officeDocument/2006/relationships/hyperlink" Target="http://www.braintumorsegmentation.org" TargetMode="External"/><Relationship Id="rId753" Type="http://schemas.openxmlformats.org/officeDocument/2006/relationships/hyperlink" Target="https://www.med.upenn.edu/cbica/brats2020/data.html" TargetMode="External"/><Relationship Id="rId759" Type="http://schemas.openxmlformats.org/officeDocument/2006/relationships/hyperlink" Target="https://www.synapse.org/" TargetMode="External"/><Relationship Id="rId758" Type="http://schemas.openxmlformats.org/officeDocument/2006/relationships/hyperlink" Target="https://www.synapse.org/brats2022" TargetMode="External"/><Relationship Id="rId757" Type="http://schemas.openxmlformats.org/officeDocument/2006/relationships/hyperlink" Target="https://www.synapse.org/brats2022" TargetMode="External"/><Relationship Id="rId15" Type="http://schemas.openxmlformats.org/officeDocument/2006/relationships/hyperlink" Target="https://www.kaggle.com/datasets/raddar/tuberculosis-chest-xrays-shenzhen" TargetMode="External"/><Relationship Id="rId14" Type="http://schemas.openxmlformats.org/officeDocument/2006/relationships/hyperlink" Target="https://www.cancerimagingarchive.net/analysis-result/qiba-volct-1b/" TargetMode="External"/><Relationship Id="rId17" Type="http://schemas.openxmlformats.org/officeDocument/2006/relationships/hyperlink" Target="https://helward.mmu.ac.uk/STAFF/M.Yap/dataset.php" TargetMode="External"/><Relationship Id="rId16" Type="http://schemas.openxmlformats.org/officeDocument/2006/relationships/hyperlink" Target="https://ieeexplore.ieee.org/stamp/stamp.jsp?tp=&amp;arnumber=8477564&amp;tag=1" TargetMode="External"/><Relationship Id="rId1340" Type="http://schemas.openxmlformats.org/officeDocument/2006/relationships/hyperlink" Target="https://monkey.grand-challenge.org/" TargetMode="External"/><Relationship Id="rId19" Type="http://schemas.openxmlformats.org/officeDocument/2006/relationships/hyperlink" Target="https://figshare.com/collections/FUMPE/4107803/1" TargetMode="External"/><Relationship Id="rId752" Type="http://schemas.openxmlformats.org/officeDocument/2006/relationships/hyperlink" Target="https://www.med.upenn.edu/cbica/brats2020" TargetMode="External"/><Relationship Id="rId1341" Type="http://schemas.openxmlformats.org/officeDocument/2006/relationships/hyperlink" Target="https://www.cancerimagingarchive.net/collection/tcga-blca/" TargetMode="External"/><Relationship Id="rId18" Type="http://schemas.openxmlformats.org/officeDocument/2006/relationships/hyperlink" Target="https://ieeexplore.ieee.org/stamp/stamp.jsp?arnumber=8003418&amp;tag=1" TargetMode="External"/><Relationship Id="rId751" Type="http://schemas.openxmlformats.org/officeDocument/2006/relationships/hyperlink" Target="https://www.med.upenn.edu/cbica/brats2020" TargetMode="External"/><Relationship Id="rId1342" Type="http://schemas.openxmlformats.org/officeDocument/2006/relationships/hyperlink" Target="https://www.cancerimagingarchive.net/collection/tcga-blca/" TargetMode="External"/><Relationship Id="rId750" Type="http://schemas.openxmlformats.org/officeDocument/2006/relationships/hyperlink" Target="https://www.med.upenn.edu/cbica/brats2019/data.html" TargetMode="External"/><Relationship Id="rId1343" Type="http://schemas.openxmlformats.org/officeDocument/2006/relationships/hyperlink" Target="https://www.cancerimagingarchive.net/collection/tcga-blca" TargetMode="External"/><Relationship Id="rId1344" Type="http://schemas.openxmlformats.org/officeDocument/2006/relationships/hyperlink" Target="https://www.cancerimagingarchive.net/collection/tcga-kich" TargetMode="External"/><Relationship Id="rId84" Type="http://schemas.openxmlformats.org/officeDocument/2006/relationships/hyperlink" Target="https://parse2022.grand-challenge.org/Dataset/" TargetMode="External"/><Relationship Id="rId1774" Type="http://schemas.openxmlformats.org/officeDocument/2006/relationships/hyperlink" Target="https://github.com/MIRACLE-Center/CTSpine1K" TargetMode="External"/><Relationship Id="rId83" Type="http://schemas.openxmlformats.org/officeDocument/2006/relationships/hyperlink" Target="https://arxiv.org/abs/2304.03708" TargetMode="External"/><Relationship Id="rId1775" Type="http://schemas.openxmlformats.org/officeDocument/2006/relationships/hyperlink" Target="https://arxiv.org/abs/2105.14711" TargetMode="External"/><Relationship Id="rId86" Type="http://schemas.openxmlformats.org/officeDocument/2006/relationships/hyperlink" Target="https://www.sciencedirect.com/science/article/pii/S1361841523002177" TargetMode="External"/><Relationship Id="rId1776" Type="http://schemas.openxmlformats.org/officeDocument/2006/relationships/hyperlink" Target="https://github.com/MIRACLE-Center/CTSpine1K" TargetMode="External"/><Relationship Id="rId85" Type="http://schemas.openxmlformats.org/officeDocument/2006/relationships/hyperlink" Target="https://atm22.grand-challenge.org/" TargetMode="External"/><Relationship Id="rId1777" Type="http://schemas.openxmlformats.org/officeDocument/2006/relationships/hyperlink" Target="https://huggingface.co/datasets/alexanderdann/CTSpine1K" TargetMode="External"/><Relationship Id="rId88" Type="http://schemas.openxmlformats.org/officeDocument/2006/relationships/hyperlink" Target="https://physionet.org/content/brax/1.1.0/" TargetMode="External"/><Relationship Id="rId1778" Type="http://schemas.openxmlformats.org/officeDocument/2006/relationships/hyperlink" Target="https://aistudio.baidu.com/datasetdetail/69582/2" TargetMode="External"/><Relationship Id="rId87" Type="http://schemas.openxmlformats.org/officeDocument/2006/relationships/hyperlink" Target="https://atm22.grand-challenge.org/" TargetMode="External"/><Relationship Id="rId1779" Type="http://schemas.openxmlformats.org/officeDocument/2006/relationships/hyperlink" Target="https://aistudio.baidu.com/datasetdetail/69582/2" TargetMode="External"/><Relationship Id="rId89" Type="http://schemas.openxmlformats.org/officeDocument/2006/relationships/hyperlink" Target="https://physionet.org/content/brax/1.1.0/" TargetMode="External"/><Relationship Id="rId709" Type="http://schemas.openxmlformats.org/officeDocument/2006/relationships/hyperlink" Target="https://github.com/White65534/BHSD" TargetMode="External"/><Relationship Id="rId708" Type="http://schemas.openxmlformats.org/officeDocument/2006/relationships/hyperlink" Target="http://fcon_1000.projects.nitrc.org/indi/retro/BeijingEOEC.html" TargetMode="External"/><Relationship Id="rId707" Type="http://schemas.openxmlformats.org/officeDocument/2006/relationships/hyperlink" Target="http://fcon_1000.projects.nitrc.org/indi/retro/BeijingEOEC.html" TargetMode="External"/><Relationship Id="rId706" Type="http://schemas.openxmlformats.org/officeDocument/2006/relationships/hyperlink" Target="http://fcon_1000.projects.nitrc.org/indi/retro/BeijingEOEC.html" TargetMode="External"/><Relationship Id="rId80" Type="http://schemas.openxmlformats.org/officeDocument/2006/relationships/hyperlink" Target="https://www.heywhale.com/mw/dataset/62c2ac49913a54a66037f872/content" TargetMode="External"/><Relationship Id="rId82" Type="http://schemas.openxmlformats.org/officeDocument/2006/relationships/hyperlink" Target="https://parse2022.grand-challenge.org/" TargetMode="External"/><Relationship Id="rId81" Type="http://schemas.openxmlformats.org/officeDocument/2006/relationships/hyperlink" Target="https://www.heywhale.com/mw/dataset/62c2ac49913a54a66037f872/file" TargetMode="External"/><Relationship Id="rId701" Type="http://schemas.openxmlformats.org/officeDocument/2006/relationships/hyperlink" Target="http://fcon_1000.projects.nitrc.org/indi/retro/BeijingEnhanced.html" TargetMode="External"/><Relationship Id="rId700" Type="http://schemas.openxmlformats.org/officeDocument/2006/relationships/hyperlink" Target="http://fcon_1000.projects.nitrc.org/indi/retro/BeijingEnhanced.html" TargetMode="External"/><Relationship Id="rId705" Type="http://schemas.openxmlformats.org/officeDocument/2006/relationships/hyperlink" Target="https://fcon_1000.projects.nitrc.org/indi/pro/BeijingShortTR.html" TargetMode="External"/><Relationship Id="rId704" Type="http://schemas.openxmlformats.org/officeDocument/2006/relationships/hyperlink" Target="http://fcon_1000.projects.nitrc.org/indi/pro/BeijingShortTR.html" TargetMode="External"/><Relationship Id="rId703" Type="http://schemas.openxmlformats.org/officeDocument/2006/relationships/hyperlink" Target="http://fcon_1000.projects.nitrc.org/indi/pro/BeijingShortTR.html" TargetMode="External"/><Relationship Id="rId702" Type="http://schemas.openxmlformats.org/officeDocument/2006/relationships/hyperlink" Target="http://fcon_1000.projects.nitrc.org/indi/retro/BeijingEnhanced.html" TargetMode="External"/><Relationship Id="rId1770" Type="http://schemas.openxmlformats.org/officeDocument/2006/relationships/hyperlink" Target="https://data.mendeley.com/datasets/56rmx5bjcr/1" TargetMode="External"/><Relationship Id="rId1771" Type="http://schemas.openxmlformats.org/officeDocument/2006/relationships/hyperlink" Target="https://github.com/MIRACLE-Center/CTPelvic1K" TargetMode="External"/><Relationship Id="rId1772" Type="http://schemas.openxmlformats.org/officeDocument/2006/relationships/hyperlink" Target="https://link.springer.com/article/10.1007/s11548-021-02363-8" TargetMode="External"/><Relationship Id="rId1773" Type="http://schemas.openxmlformats.org/officeDocument/2006/relationships/hyperlink" Target="https://zenodo.org/record/4588403" TargetMode="External"/><Relationship Id="rId73" Type="http://schemas.openxmlformats.org/officeDocument/2006/relationships/hyperlink" Target="https://data.mendeley.com/datasets/jctsfj2sfn/1" TargetMode="External"/><Relationship Id="rId1763" Type="http://schemas.openxmlformats.org/officeDocument/2006/relationships/hyperlink" Target="https://arxiv.org/pdf/2402.09372.pdf" TargetMode="External"/><Relationship Id="rId72" Type="http://schemas.openxmlformats.org/officeDocument/2006/relationships/hyperlink" Target="https://data.mendeley.com/datasets/jctsfj2sfn/1" TargetMode="External"/><Relationship Id="rId1764" Type="http://schemas.openxmlformats.org/officeDocument/2006/relationships/hyperlink" Target="https://ribfrac.grand-challenge.org/dataset/" TargetMode="External"/><Relationship Id="rId75" Type="http://schemas.openxmlformats.org/officeDocument/2006/relationships/hyperlink" Target="https://lhncbc.nlm.nih.gov/LHC-downloads/downloads.html" TargetMode="External"/><Relationship Id="rId1765" Type="http://schemas.openxmlformats.org/officeDocument/2006/relationships/hyperlink" Target="https://data.mendeley.com/datasets/t9ndx37v5h/1" TargetMode="External"/><Relationship Id="rId74" Type="http://schemas.openxmlformats.org/officeDocument/2006/relationships/hyperlink" Target="https://prod-dcd-datasets-cache-zipfiles.s3.eu-west-1.amazonaws.com/jctsfj2sfn-1.zip" TargetMode="External"/><Relationship Id="rId1766" Type="http://schemas.openxmlformats.org/officeDocument/2006/relationships/hyperlink" Target="https://data.mendeley.com/datasets/t9ndx37v5h/1" TargetMode="External"/><Relationship Id="rId77" Type="http://schemas.openxmlformats.org/officeDocument/2006/relationships/hyperlink" Target="https://openi.nlm.nih.gov/imgs/collections/ChinaSet_AllFiles.zip" TargetMode="External"/><Relationship Id="rId1767" Type="http://schemas.openxmlformats.org/officeDocument/2006/relationships/hyperlink" Target="https://data.mendeley.com/datasets/t9ndx37v5h/1" TargetMode="External"/><Relationship Id="rId76" Type="http://schemas.openxmlformats.org/officeDocument/2006/relationships/hyperlink" Target="https://www.ncbi.nlm.nih.gov/pmc/articles/PMC4256233/" TargetMode="External"/><Relationship Id="rId1768" Type="http://schemas.openxmlformats.org/officeDocument/2006/relationships/hyperlink" Target="https://data.mendeley.com/datasets/56rmx5bjcr/1" TargetMode="External"/><Relationship Id="rId79" Type="http://schemas.openxmlformats.org/officeDocument/2006/relationships/hyperlink" Target="https://www.cancerimagingarchive.net/analysis-result/ispy1-tumor-seg-radiomics/" TargetMode="External"/><Relationship Id="rId1769" Type="http://schemas.openxmlformats.org/officeDocument/2006/relationships/hyperlink" Target="https://www.ncbi.nlm.nih.gov/pmc/articles/PMC10137589/" TargetMode="External"/><Relationship Id="rId78" Type="http://schemas.openxmlformats.org/officeDocument/2006/relationships/hyperlink" Target="https://www.cancerimagingarchive.net/analysis-result/ispy1-tumor-seg-radiomics/" TargetMode="External"/><Relationship Id="rId71" Type="http://schemas.openxmlformats.org/officeDocument/2006/relationships/hyperlink" Target="https://tianchi.aliyun.com/dataset/93666" TargetMode="External"/><Relationship Id="rId70" Type="http://schemas.openxmlformats.org/officeDocument/2006/relationships/hyperlink" Target="https://tianchi.aliyun.com/dataset/93666" TargetMode="External"/><Relationship Id="rId1760" Type="http://schemas.openxmlformats.org/officeDocument/2006/relationships/hyperlink" Target="https://github.com/anjany/verse" TargetMode="External"/><Relationship Id="rId1761" Type="http://schemas.openxmlformats.org/officeDocument/2006/relationships/hyperlink" Target="https://github.com/anjany/verse" TargetMode="External"/><Relationship Id="rId1762" Type="http://schemas.openxmlformats.org/officeDocument/2006/relationships/hyperlink" Target="https://ribfrac.grand-challenge.org/" TargetMode="External"/><Relationship Id="rId62" Type="http://schemas.openxmlformats.org/officeDocument/2006/relationships/hyperlink" Target="https://wsss4luad.grand-challenge.org/WSSS4LUAD/" TargetMode="External"/><Relationship Id="rId1312" Type="http://schemas.openxmlformats.org/officeDocument/2006/relationships/hyperlink" Target="https://arxiv.org/pdf/2212.11375.pdf" TargetMode="External"/><Relationship Id="rId1796" Type="http://schemas.openxmlformats.org/officeDocument/2006/relationships/hyperlink" Target="https://www.kaggle.com/datasets/kmader/rsna-bone-age" TargetMode="External"/><Relationship Id="rId61" Type="http://schemas.openxmlformats.org/officeDocument/2006/relationships/hyperlink" Target="https://www.kaggle.com/competitions/siim-covid19-detection/data" TargetMode="External"/><Relationship Id="rId1313" Type="http://schemas.openxmlformats.org/officeDocument/2006/relationships/hyperlink" Target="https://www.kaggle.com/code/xokent/endoscopic-bladder-tissue-classification/input" TargetMode="External"/><Relationship Id="rId1797" Type="http://schemas.openxmlformats.org/officeDocument/2006/relationships/hyperlink" Target="https://www.rsna.org/rsnai/ai-image-challenge/cervical-spine-fractures-ai-detection-challenge-2022" TargetMode="External"/><Relationship Id="rId64" Type="http://schemas.openxmlformats.org/officeDocument/2006/relationships/hyperlink" Target="https://drive.google.com/drive/folders/1qTTTaHAp8HOnvxnKi1RXp-bC7sito9DF" TargetMode="External"/><Relationship Id="rId1314" Type="http://schemas.openxmlformats.org/officeDocument/2006/relationships/hyperlink" Target="https://durrlab.github.io/C3VD/" TargetMode="External"/><Relationship Id="rId1798" Type="http://schemas.openxmlformats.org/officeDocument/2006/relationships/hyperlink" Target="https://tianchi.aliyun.com/dataset/79463" TargetMode="External"/><Relationship Id="rId63" Type="http://schemas.openxmlformats.org/officeDocument/2006/relationships/hyperlink" Target="https://arxiv.org/abs/2204.06455" TargetMode="External"/><Relationship Id="rId1315" Type="http://schemas.openxmlformats.org/officeDocument/2006/relationships/hyperlink" Target="https://www.sciencedirect.com/science/article/abs/pii/S1361841523002165" TargetMode="External"/><Relationship Id="rId1799" Type="http://schemas.openxmlformats.org/officeDocument/2006/relationships/hyperlink" Target="http://spineweb.digitalimaginggroup.ca" TargetMode="External"/><Relationship Id="rId66" Type="http://schemas.openxmlformats.org/officeDocument/2006/relationships/hyperlink" Target="https://ieeexplore.ieee.org/abstract/document/9144185" TargetMode="External"/><Relationship Id="rId1316" Type="http://schemas.openxmlformats.org/officeDocument/2006/relationships/hyperlink" Target="https://durrlab.github.io/C3VD/" TargetMode="External"/><Relationship Id="rId65" Type="http://schemas.openxmlformats.org/officeDocument/2006/relationships/hyperlink" Target="https://www.heywhale.com/mw/dataset/6027caee891f960015c863d7/content" TargetMode="External"/><Relationship Id="rId1317" Type="http://schemas.openxmlformats.org/officeDocument/2006/relationships/hyperlink" Target="https://surgvu24.grand-challenge.org/" TargetMode="External"/><Relationship Id="rId68" Type="http://schemas.openxmlformats.org/officeDocument/2006/relationships/hyperlink" Target="https://tianchi.aliyun.com/dataset/93929" TargetMode="External"/><Relationship Id="rId1318" Type="http://schemas.openxmlformats.org/officeDocument/2006/relationships/hyperlink" Target="https://surgvu24.grand-challenge.org/" TargetMode="External"/><Relationship Id="rId67" Type="http://schemas.openxmlformats.org/officeDocument/2006/relationships/hyperlink" Target="https://drive.google.com/file/d/1xt7g5LkZuX09e1a8rK9sRXIrGFN6rjzl/view?usp=sharing" TargetMode="External"/><Relationship Id="rId1319" Type="http://schemas.openxmlformats.org/officeDocument/2006/relationships/hyperlink" Target="https://polyp.grand-challenge.org/AsuMayo" TargetMode="External"/><Relationship Id="rId729" Type="http://schemas.openxmlformats.org/officeDocument/2006/relationships/hyperlink" Target="https://www.cancerimagingarchive.net/collection/brain-tumor-progression" TargetMode="External"/><Relationship Id="rId728" Type="http://schemas.openxmlformats.org/officeDocument/2006/relationships/hyperlink" Target="https://www.cancerimagingarchive.net/collection/brain-tumor-progression" TargetMode="External"/><Relationship Id="rId60" Type="http://schemas.openxmlformats.org/officeDocument/2006/relationships/hyperlink" Target="https://link.springer.com/article/10.1007/s10278-022-00706-8" TargetMode="External"/><Relationship Id="rId723" Type="http://schemas.openxmlformats.org/officeDocument/2006/relationships/hyperlink" Target="https://www.kaggle.com/datasets/preetviradiya/brian-tumor-dataset" TargetMode="External"/><Relationship Id="rId722" Type="http://schemas.openxmlformats.org/officeDocument/2006/relationships/hyperlink" Target="https://www.kaggle.com/datasets/sartajbhuvaji/brain-tumor-classification-mri" TargetMode="External"/><Relationship Id="rId721" Type="http://schemas.openxmlformats.org/officeDocument/2006/relationships/hyperlink" Target="https://www.kaggle.com/datasets/sartajbhuvaji/brain-tumor-classification-mri" TargetMode="External"/><Relationship Id="rId720" Type="http://schemas.openxmlformats.org/officeDocument/2006/relationships/hyperlink" Target="https://www.kaggle.com/datasets/sartajbhuvaji/brain-tumor-classification-mri" TargetMode="External"/><Relationship Id="rId727" Type="http://schemas.openxmlformats.org/officeDocument/2006/relationships/hyperlink" Target="https://figshare.com/articles/dataset/brain_tumor_dataset/1512427" TargetMode="External"/><Relationship Id="rId726" Type="http://schemas.openxmlformats.org/officeDocument/2006/relationships/hyperlink" Target="https://figshare.com/articles/dataset/brain_tumor_dataset/1512427" TargetMode="External"/><Relationship Id="rId725" Type="http://schemas.openxmlformats.org/officeDocument/2006/relationships/hyperlink" Target="https://www.kaggle.com/datasets/preetviradiya/brian-tumor-dataset" TargetMode="External"/><Relationship Id="rId724" Type="http://schemas.openxmlformats.org/officeDocument/2006/relationships/hyperlink" Target="https://www.kaggle.com/datasets/preetviradiya/brian-tumor-dataset" TargetMode="External"/><Relationship Id="rId69" Type="http://schemas.openxmlformats.org/officeDocument/2006/relationships/hyperlink" Target="https://tianchi.aliyun.com/dataset/93929" TargetMode="External"/><Relationship Id="rId1790" Type="http://schemas.openxmlformats.org/officeDocument/2006/relationships/hyperlink" Target="https://figshare.com/collections/An_open-access_lumbosacral_spine_MRI_dataset_with_enhanced_spinal_nerve_root_structure_resolution/7372564" TargetMode="External"/><Relationship Id="rId1791" Type="http://schemas.openxmlformats.org/officeDocument/2006/relationships/hyperlink" Target="https://lit.fe.uni-lj.si/en/research/resources/2D-3D-GS" TargetMode="External"/><Relationship Id="rId1792" Type="http://schemas.openxmlformats.org/officeDocument/2006/relationships/hyperlink" Target="https://github.com/kc-santosh/medical-imaging-datasets" TargetMode="External"/><Relationship Id="rId1793" Type="http://schemas.openxmlformats.org/officeDocument/2006/relationships/hyperlink" Target="https://lit.fe.uni-lj.si/en/research/resources/lumbar-CT-vertebrae" TargetMode="External"/><Relationship Id="rId1310" Type="http://schemas.openxmlformats.org/officeDocument/2006/relationships/hyperlink" Target="https://www.synapse.org/Synapse:syn51232283/wiki/621581" TargetMode="External"/><Relationship Id="rId1794" Type="http://schemas.openxmlformats.org/officeDocument/2006/relationships/hyperlink" Target="https://www.cs.cit.tum.de/camp/publications/leg-3d-us-dataset" TargetMode="External"/><Relationship Id="rId1311" Type="http://schemas.openxmlformats.org/officeDocument/2006/relationships/hyperlink" Target="https://commons.datacite.org/doi.org/10.5281/zenodo.7741475" TargetMode="External"/><Relationship Id="rId1795" Type="http://schemas.openxmlformats.org/officeDocument/2006/relationships/hyperlink" Target="https://github.com/M3DV/RibSeg" TargetMode="External"/><Relationship Id="rId51" Type="http://schemas.openxmlformats.org/officeDocument/2006/relationships/hyperlink" Target="https://www.kaggle.com/datasets/praveengovi/coronahack-chest-xraydataset/data" TargetMode="External"/><Relationship Id="rId1301" Type="http://schemas.openxmlformats.org/officeDocument/2006/relationships/hyperlink" Target="https://conferences.miccai.org/2022/papers/489-Paper2739.html" TargetMode="External"/><Relationship Id="rId1785" Type="http://schemas.openxmlformats.org/officeDocument/2006/relationships/hyperlink" Target="https://www.kaggle.com/competitions/fractured-bone-detection-challenge/data" TargetMode="External"/><Relationship Id="rId50" Type="http://schemas.openxmlformats.org/officeDocument/2006/relationships/hyperlink" Target="https://tianchi.aliyun.com/dataset/106604" TargetMode="External"/><Relationship Id="rId1302" Type="http://schemas.openxmlformats.org/officeDocument/2006/relationships/hyperlink" Target="https://www.kaggle.com/datasets/yjh4374/sisvse-dataset?resource=download-directory" TargetMode="External"/><Relationship Id="rId1786" Type="http://schemas.openxmlformats.org/officeDocument/2006/relationships/hyperlink" Target="https://www.kaggle.com/datasets/henriquerezermosqur/dental-x-ray-computacional-vision-segmentation/data" TargetMode="External"/><Relationship Id="rId53" Type="http://schemas.openxmlformats.org/officeDocument/2006/relationships/hyperlink" Target="https://www.kaggle.com/datasets/praveengovi/coronahack-chest-xraydataset/data" TargetMode="External"/><Relationship Id="rId1303" Type="http://schemas.openxmlformats.org/officeDocument/2006/relationships/hyperlink" Target="https://github.com/GorkemP/labeled-images-for-ulcerative-colitis" TargetMode="External"/><Relationship Id="rId1787" Type="http://schemas.openxmlformats.org/officeDocument/2006/relationships/hyperlink" Target="https://www.kaggle.com/datasets/henriquerezermosqur/dental-x-ray-computacional-vision-segmentation/data" TargetMode="External"/><Relationship Id="rId52" Type="http://schemas.openxmlformats.org/officeDocument/2006/relationships/hyperlink" Target="https://arxiv.org/abs/2006.11988" TargetMode="External"/><Relationship Id="rId1304" Type="http://schemas.openxmlformats.org/officeDocument/2006/relationships/hyperlink" Target="https://academic.oup.com/ibdjournal/article-abstract/29/9/1431/6830946?login=false" TargetMode="External"/><Relationship Id="rId1788" Type="http://schemas.openxmlformats.org/officeDocument/2006/relationships/hyperlink" Target="https://www.nature.com/articles/s41597-024-03919-4?_gl=1*1b99nma*_up*MQ..&amp;gclid=CjwKCAjw1NK4BhAwEiwAVUHPUBSVE39DcGDKAwkq8XsXXSl6_OUuZnDtj1uQIYvbjU1jXTS4VUmRnBoClvAQAvD_BwE" TargetMode="External"/><Relationship Id="rId55" Type="http://schemas.openxmlformats.org/officeDocument/2006/relationships/hyperlink" Target="https://ieeexplore.ieee.org/stamp/stamp.jsp?tp=&amp;arnumber=9254002" TargetMode="External"/><Relationship Id="rId1305" Type="http://schemas.openxmlformats.org/officeDocument/2006/relationships/hyperlink" Target="https://zenodo.org/records/5827695" TargetMode="External"/><Relationship Id="rId1789" Type="http://schemas.openxmlformats.org/officeDocument/2006/relationships/hyperlink" Target="https://www.nature.com/articles/s41597-024-03919-4?_gl=1*1b99nma*_up*MQ..&amp;gclid=CjwKCAjw1NK4BhAwEiwAVUHPUBSVE39DcGDKAwkq8XsXXSl6_OUuZnDtj1uQIYvbjU1jXTS4VUmRnBoClvAQAvD_BwE" TargetMode="External"/><Relationship Id="rId54" Type="http://schemas.openxmlformats.org/officeDocument/2006/relationships/hyperlink" Target="https://github.com/ari-dasci/covidgr" TargetMode="External"/><Relationship Id="rId1306" Type="http://schemas.openxmlformats.org/officeDocument/2006/relationships/hyperlink" Target="https://github.com/GewelsJI/VPS/tree/main" TargetMode="External"/><Relationship Id="rId57" Type="http://schemas.openxmlformats.org/officeDocument/2006/relationships/hyperlink" Target="https://doi.org/10.7937/tcia.eqde-4b16" TargetMode="External"/><Relationship Id="rId1307" Type="http://schemas.openxmlformats.org/officeDocument/2006/relationships/hyperlink" Target="https://link.springer.com/article/10.1007/s11633-022-1371-y" TargetMode="External"/><Relationship Id="rId56" Type="http://schemas.openxmlformats.org/officeDocument/2006/relationships/hyperlink" Target="https://www.cancerimagingarchive.net/collection/cmmd/" TargetMode="External"/><Relationship Id="rId1308" Type="http://schemas.openxmlformats.org/officeDocument/2006/relationships/hyperlink" Target="https://opencas.dkfz.de/endovis/challenges/2023/" TargetMode="External"/><Relationship Id="rId1309" Type="http://schemas.openxmlformats.org/officeDocument/2006/relationships/hyperlink" Target="https://zenodo.org/records/8315050" TargetMode="External"/><Relationship Id="rId719" Type="http://schemas.openxmlformats.org/officeDocument/2006/relationships/hyperlink" Target="https://www.kaggle.com/datasets/ahmedhamada0/brain-tumor-detection" TargetMode="External"/><Relationship Id="rId718" Type="http://schemas.openxmlformats.org/officeDocument/2006/relationships/hyperlink" Target="https://www.kaggle.com/datasets/ahmedhamada0/brain-tumor-detection" TargetMode="External"/><Relationship Id="rId717" Type="http://schemas.openxmlformats.org/officeDocument/2006/relationships/hyperlink" Target="https://www.kaggle.com/datasets/ahmedhamada0/brain-tumor-detection" TargetMode="External"/><Relationship Id="rId712" Type="http://schemas.openxmlformats.org/officeDocument/2006/relationships/hyperlink" Target="https://bigbrain.loris.ca/main.php" TargetMode="External"/><Relationship Id="rId711" Type="http://schemas.openxmlformats.org/officeDocument/2006/relationships/hyperlink" Target="https://bigbrain.loris.ca/main.php" TargetMode="External"/><Relationship Id="rId710" Type="http://schemas.openxmlformats.org/officeDocument/2006/relationships/hyperlink" Target="https://github.com/White65534/BHSD" TargetMode="External"/><Relationship Id="rId716" Type="http://schemas.openxmlformats.org/officeDocument/2006/relationships/hyperlink" Target="https://bonbid-hie2024.grand-challenge.org" TargetMode="External"/><Relationship Id="rId715" Type="http://schemas.openxmlformats.org/officeDocument/2006/relationships/hyperlink" Target="https://bonbid-hie2024.grand-challenge.org" TargetMode="External"/><Relationship Id="rId714" Type="http://schemas.openxmlformats.org/officeDocument/2006/relationships/hyperlink" Target="https://bonbid-hie2023.grand-challenge.org/" TargetMode="External"/><Relationship Id="rId713" Type="http://schemas.openxmlformats.org/officeDocument/2006/relationships/hyperlink" Target="https://bonbid-hie2023.grand-challenge.org" TargetMode="External"/><Relationship Id="rId59" Type="http://schemas.openxmlformats.org/officeDocument/2006/relationships/hyperlink" Target="https://www.kaggle.com/competitions/siim-covid19-detection/data" TargetMode="External"/><Relationship Id="rId58" Type="http://schemas.openxmlformats.org/officeDocument/2006/relationships/hyperlink" Target="https://www.cancerimagingarchive.net/collection/cmmd/" TargetMode="External"/><Relationship Id="rId1780" Type="http://schemas.openxmlformats.org/officeDocument/2006/relationships/hyperlink" Target="https://spider.grand-challenge.org/" TargetMode="External"/><Relationship Id="rId1781" Type="http://schemas.openxmlformats.org/officeDocument/2006/relationships/hyperlink" Target="https://arxiv.org/abs/2306.12217" TargetMode="External"/><Relationship Id="rId1782" Type="http://schemas.openxmlformats.org/officeDocument/2006/relationships/hyperlink" Target="https://spider.grand-challenge.org/data/" TargetMode="External"/><Relationship Id="rId1783" Type="http://schemas.openxmlformats.org/officeDocument/2006/relationships/hyperlink" Target="https://zenodo.org/records/10159290" TargetMode="External"/><Relationship Id="rId1300" Type="http://schemas.openxmlformats.org/officeDocument/2006/relationships/hyperlink" Target="https://sisvse.github.io/" TargetMode="External"/><Relationship Id="rId1784" Type="http://schemas.openxmlformats.org/officeDocument/2006/relationships/hyperlink" Target="https://www.kaggle.com/competitions/fractured-bone-detection-challenge/overview" TargetMode="External"/><Relationship Id="rId349" Type="http://schemas.openxmlformats.org/officeDocument/2006/relationships/hyperlink" Target="https://fcon_1000.projects.nitrc.org/indi/retro/atlas.html" TargetMode="External"/><Relationship Id="rId348" Type="http://schemas.openxmlformats.org/officeDocument/2006/relationships/hyperlink" Target="https://atlas.grand-challenge.org/" TargetMode="External"/><Relationship Id="rId347" Type="http://schemas.openxmlformats.org/officeDocument/2006/relationships/hyperlink" Target="https://www.nature.com/articles/s41597-022-01401-7" TargetMode="External"/><Relationship Id="rId346" Type="http://schemas.openxmlformats.org/officeDocument/2006/relationships/hyperlink" Target="https://atlas.grand-challenge.org/" TargetMode="External"/><Relationship Id="rId341" Type="http://schemas.openxmlformats.org/officeDocument/2006/relationships/hyperlink" Target="https://www.cancerimagingarchive.net/collection/vestibular-schwannoma-seg/" TargetMode="External"/><Relationship Id="rId340" Type="http://schemas.openxmlformats.org/officeDocument/2006/relationships/hyperlink" Target="https://crossmoda.grand-challenge.org/" TargetMode="External"/><Relationship Id="rId345" Type="http://schemas.openxmlformats.org/officeDocument/2006/relationships/hyperlink" Target="https://www.synapse.org/" TargetMode="External"/><Relationship Id="rId344" Type="http://schemas.openxmlformats.org/officeDocument/2006/relationships/hyperlink" Target="https://www.synapse.org/" TargetMode="External"/><Relationship Id="rId343" Type="http://schemas.openxmlformats.org/officeDocument/2006/relationships/hyperlink" Target="https://www.synapse.org/" TargetMode="External"/><Relationship Id="rId342" Type="http://schemas.openxmlformats.org/officeDocument/2006/relationships/hyperlink" Target="https://github.com/KCL-BMEIS/VS_Seg" TargetMode="External"/><Relationship Id="rId338" Type="http://schemas.openxmlformats.org/officeDocument/2006/relationships/hyperlink" Target="https://crossmoda.grand-challenge.org/" TargetMode="External"/><Relationship Id="rId337" Type="http://schemas.openxmlformats.org/officeDocument/2006/relationships/hyperlink" Target="https://www.cancerimagingarchive.net/collection/aapm-rt-mac/" TargetMode="External"/><Relationship Id="rId336" Type="http://schemas.openxmlformats.org/officeDocument/2006/relationships/hyperlink" Target="https://www.cancerimagingarchive.net/collection/aapm-rt-mac/" TargetMode="External"/><Relationship Id="rId335" Type="http://schemas.openxmlformats.org/officeDocument/2006/relationships/hyperlink" Target="https://aapm.onlinelibrary.wiley.com/doi/full/10.1002/mp.13942" TargetMode="External"/><Relationship Id="rId339" Type="http://schemas.openxmlformats.org/officeDocument/2006/relationships/hyperlink" Target="https://www.medrxiv.org/content/10.1101/2021.08.04.21261588v1" TargetMode="External"/><Relationship Id="rId330" Type="http://schemas.openxmlformats.org/officeDocument/2006/relationships/hyperlink" Target="https://tn-scui2020.grand-challenge.org/Home/" TargetMode="External"/><Relationship Id="rId334" Type="http://schemas.openxmlformats.org/officeDocument/2006/relationships/hyperlink" Target="https://www.aapm.org/GrandChallenge/RT-MAC/" TargetMode="External"/><Relationship Id="rId333" Type="http://schemas.openxmlformats.org/officeDocument/2006/relationships/hyperlink" Target="https://tn-scui2020.grand-challenge.org/Source_links/" TargetMode="External"/><Relationship Id="rId332" Type="http://schemas.openxmlformats.org/officeDocument/2006/relationships/hyperlink" Target="https://tn-scui2020.grand-challenge.org/Home/" TargetMode="External"/><Relationship Id="rId331" Type="http://schemas.openxmlformats.org/officeDocument/2006/relationships/hyperlink" Target="https://zenodo.org/records/3715942" TargetMode="External"/><Relationship Id="rId370" Type="http://schemas.openxmlformats.org/officeDocument/2006/relationships/hyperlink" Target="https://instance.grand-challenge.org/" TargetMode="External"/><Relationship Id="rId369" Type="http://schemas.openxmlformats.org/officeDocument/2006/relationships/hyperlink" Target="https://hecktor25.grand-challenge.org/data-download/" TargetMode="External"/><Relationship Id="rId368" Type="http://schemas.openxmlformats.org/officeDocument/2006/relationships/hyperlink" Target="https://link.springer.com/book/10.1007/978-3-031-27420-6" TargetMode="External"/><Relationship Id="rId363" Type="http://schemas.openxmlformats.org/officeDocument/2006/relationships/hyperlink" Target="https://hecktor.grand-challenge.org/" TargetMode="External"/><Relationship Id="rId362" Type="http://schemas.openxmlformats.org/officeDocument/2006/relationships/hyperlink" Target="https://tarheels.live/cseg2022/data/" TargetMode="External"/><Relationship Id="rId361" Type="http://schemas.openxmlformats.org/officeDocument/2006/relationships/hyperlink" Target="https://tarheels.live/cseg2022/" TargetMode="External"/><Relationship Id="rId360" Type="http://schemas.openxmlformats.org/officeDocument/2006/relationships/hyperlink" Target="https://tarheels.live/cseg2022/" TargetMode="External"/><Relationship Id="rId367" Type="http://schemas.openxmlformats.org/officeDocument/2006/relationships/hyperlink" Target="https://hecktor25.grand-challenge.org" TargetMode="External"/><Relationship Id="rId366" Type="http://schemas.openxmlformats.org/officeDocument/2006/relationships/hyperlink" Target="https://hecktor.grand-challenge.org/Data/" TargetMode="External"/><Relationship Id="rId365" Type="http://schemas.openxmlformats.org/officeDocument/2006/relationships/hyperlink" Target="https://hecktor.grand-challenge.org/" TargetMode="External"/><Relationship Id="rId364" Type="http://schemas.openxmlformats.org/officeDocument/2006/relationships/hyperlink" Target="https://link.springer.com/book/10.1007/978-3-031-27420-6" TargetMode="External"/><Relationship Id="rId95" Type="http://schemas.openxmlformats.org/officeDocument/2006/relationships/hyperlink" Target="https://tdsc-abus2023.grand-challenge.org/Dataset/" TargetMode="External"/><Relationship Id="rId94" Type="http://schemas.openxmlformats.org/officeDocument/2006/relationships/hyperlink" Target="https://tdsc-abus2023.grand-challenge.org/TDSC-ABUS2023/" TargetMode="External"/><Relationship Id="rId97" Type="http://schemas.openxmlformats.org/officeDocument/2006/relationships/hyperlink" Target="https://codalab.lisn.upsaclay.fr/competitions/13238" TargetMode="External"/><Relationship Id="rId96" Type="http://schemas.openxmlformats.org/officeDocument/2006/relationships/hyperlink" Target="https://codalab.lisn.upsaclay.fr/competitions/13238" TargetMode="External"/><Relationship Id="rId99" Type="http://schemas.openxmlformats.org/officeDocument/2006/relationships/hyperlink" Target="https://doi.org/10.1016/j.dib.2022.107801" TargetMode="External"/><Relationship Id="rId98" Type="http://schemas.openxmlformats.org/officeDocument/2006/relationships/hyperlink" Target="https://multicenteraorta.grand-challenge.org/" TargetMode="External"/><Relationship Id="rId91" Type="http://schemas.openxmlformats.org/officeDocument/2006/relationships/hyperlink" Target="https://www.synapse.org/" TargetMode="External"/><Relationship Id="rId90" Type="http://schemas.openxmlformats.org/officeDocument/2006/relationships/hyperlink" Target="https://physionet.org/content/brax/1.1.0/" TargetMode="External"/><Relationship Id="rId93" Type="http://schemas.openxmlformats.org/officeDocument/2006/relationships/hyperlink" Target="https://www.synapse.org/" TargetMode="External"/><Relationship Id="rId92" Type="http://schemas.openxmlformats.org/officeDocument/2006/relationships/hyperlink" Target="https://ir.lib.uwo.ca/cgi/viewcontent.cgi?article=12693&amp;context=etd" TargetMode="External"/><Relationship Id="rId359" Type="http://schemas.openxmlformats.org/officeDocument/2006/relationships/hyperlink" Target="https://brainptm-2021.grand-challenge.org/Dataset/" TargetMode="External"/><Relationship Id="rId358" Type="http://schemas.openxmlformats.org/officeDocument/2006/relationships/hyperlink" Target="https://brainptm-2021.grand-challenge.org/" TargetMode="External"/><Relationship Id="rId357" Type="http://schemas.openxmlformats.org/officeDocument/2006/relationships/hyperlink" Target="https://ieeexplore.ieee.org/document/8906050" TargetMode="External"/><Relationship Id="rId352" Type="http://schemas.openxmlformats.org/officeDocument/2006/relationships/hyperlink" Target="https://feta.grand-challenge.org/data-download/" TargetMode="External"/><Relationship Id="rId351" Type="http://schemas.openxmlformats.org/officeDocument/2006/relationships/hyperlink" Target="https://feta.grand-challenge.org/" TargetMode="External"/><Relationship Id="rId350" Type="http://schemas.openxmlformats.org/officeDocument/2006/relationships/hyperlink" Target="https://feta.grand-challenge.org/" TargetMode="External"/><Relationship Id="rId356" Type="http://schemas.openxmlformats.org/officeDocument/2006/relationships/hyperlink" Target="https://brainptm-2021.grand-challenge.org/" TargetMode="External"/><Relationship Id="rId355" Type="http://schemas.openxmlformats.org/officeDocument/2006/relationships/hyperlink" Target="https://fetachallenge.github.io/pages/Data_download" TargetMode="External"/><Relationship Id="rId354" Type="http://schemas.openxmlformats.org/officeDocument/2006/relationships/hyperlink" Target="https://www.nature.com/articles/s41597-021-00946-3" TargetMode="External"/><Relationship Id="rId353" Type="http://schemas.openxmlformats.org/officeDocument/2006/relationships/hyperlink" Target="https://fetachallenge.github.io" TargetMode="External"/><Relationship Id="rId1378" Type="http://schemas.openxmlformats.org/officeDocument/2006/relationships/hyperlink" Target="https://www.dropbox.com/s/k88qukc20ljnbuo/PH2Dataset.rar" TargetMode="External"/><Relationship Id="rId1379" Type="http://schemas.openxmlformats.org/officeDocument/2006/relationships/hyperlink" Target="https://www.cs.rug.nl/~imaging/databases/melanoma_naevi/" TargetMode="External"/><Relationship Id="rId305" Type="http://schemas.openxmlformats.org/officeDocument/2006/relationships/hyperlink" Target="https://osf.io/q3zws/" TargetMode="External"/><Relationship Id="rId789" Type="http://schemas.openxmlformats.org/officeDocument/2006/relationships/hyperlink" Target="https://academictorrents.com/details/47e9d8aab761e75fd0a81982fa62bddf3a173831" TargetMode="External"/><Relationship Id="rId304" Type="http://schemas.openxmlformats.org/officeDocument/2006/relationships/hyperlink" Target="https://osf.io/q3zws/" TargetMode="External"/><Relationship Id="rId788" Type="http://schemas.openxmlformats.org/officeDocument/2006/relationships/hyperlink" Target="https://academictorrents.com/details/47e9d8aab761e75fd0a81982fa62bddf3a173831" TargetMode="External"/><Relationship Id="rId303" Type="http://schemas.openxmlformats.org/officeDocument/2006/relationships/hyperlink" Target="https://www.nature.com/articles/sdata2018291" TargetMode="External"/><Relationship Id="rId787" Type="http://schemas.openxmlformats.org/officeDocument/2006/relationships/hyperlink" Target="https://www.cancerimagingarchive.net/collection/cptac-gbm" TargetMode="External"/><Relationship Id="rId302" Type="http://schemas.openxmlformats.org/officeDocument/2006/relationships/hyperlink" Target="https://osf.io/q3zws/wiki/home/" TargetMode="External"/><Relationship Id="rId786" Type="http://schemas.openxmlformats.org/officeDocument/2006/relationships/hyperlink" Target="https://www.cancerimagingarchive.net/collection/cptac-gbm" TargetMode="External"/><Relationship Id="rId309" Type="http://schemas.openxmlformats.org/officeDocument/2006/relationships/hyperlink" Target="https://iseg2019.web.unc.edu/data/" TargetMode="External"/><Relationship Id="rId308" Type="http://schemas.openxmlformats.org/officeDocument/2006/relationships/hyperlink" Target="https://iseg2019.web.unc.edu/" TargetMode="External"/><Relationship Id="rId307" Type="http://schemas.openxmlformats.org/officeDocument/2006/relationships/hyperlink" Target="https://ieeexplore.ieee.org/document/9339962" TargetMode="External"/><Relationship Id="rId306" Type="http://schemas.openxmlformats.org/officeDocument/2006/relationships/hyperlink" Target="https://iseg2019.web.unc.edu/" TargetMode="External"/><Relationship Id="rId781" Type="http://schemas.openxmlformats.org/officeDocument/2006/relationships/hyperlink" Target="http://fcon_1000.projects.nitrc.org/indi/retro/cobre.html" TargetMode="External"/><Relationship Id="rId1370" Type="http://schemas.openxmlformats.org/officeDocument/2006/relationships/hyperlink" Target="https://www.cancerimagingarchive.net/analysis-result/isbi-mr-prostate-2013" TargetMode="External"/><Relationship Id="rId780" Type="http://schemas.openxmlformats.org/officeDocument/2006/relationships/hyperlink" Target="http://fcon_1000.projects.nitrc.org/indi/retro/cobre.html" TargetMode="External"/><Relationship Id="rId1371" Type="http://schemas.openxmlformats.org/officeDocument/2006/relationships/hyperlink" Target="https://www.cancerimagingarchive.net/collection/prostate-3t" TargetMode="External"/><Relationship Id="rId1372" Type="http://schemas.openxmlformats.org/officeDocument/2006/relationships/hyperlink" Target="https://www.cancerimagingarchive.net/collection/prostate-diagnosis" TargetMode="External"/><Relationship Id="rId1373" Type="http://schemas.openxmlformats.org/officeDocument/2006/relationships/hyperlink" Target="https://www.na-mic.org/wiki/2009_prostate_segmentation_challenge_MICCAI" TargetMode="External"/><Relationship Id="rId301" Type="http://schemas.openxmlformats.org/officeDocument/2006/relationships/hyperlink" Target="https://www.imagenglab.com/newsite/pddca/" TargetMode="External"/><Relationship Id="rId785" Type="http://schemas.openxmlformats.org/officeDocument/2006/relationships/hyperlink" Target="http://fcon_1000.projects.nitrc.org/indi/CoRR/html" TargetMode="External"/><Relationship Id="rId1374" Type="http://schemas.openxmlformats.org/officeDocument/2006/relationships/hyperlink" Target="https://www.cancerimagingarchive.net/collection/prostatex" TargetMode="External"/><Relationship Id="rId300" Type="http://schemas.openxmlformats.org/officeDocument/2006/relationships/hyperlink" Target="https://www.imagenglab.com/newsite/pddca/" TargetMode="External"/><Relationship Id="rId784" Type="http://schemas.openxmlformats.org/officeDocument/2006/relationships/hyperlink" Target="http://fcon_1000.projects.nitrc.org/indi/CoRR/html" TargetMode="External"/><Relationship Id="rId1375" Type="http://schemas.openxmlformats.org/officeDocument/2006/relationships/hyperlink" Target="https://www.cancerimagingarchive.net/collection/tcga-prad" TargetMode="External"/><Relationship Id="rId783" Type="http://schemas.openxmlformats.org/officeDocument/2006/relationships/hyperlink" Target="https://physionet.org/content/ct-ich" TargetMode="External"/><Relationship Id="rId1376" Type="http://schemas.openxmlformats.org/officeDocument/2006/relationships/hyperlink" Target="https://www.fc.up.pt/addi/ph2%20database.html" TargetMode="External"/><Relationship Id="rId782" Type="http://schemas.openxmlformats.org/officeDocument/2006/relationships/hyperlink" Target="https://physionet.org/content/ct-ich" TargetMode="External"/><Relationship Id="rId1377" Type="http://schemas.openxmlformats.org/officeDocument/2006/relationships/hyperlink" Target="https://www.researchgate.net/profile/Catarina-Barata-2/publication/300467916_PH2_A_Public_Database_for_the_Analysis_of_Dermoscopic_Images/links/570fa8cf08ae170055bde6db/PH2-A-Public-Database-for-the-Analysis-of-Dermoscopic-Images.pdf" TargetMode="External"/><Relationship Id="rId1367" Type="http://schemas.openxmlformats.org/officeDocument/2006/relationships/hyperlink" Target="https://www.cs.uoi.gr/~marina/sipakmed.html" TargetMode="External"/><Relationship Id="rId1368" Type="http://schemas.openxmlformats.org/officeDocument/2006/relationships/hyperlink" Target="https://i2cvb.github.io" TargetMode="External"/><Relationship Id="rId1369" Type="http://schemas.openxmlformats.org/officeDocument/2006/relationships/hyperlink" Target="https://liuquande.github.io/SAML" TargetMode="External"/><Relationship Id="rId778" Type="http://schemas.openxmlformats.org/officeDocument/2006/relationships/hyperlink" Target="http://fcon_1000.projects.nitrc.org/indi/cmi_healthy_brain_network" TargetMode="External"/><Relationship Id="rId777" Type="http://schemas.openxmlformats.org/officeDocument/2006/relationships/hyperlink" Target="http://fcon_1000.projects.nitrc.org/indi/retro/ClevelandCCF.html" TargetMode="External"/><Relationship Id="rId776" Type="http://schemas.openxmlformats.org/officeDocument/2006/relationships/hyperlink" Target="http://fcon_1000.projects.nitrc.org/indi/retro/ClevelandCCF.html" TargetMode="External"/><Relationship Id="rId775" Type="http://schemas.openxmlformats.org/officeDocument/2006/relationships/hyperlink" Target="https://openfmri.org/dataset/ds000174" TargetMode="External"/><Relationship Id="rId779" Type="http://schemas.openxmlformats.org/officeDocument/2006/relationships/hyperlink" Target="http://fcon_1000.projects.nitrc.org/indi/cmi_healthy_brain_network" TargetMode="External"/><Relationship Id="rId770" Type="http://schemas.openxmlformats.org/officeDocument/2006/relationships/hyperlink" Target="https://camcan-archive.mrc-cbu.cam.ac.uk/dataaccess" TargetMode="External"/><Relationship Id="rId1360" Type="http://schemas.openxmlformats.org/officeDocument/2006/relationships/hyperlink" Target="https://hc18.grand-challenge.org/" TargetMode="External"/><Relationship Id="rId1361" Type="http://schemas.openxmlformats.org/officeDocument/2006/relationships/hyperlink" Target="https://codalab.lisn.upsaclay.fr/competitions/18413" TargetMode="External"/><Relationship Id="rId1362" Type="http://schemas.openxmlformats.org/officeDocument/2006/relationships/hyperlink" Target="https://figshare.com/articles/dataset/JNU-IFM/14371652" TargetMode="External"/><Relationship Id="rId774" Type="http://schemas.openxmlformats.org/officeDocument/2006/relationships/hyperlink" Target="https://openfmri.org/dataset/ds000174" TargetMode="External"/><Relationship Id="rId1363" Type="http://schemas.openxmlformats.org/officeDocument/2006/relationships/hyperlink" Target="https://data.mendeley.com/datasets/zddtpgzv63/4" TargetMode="External"/><Relationship Id="rId773" Type="http://schemas.openxmlformats.org/officeDocument/2006/relationships/hyperlink" Target="https://cause07.grand-challenge.org" TargetMode="External"/><Relationship Id="rId1364" Type="http://schemas.openxmlformats.org/officeDocument/2006/relationships/hyperlink" Target="https://www.cancerimagingarchive.net/collection/tcga-cesc" TargetMode="External"/><Relationship Id="rId772" Type="http://schemas.openxmlformats.org/officeDocument/2006/relationships/hyperlink" Target="https://cause07.grand-challenge.org" TargetMode="External"/><Relationship Id="rId1365" Type="http://schemas.openxmlformats.org/officeDocument/2006/relationships/hyperlink" Target="https://www.cancerimagingarchive.net/collection/tcga-ov" TargetMode="External"/><Relationship Id="rId771" Type="http://schemas.openxmlformats.org/officeDocument/2006/relationships/hyperlink" Target="https://camcan-archive.mrc-cbu.cam.ac.uk/dataaccess" TargetMode="External"/><Relationship Id="rId1366" Type="http://schemas.openxmlformats.org/officeDocument/2006/relationships/hyperlink" Target="https://www.cancerimagingarchive.net/collection/tcga-ucec" TargetMode="External"/><Relationship Id="rId327" Type="http://schemas.openxmlformats.org/officeDocument/2006/relationships/hyperlink" Target="https://onlinelibrary.wiley.com/doi/full/10.1111/jmi.12611" TargetMode="External"/><Relationship Id="rId326" Type="http://schemas.openxmlformats.org/officeDocument/2006/relationships/hyperlink" Target="https://data.mendeley.com/datasets/ftmp4cvtmb/1" TargetMode="External"/><Relationship Id="rId325" Type="http://schemas.openxmlformats.org/officeDocument/2006/relationships/hyperlink" Target="https://dataverse.nl/dataset.xhtml?persistentId=doi:10.34894/AECRSD" TargetMode="External"/><Relationship Id="rId324" Type="http://schemas.openxmlformats.org/officeDocument/2006/relationships/hyperlink" Target="https://dataverse.nl/dataset.xhtml?persistentId=doi:10.34894/AECRSD" TargetMode="External"/><Relationship Id="rId329" Type="http://schemas.openxmlformats.org/officeDocument/2006/relationships/hyperlink" Target="https://data.mendeley.com/datasets/ftmp4cvtmb/1" TargetMode="External"/><Relationship Id="rId1390" Type="http://schemas.openxmlformats.org/officeDocument/2006/relationships/hyperlink" Target="https://challenge2020.isic-archive.com/" TargetMode="External"/><Relationship Id="rId328" Type="http://schemas.openxmlformats.org/officeDocument/2006/relationships/hyperlink" Target="https://data.mendeley.com/datasets/ftmp4cvtmb/1" TargetMode="External"/><Relationship Id="rId1391" Type="http://schemas.openxmlformats.org/officeDocument/2006/relationships/hyperlink" Target="https://data.mendeley.com/datasets/zr7vgbcyr2/1" TargetMode="External"/><Relationship Id="rId1392" Type="http://schemas.openxmlformats.org/officeDocument/2006/relationships/hyperlink" Target="https://www.sciencedirect.com/science/article/pii/S235234092031115X" TargetMode="External"/><Relationship Id="rId1393" Type="http://schemas.openxmlformats.org/officeDocument/2006/relationships/hyperlink" Target="https://prod-dcd-datasets-cache-zipfiles.s3.eu-west-1.amazonaws.com/zr7vgbcyr2-1.zip" TargetMode="External"/><Relationship Id="rId1394" Type="http://schemas.openxmlformats.org/officeDocument/2006/relationships/hyperlink" Target="https://github.com/mattgroh/fitzpatrick17k" TargetMode="External"/><Relationship Id="rId1395" Type="http://schemas.openxmlformats.org/officeDocument/2006/relationships/hyperlink" Target="https://openaccess.thecvf.com/content/CVPR2021W/ISIC/papers/Groh_Evaluating_Deep_Neural_Networks_Trained_on_Clinical_Images_in_Dermatology_CVPRW_2021_paper.pdf" TargetMode="External"/><Relationship Id="rId323" Type="http://schemas.openxmlformats.org/officeDocument/2006/relationships/hyperlink" Target="https://ieeexplore.ieee.org/document/8669968" TargetMode="External"/><Relationship Id="rId1396" Type="http://schemas.openxmlformats.org/officeDocument/2006/relationships/hyperlink" Target="https://github.com/mattgroh/fitzpatrick17k" TargetMode="External"/><Relationship Id="rId322" Type="http://schemas.openxmlformats.org/officeDocument/2006/relationships/hyperlink" Target="https://dataverse.nl/dataset.xhtml?persistentId=doi:10.34894/AECRSD" TargetMode="External"/><Relationship Id="rId1397" Type="http://schemas.openxmlformats.org/officeDocument/2006/relationships/hyperlink" Target="https://www.biorxiv.org/content/10.1101/2022.08.01.502199v3.full.pdf" TargetMode="External"/><Relationship Id="rId321" Type="http://schemas.openxmlformats.org/officeDocument/2006/relationships/hyperlink" Target="https://www.kaggle.com/datasets/felipekitamura/head-ct-hemorrhage" TargetMode="External"/><Relationship Id="rId1398" Type="http://schemas.openxmlformats.org/officeDocument/2006/relationships/hyperlink" Target="https://www.heywhale.com/mw/dataset/62eb75d6fef0903951b1f199" TargetMode="External"/><Relationship Id="rId320" Type="http://schemas.openxmlformats.org/officeDocument/2006/relationships/hyperlink" Target="https://www.kaggle.com/datasets/felipekitamura/head-ct-hemorrhage" TargetMode="External"/><Relationship Id="rId1399" Type="http://schemas.openxmlformats.org/officeDocument/2006/relationships/hyperlink" Target="https://research.google/blog/scin-a-new-resource-for-representative-dermatology-images/" TargetMode="External"/><Relationship Id="rId1389" Type="http://schemas.openxmlformats.org/officeDocument/2006/relationships/hyperlink" Target="https://www.nature.com/articles/s41597-021-00815-z" TargetMode="External"/><Relationship Id="rId316" Type="http://schemas.openxmlformats.org/officeDocument/2006/relationships/hyperlink" Target="http://medicaldecathlon.com/" TargetMode="External"/><Relationship Id="rId315" Type="http://schemas.openxmlformats.org/officeDocument/2006/relationships/hyperlink" Target="http://medicaldecathlon.com/dataaws/" TargetMode="External"/><Relationship Id="rId799" Type="http://schemas.openxmlformats.org/officeDocument/2006/relationships/hyperlink" Target="https://www.cancerimagingarchive.net/collection/dfci-bch-bwh-peds-hgg" TargetMode="External"/><Relationship Id="rId314" Type="http://schemas.openxmlformats.org/officeDocument/2006/relationships/hyperlink" Target="http://medicaldecathlon.com/" TargetMode="External"/><Relationship Id="rId798" Type="http://schemas.openxmlformats.org/officeDocument/2006/relationships/hyperlink" Target="https://www.cancerimagingarchive.net/collection/dfci-bch-bwh-peds-hgg" TargetMode="External"/><Relationship Id="rId313" Type="http://schemas.openxmlformats.org/officeDocument/2006/relationships/hyperlink" Target="http://medicaldecathlon.com/" TargetMode="External"/><Relationship Id="rId797" Type="http://schemas.openxmlformats.org/officeDocument/2006/relationships/hyperlink" Target="https://www.ncbi.nlm.nih.gov/projects/gap/cgi-bin/study.cgi?study_id=phs000607.v3.p2" TargetMode="External"/><Relationship Id="rId319" Type="http://schemas.openxmlformats.org/officeDocument/2006/relationships/hyperlink" Target="https://www.kaggle.com/datasets/felipekitamura/head-ct-hemorrhage" TargetMode="External"/><Relationship Id="rId318" Type="http://schemas.openxmlformats.org/officeDocument/2006/relationships/hyperlink" Target="http://medicaldecathlon.com/dataaws/" TargetMode="External"/><Relationship Id="rId317" Type="http://schemas.openxmlformats.org/officeDocument/2006/relationships/hyperlink" Target="http://medicaldecathlon.com/" TargetMode="External"/><Relationship Id="rId1380" Type="http://schemas.openxmlformats.org/officeDocument/2006/relationships/hyperlink" Target="https://pure.rug.nl/ws/portalfiles/portal/84388355/MED_NODE_A_computer_assisted_melanoma_diagnosis_system_using_non.pdf" TargetMode="External"/><Relationship Id="rId792" Type="http://schemas.openxmlformats.org/officeDocument/2006/relationships/hyperlink" Target="https://www.synapse.org/" TargetMode="External"/><Relationship Id="rId1381" Type="http://schemas.openxmlformats.org/officeDocument/2006/relationships/hyperlink" Target="https://www.cs.rug.nl/~imaging/databases/melanoma_naevi/complete_mednode_dataset.zip" TargetMode="External"/><Relationship Id="rId791" Type="http://schemas.openxmlformats.org/officeDocument/2006/relationships/hyperlink" Target="https://crossmoda2022.grand-challenge.org" TargetMode="External"/><Relationship Id="rId1382" Type="http://schemas.openxmlformats.org/officeDocument/2006/relationships/hyperlink" Target="https://challenge.isic-archive.com/data/" TargetMode="External"/><Relationship Id="rId790" Type="http://schemas.openxmlformats.org/officeDocument/2006/relationships/hyperlink" Target="https://crossmoda2022.grand-challenge.org" TargetMode="External"/><Relationship Id="rId1383" Type="http://schemas.openxmlformats.org/officeDocument/2006/relationships/hyperlink" Target="https://ieeexplore.ieee.org/document/8363547" TargetMode="External"/><Relationship Id="rId1384" Type="http://schemas.openxmlformats.org/officeDocument/2006/relationships/hyperlink" Target="https://challenge.isic-archive.com/data/" TargetMode="External"/><Relationship Id="rId312" Type="http://schemas.openxmlformats.org/officeDocument/2006/relationships/hyperlink" Target="https://structseg2019.grand-challenge.org/Download/" TargetMode="External"/><Relationship Id="rId796" Type="http://schemas.openxmlformats.org/officeDocument/2006/relationships/hyperlink" Target="https://www.ncbi.nlm.nih.gov/projects/gap/cgi-bin/study.cgi?study_id=phs000607.v3.p2" TargetMode="External"/><Relationship Id="rId1385" Type="http://schemas.openxmlformats.org/officeDocument/2006/relationships/hyperlink" Target="https://derm.cs.sfu.ca/Welcome.html" TargetMode="External"/><Relationship Id="rId311" Type="http://schemas.openxmlformats.org/officeDocument/2006/relationships/hyperlink" Target="https://structseg2019.grand-challenge.org/" TargetMode="External"/><Relationship Id="rId795" Type="http://schemas.openxmlformats.org/officeDocument/2006/relationships/hyperlink" Target="http://fcon_1000.projects.nitrc.org/indi/retro/CUNMET.html" TargetMode="External"/><Relationship Id="rId1386" Type="http://schemas.openxmlformats.org/officeDocument/2006/relationships/hyperlink" Target="https://ieeexplore.ieee.org/document/8333693" TargetMode="External"/><Relationship Id="rId310" Type="http://schemas.openxmlformats.org/officeDocument/2006/relationships/hyperlink" Target="https://structseg2019.grand-challenge.org" TargetMode="External"/><Relationship Id="rId794" Type="http://schemas.openxmlformats.org/officeDocument/2006/relationships/hyperlink" Target="http://fcon_1000.projects.nitrc.org/indi/retro/CUNMET.html" TargetMode="External"/><Relationship Id="rId1387" Type="http://schemas.openxmlformats.org/officeDocument/2006/relationships/hyperlink" Target="https://derm.cs.sfu.ca/Welcome.html" TargetMode="External"/><Relationship Id="rId793" Type="http://schemas.openxmlformats.org/officeDocument/2006/relationships/hyperlink" Target="https://www.synapse.org/" TargetMode="External"/><Relationship Id="rId1388" Type="http://schemas.openxmlformats.org/officeDocument/2006/relationships/hyperlink" Target="https://challenge2020.isic-archive.com/" TargetMode="External"/><Relationship Id="rId297" Type="http://schemas.openxmlformats.org/officeDocument/2006/relationships/hyperlink" Target="https://www.cancerimagingarchive.net/analysis-result/brats-tcga-gbm/" TargetMode="External"/><Relationship Id="rId296" Type="http://schemas.openxmlformats.org/officeDocument/2006/relationships/hyperlink" Target="https://www.cancerimagingarchive.net/analysis-result/brats-tcga-gbm/" TargetMode="External"/><Relationship Id="rId295" Type="http://schemas.openxmlformats.org/officeDocument/2006/relationships/hyperlink" Target="https://arxiv.org/abs/1811.02629" TargetMode="External"/><Relationship Id="rId294" Type="http://schemas.openxmlformats.org/officeDocument/2006/relationships/hyperlink" Target="https://www.cancerimagingarchive.net/analysis-result/brats-tcga-gbm/" TargetMode="External"/><Relationship Id="rId299" Type="http://schemas.openxmlformats.org/officeDocument/2006/relationships/hyperlink" Target="https://aapm.onlinelibrary.wiley.com/doi/10.1002/mp.12197" TargetMode="External"/><Relationship Id="rId298" Type="http://schemas.openxmlformats.org/officeDocument/2006/relationships/hyperlink" Target="https://www.imagenglab.com/newsite/pddca/" TargetMode="External"/><Relationship Id="rId271" Type="http://schemas.openxmlformats.org/officeDocument/2006/relationships/hyperlink" Target="http://oasis-brains.org" TargetMode="External"/><Relationship Id="rId270" Type="http://schemas.openxmlformats.org/officeDocument/2006/relationships/hyperlink" Target="https://dash.harvard.edu/bitstream/handle/1/33896768/Buckner_OpenAccess.pdf?sequence=2" TargetMode="External"/><Relationship Id="rId269" Type="http://schemas.openxmlformats.org/officeDocument/2006/relationships/hyperlink" Target="http://oasis-brains.org" TargetMode="External"/><Relationship Id="rId264" Type="http://schemas.openxmlformats.org/officeDocument/2006/relationships/hyperlink" Target="https://image-x.sydney.edu.au/vampire-challenge" TargetMode="External"/><Relationship Id="rId263" Type="http://schemas.openxmlformats.org/officeDocument/2006/relationships/hyperlink" Target="https://www.cancerimagingarchive.net/collection/tcga-luad" TargetMode="External"/><Relationship Id="rId262" Type="http://schemas.openxmlformats.org/officeDocument/2006/relationships/hyperlink" Target="https://stoic2021.grand-challenge.org/" TargetMode="External"/><Relationship Id="rId261" Type="http://schemas.openxmlformats.org/officeDocument/2006/relationships/hyperlink" Target="https://www.cancerimagingarchive.net/collection/spie-aapm-lung-ct-challenge" TargetMode="External"/><Relationship Id="rId268" Type="http://schemas.openxmlformats.org/officeDocument/2006/relationships/hyperlink" Target="http://adni.loni.usc.edu" TargetMode="External"/><Relationship Id="rId267" Type="http://schemas.openxmlformats.org/officeDocument/2006/relationships/hyperlink" Target="http://adni.loni.usc.edu" TargetMode="External"/><Relationship Id="rId266" Type="http://schemas.openxmlformats.org/officeDocument/2006/relationships/hyperlink" Target="https://physionet.org/content/vindr-pcxr" TargetMode="External"/><Relationship Id="rId265" Type="http://schemas.openxmlformats.org/officeDocument/2006/relationships/hyperlink" Target="http://www.via.cornell.edu/databases/crpf.html" TargetMode="External"/><Relationship Id="rId260" Type="http://schemas.openxmlformats.org/officeDocument/2006/relationships/hyperlink" Target="http://www.via.cornell.edu/databases/simbadb.html" TargetMode="External"/><Relationship Id="rId259" Type="http://schemas.openxmlformats.org/officeDocument/2006/relationships/hyperlink" Target="https://www.kaggle.com/c/siim-acr-pneumothorax-segmentation" TargetMode="External"/><Relationship Id="rId258" Type="http://schemas.openxmlformats.org/officeDocument/2006/relationships/hyperlink" Target="https://www.kaggle.com/datasets/yoctoman/shcxr-lung-mask" TargetMode="External"/><Relationship Id="rId253" Type="http://schemas.openxmlformats.org/officeDocument/2006/relationships/hyperlink" Target="https://www.cancerimagingarchive.net/collection/phantom-fda" TargetMode="External"/><Relationship Id="rId252" Type="http://schemas.openxmlformats.org/officeDocument/2006/relationships/hyperlink" Target="https://www.cancerimagingarchive.net/collection/nsclc-radiomics-interobserver1/" TargetMode="External"/><Relationship Id="rId251" Type="http://schemas.openxmlformats.org/officeDocument/2006/relationships/hyperlink" Target="https://www.cancerimagingarchive.net/collection/nsclc-radiomics" TargetMode="External"/><Relationship Id="rId250" Type="http://schemas.openxmlformats.org/officeDocument/2006/relationships/hyperlink" Target="https://www.cancerimagingarchive.net/analysis-result/nsclc-radiogenomics-stanford" TargetMode="External"/><Relationship Id="rId257" Type="http://schemas.openxmlformats.org/officeDocument/2006/relationships/hyperlink" Target="https://www.rsna.org/rsnai/ai-image-challenge/rsna-pe-detection-challenge-2020" TargetMode="External"/><Relationship Id="rId256" Type="http://schemas.openxmlformats.org/officeDocument/2006/relationships/hyperlink" Target="https://www.rsna.org/rsnai/ai-image-challenge/RSNA-Pneumonia-Detection-Challenge-2018" TargetMode="External"/><Relationship Id="rId255" Type="http://schemas.openxmlformats.org/officeDocument/2006/relationships/hyperlink" Target="https://www.cancerimagingarchive.net/collection/rider-lung-ct" TargetMode="External"/><Relationship Id="rId254" Type="http://schemas.openxmlformats.org/officeDocument/2006/relationships/hyperlink" Target="https://www.kaggle.com/datasets/kmader/pulmonary-chest-xray-abnormalities" TargetMode="External"/><Relationship Id="rId293" Type="http://schemas.openxmlformats.org/officeDocument/2006/relationships/hyperlink" Target="https://www.cancerimagingarchive.net/analysis-result/brats-tcga-lgg/" TargetMode="External"/><Relationship Id="rId292" Type="http://schemas.openxmlformats.org/officeDocument/2006/relationships/hyperlink" Target="https://www.cancerimagingarchive.net/analysis-result/brats-tcga-lgg/" TargetMode="External"/><Relationship Id="rId291" Type="http://schemas.openxmlformats.org/officeDocument/2006/relationships/hyperlink" Target="https://arxiv.org/abs/1811.02629" TargetMode="External"/><Relationship Id="rId290" Type="http://schemas.openxmlformats.org/officeDocument/2006/relationships/hyperlink" Target="https://www.med.upenn.edu/sbia/brats2017.html" TargetMode="External"/><Relationship Id="rId286" Type="http://schemas.openxmlformats.org/officeDocument/2006/relationships/hyperlink" Target="https://www.kaggle.com/datasets/dasmehdixtr/ddti-thyroid-ultrasound-images" TargetMode="External"/><Relationship Id="rId285" Type="http://schemas.openxmlformats.org/officeDocument/2006/relationships/hyperlink" Target="http://cimalab.intec.co/applications/thyroid/" TargetMode="External"/><Relationship Id="rId284" Type="http://schemas.openxmlformats.org/officeDocument/2006/relationships/hyperlink" Target="https://www.spiedigitallibrary.org/conference-proceedings-of-spie/9287/92870W/An-open-access-thyroid-ultrasound-image-database/10.1117/12.2073532.short?SSO=1" TargetMode="External"/><Relationship Id="rId283" Type="http://schemas.openxmlformats.org/officeDocument/2006/relationships/hyperlink" Target="https://www.kaggle.com/datasets/dasmehdixtr/ddti-thyroid-ultrasound-images" TargetMode="External"/><Relationship Id="rId289" Type="http://schemas.openxmlformats.org/officeDocument/2006/relationships/hyperlink" Target="https://www.kaggle.com/c/ultrasound-nerve-segmentation/data" TargetMode="External"/><Relationship Id="rId288" Type="http://schemas.openxmlformats.org/officeDocument/2006/relationships/hyperlink" Target="https://kaggle.com/competitions/ultrasound-nerve-segmentation" TargetMode="External"/><Relationship Id="rId287" Type="http://schemas.openxmlformats.org/officeDocument/2006/relationships/hyperlink" Target="https://kaggle.com/competitions/ultrasound-nerve-segmentation" TargetMode="External"/><Relationship Id="rId282" Type="http://schemas.openxmlformats.org/officeDocument/2006/relationships/hyperlink" Target="https://dataverse.nl/dataset.xhtml?persistentId=doi:10.34894/645ZIN" TargetMode="External"/><Relationship Id="rId281" Type="http://schemas.openxmlformats.org/officeDocument/2006/relationships/hyperlink" Target="https://mrbrains13.isi.uu.nl/index.html" TargetMode="External"/><Relationship Id="rId280" Type="http://schemas.openxmlformats.org/officeDocument/2006/relationships/hyperlink" Target="https://onlinelibrary.wiley.com/doi/full/10.1155/2015/813696" TargetMode="External"/><Relationship Id="rId275" Type="http://schemas.openxmlformats.org/officeDocument/2006/relationships/hyperlink" Target="https://www.nitrc.org/projects/msseg" TargetMode="External"/><Relationship Id="rId274" Type="http://schemas.openxmlformats.org/officeDocument/2006/relationships/hyperlink" Target="https://huggingface.co/datasets/FOMO25/FOMO-MRI" TargetMode="External"/><Relationship Id="rId273" Type="http://schemas.openxmlformats.org/officeDocument/2006/relationships/hyperlink" Target="https://fomo25.github.io/" TargetMode="External"/><Relationship Id="rId272" Type="http://schemas.openxmlformats.org/officeDocument/2006/relationships/hyperlink" Target="https://fomo25.github.io/" TargetMode="External"/><Relationship Id="rId279" Type="http://schemas.openxmlformats.org/officeDocument/2006/relationships/hyperlink" Target="https://mrbrains13.isi.uu.nl/index.html" TargetMode="External"/><Relationship Id="rId278" Type="http://schemas.openxmlformats.org/officeDocument/2006/relationships/hyperlink" Target="https://www.nitrc.org/projects/msseg" TargetMode="External"/><Relationship Id="rId277" Type="http://schemas.openxmlformats.org/officeDocument/2006/relationships/hyperlink" Target="http://www.ia.unc.edu/MSseg/index.html" TargetMode="External"/><Relationship Id="rId276" Type="http://schemas.openxmlformats.org/officeDocument/2006/relationships/hyperlink" Target="https://www.researchgate.net/profile/Martin-Styner/publication/237785665_3D_Segmentation_in_the_Clinic_A_Grand_Challenge_II_MS_lesion_segmentation/links/02e7e528cc921cb769000000/3D-Segmentation-in-the-Clinic-A-Grand-Challenge-II-MS-lesion-segmentation.pdf" TargetMode="External"/><Relationship Id="rId1851" Type="http://schemas.openxmlformats.org/officeDocument/2006/relationships/hyperlink" Target="https://www.kaggle.com/datasets/aryashah2k/breast-ultrasound-images-dataset" TargetMode="External"/><Relationship Id="rId1852" Type="http://schemas.openxmlformats.org/officeDocument/2006/relationships/drawing" Target="../drawings/drawing1.xml"/><Relationship Id="rId1850" Type="http://schemas.openxmlformats.org/officeDocument/2006/relationships/hyperlink" Target="https://tbportals.niaid.nih.gov" TargetMode="External"/><Relationship Id="rId1840" Type="http://schemas.openxmlformats.org/officeDocument/2006/relationships/hyperlink" Target="https://camelyon16.grand-challenge.org" TargetMode="External"/><Relationship Id="rId1841" Type="http://schemas.openxmlformats.org/officeDocument/2006/relationships/hyperlink" Target="https://camelyon17.grand-challenge.org" TargetMode="External"/><Relationship Id="rId1842" Type="http://schemas.openxmlformats.org/officeDocument/2006/relationships/hyperlink" Target="https://registry.opendata.aws/camelyon/" TargetMode="External"/><Relationship Id="rId1843" Type="http://schemas.openxmlformats.org/officeDocument/2006/relationships/hyperlink" Target="https://www.cancerimagingarchive.net/collection/ct-lymph-nodes" TargetMode="External"/><Relationship Id="rId1844" Type="http://schemas.openxmlformats.org/officeDocument/2006/relationships/hyperlink" Target="https://huggingface.co/datasets/andreped/LyNoS" TargetMode="External"/><Relationship Id="rId1845" Type="http://schemas.openxmlformats.org/officeDocument/2006/relationships/hyperlink" Target="https://huggingface.co/datasets/andreped/LyNoS" TargetMode="External"/><Relationship Id="rId1846" Type="http://schemas.openxmlformats.org/officeDocument/2006/relationships/hyperlink" Target="https://www.cancerimagingarchive.net/collection/mediastinal-lymph-node-seg" TargetMode="External"/><Relationship Id="rId1847" Type="http://schemas.openxmlformats.org/officeDocument/2006/relationships/hyperlink" Target="https://www.cancerimagingarchive.net/collection/rider-pilot/" TargetMode="External"/><Relationship Id="rId1848" Type="http://schemas.openxmlformats.org/officeDocument/2006/relationships/hyperlink" Target="https://tmed.cs.tufts.edu/tmed_v2.html" TargetMode="External"/><Relationship Id="rId1849" Type="http://schemas.openxmlformats.org/officeDocument/2006/relationships/hyperlink" Target="https://www.nlm.nih.gov/research/visible/visible_human.html?_gl=1*1k3yi8r*_ga*MTc2MTEzODEzMi4xNzcxNDc5MDkz*_ga_7147EPK006*czE3NzE0NzkyMDAkbzEkZzEkdDE3NzE0NzkyNDMkajE3JGwwJGgw*_ga_P1FPTH9PL4*czE3NzE0NzkyMDAkbzEkZzEkdDE3NzE0NzkyNDMkajE3JGwwJGgw" TargetMode="External"/><Relationship Id="rId1810" Type="http://schemas.openxmlformats.org/officeDocument/2006/relationships/hyperlink" Target="https://data.mendeley.com/datasets/zm6bxzhmfz/1" TargetMode="External"/><Relationship Id="rId1811" Type="http://schemas.openxmlformats.org/officeDocument/2006/relationships/hyperlink" Target="https://github.com/bbrister/ctOrganSegmentation" TargetMode="External"/><Relationship Id="rId1812" Type="http://schemas.openxmlformats.org/officeDocument/2006/relationships/hyperlink" Target="https://www.nature.com/articles/s41597-020-00715-8" TargetMode="External"/><Relationship Id="rId1813" Type="http://schemas.openxmlformats.org/officeDocument/2006/relationships/hyperlink" Target="https://wiki.cancerimagingarchive.net/pages/viewpage.action?pageId=61080890" TargetMode="External"/><Relationship Id="rId1814" Type="http://schemas.openxmlformats.org/officeDocument/2006/relationships/hyperlink" Target="https://wiki.cancerimagingarchive.net/pages/viewpage.action?pageId=93258287" TargetMode="External"/><Relationship Id="rId1815" Type="http://schemas.openxmlformats.org/officeDocument/2006/relationships/hyperlink" Target="https://github.com/wasserth/TotalSegmentator" TargetMode="External"/><Relationship Id="rId1816" Type="http://schemas.openxmlformats.org/officeDocument/2006/relationships/hyperlink" Target="https://pubs.rsna.org/doi/10.1148/ryai.230024" TargetMode="External"/><Relationship Id="rId1817" Type="http://schemas.openxmlformats.org/officeDocument/2006/relationships/hyperlink" Target="https://zenodo.org/record/6802614" TargetMode="External"/><Relationship Id="rId1818" Type="http://schemas.openxmlformats.org/officeDocument/2006/relationships/hyperlink" Target="https://osf.io/gqutd/" TargetMode="External"/><Relationship Id="rId1819" Type="http://schemas.openxmlformats.org/officeDocument/2006/relationships/hyperlink" Target="https://www.sciencedirect.com/science/article/pii/S1361841523003274" TargetMode="External"/><Relationship Id="rId1800" Type="http://schemas.openxmlformats.org/officeDocument/2006/relationships/hyperlink" Target="https://lit.fe.uni-lj.si/en/research/resources/xVertSeg/" TargetMode="External"/><Relationship Id="rId1801" Type="http://schemas.openxmlformats.org/officeDocument/2006/relationships/hyperlink" Target="https://data.mendeley.com/datasets/jf3pv98m9g/2" TargetMode="External"/><Relationship Id="rId1802" Type="http://schemas.openxmlformats.org/officeDocument/2006/relationships/hyperlink" Target="https://k2s.grand-challenge.org" TargetMode="External"/><Relationship Id="rId1803" Type="http://schemas.openxmlformats.org/officeDocument/2006/relationships/hyperlink" Target="https://www.kaggle.com/datasets/sohaibanwaar1203/kneemridataset" TargetMode="External"/><Relationship Id="rId1804" Type="http://schemas.openxmlformats.org/officeDocument/2006/relationships/hyperlink" Target="https://knoap2020.grand-challenge.org" TargetMode="External"/><Relationship Id="rId1805" Type="http://schemas.openxmlformats.org/officeDocument/2006/relationships/hyperlink" Target="https://aimi.stanford.edu/lera-lower-extremity-radiographs" TargetMode="External"/><Relationship Id="rId1806" Type="http://schemas.openxmlformats.org/officeDocument/2006/relationships/hyperlink" Target="https://stanfordmlgroup.github.io/competitions/mrnet" TargetMode="External"/><Relationship Id="rId1807" Type="http://schemas.openxmlformats.org/officeDocument/2006/relationships/hyperlink" Target="https://stanfordaimi.azurewebsites.net/datasets/bface6fc-7859-47d7-a1c8-022cd6b17419" TargetMode="External"/><Relationship Id="rId1808" Type="http://schemas.openxmlformats.org/officeDocument/2006/relationships/hyperlink" Target="https://nda.nih.gov/oai" TargetMode="External"/><Relationship Id="rId1809" Type="http://schemas.openxmlformats.org/officeDocument/2006/relationships/hyperlink" Target="https://github.com/StanfordMIMI/skm-tea" TargetMode="External"/><Relationship Id="rId1830" Type="http://schemas.openxmlformats.org/officeDocument/2006/relationships/hyperlink" Target="https://opendatalab.com/OpenDataLab/MedFMC" TargetMode="External"/><Relationship Id="rId1831" Type="http://schemas.openxmlformats.org/officeDocument/2006/relationships/hyperlink" Target="https://uls23.grand-challenge.org/" TargetMode="External"/><Relationship Id="rId1832" Type="http://schemas.openxmlformats.org/officeDocument/2006/relationships/hyperlink" Target="https://uls23.grand-challenge.org/datasets/" TargetMode="External"/><Relationship Id="rId1833" Type="http://schemas.openxmlformats.org/officeDocument/2006/relationships/hyperlink" Target="https://github.com/wasserth/TotalSegmentator" TargetMode="External"/><Relationship Id="rId1834" Type="http://schemas.openxmlformats.org/officeDocument/2006/relationships/hyperlink" Target="https://arxiv.org/pdf/2405.19492" TargetMode="External"/><Relationship Id="rId1835" Type="http://schemas.openxmlformats.org/officeDocument/2006/relationships/hyperlink" Target="https://zenodo.org/records/11367005" TargetMode="External"/><Relationship Id="rId1836" Type="http://schemas.openxmlformats.org/officeDocument/2006/relationships/hyperlink" Target="https://autopet-iii.grand-challenge.org/task/" TargetMode="External"/><Relationship Id="rId1837" Type="http://schemas.openxmlformats.org/officeDocument/2006/relationships/hyperlink" Target="https://www.nature.com/articles/s41597-022-01718-3" TargetMode="External"/><Relationship Id="rId1838" Type="http://schemas.openxmlformats.org/officeDocument/2006/relationships/hyperlink" Target="https://autopet-iii.grand-challenge.org/dataset/" TargetMode="External"/><Relationship Id="rId1839" Type="http://schemas.openxmlformats.org/officeDocument/2006/relationships/hyperlink" Target="https://www.cancerimagingarchive.net/collection/calgb50303" TargetMode="External"/><Relationship Id="rId1820" Type="http://schemas.openxmlformats.org/officeDocument/2006/relationships/hyperlink" Target="https://osf.io/gqutd/" TargetMode="External"/><Relationship Id="rId1821" Type="http://schemas.openxmlformats.org/officeDocument/2006/relationships/hyperlink" Target="https://github.com/wasserth/TotalSegmentator" TargetMode="External"/><Relationship Id="rId1822" Type="http://schemas.openxmlformats.org/officeDocument/2006/relationships/hyperlink" Target="https://pubs.rsna.org/doi/10.1148/ryai.230024" TargetMode="External"/><Relationship Id="rId1823" Type="http://schemas.openxmlformats.org/officeDocument/2006/relationships/hyperlink" Target="https://zenodo.org/records/10047292" TargetMode="External"/><Relationship Id="rId1824" Type="http://schemas.openxmlformats.org/officeDocument/2006/relationships/hyperlink" Target="https://zenodo.org/records/14710732" TargetMode="External"/><Relationship Id="rId1825" Type="http://schemas.openxmlformats.org/officeDocument/2006/relationships/hyperlink" Target="https://www.nature.com/articles/s41597-022-01905-2" TargetMode="External"/><Relationship Id="rId1826" Type="http://schemas.openxmlformats.org/officeDocument/2006/relationships/hyperlink" Target="https://www.nature.com/articles/s41597-022-01905-2" TargetMode="External"/><Relationship Id="rId1827" Type="http://schemas.openxmlformats.org/officeDocument/2006/relationships/hyperlink" Target="https://digitalcommons.du.edu/visiblehuman/" TargetMode="External"/><Relationship Id="rId1828" Type="http://schemas.openxmlformats.org/officeDocument/2006/relationships/hyperlink" Target="https://medfm2023.grand-challenge.org" TargetMode="External"/><Relationship Id="rId1829" Type="http://schemas.openxmlformats.org/officeDocument/2006/relationships/hyperlink" Target="https://www.nature.com/articles/s41597-023-02460-0" TargetMode="External"/><Relationship Id="rId1455" Type="http://schemas.openxmlformats.org/officeDocument/2006/relationships/hyperlink" Target="https://tma.im/" TargetMode="External"/><Relationship Id="rId1456" Type="http://schemas.openxmlformats.org/officeDocument/2006/relationships/hyperlink" Target="https://data.mendeley.com/datasets/3jykz7wz8d" TargetMode="External"/><Relationship Id="rId1457" Type="http://schemas.openxmlformats.org/officeDocument/2006/relationships/hyperlink" Target="https://udpet-challenge.github.io" TargetMode="External"/><Relationship Id="rId1458" Type="http://schemas.openxmlformats.org/officeDocument/2006/relationships/hyperlink" Target="https://ultrasoundenhance2023.grand-challenge.org" TargetMode="External"/><Relationship Id="rId1459" Type="http://schemas.openxmlformats.org/officeDocument/2006/relationships/hyperlink" Target="https://braincatalogue.org" TargetMode="External"/><Relationship Id="rId629" Type="http://schemas.openxmlformats.org/officeDocument/2006/relationships/hyperlink" Target="https://www.codabench.org/competitions/2333/" TargetMode="External"/><Relationship Id="rId624" Type="http://schemas.openxmlformats.org/officeDocument/2006/relationships/hyperlink" Target="https://www.nature.com/articles/s41597-024-02911-2?_gl=1*16u2cf9*_up*MQ..&amp;gclid=CjwKCAjw9eO3BhBNEiwAoc0-jXF2c7y1hinoDc71AuwyTwBqCuBlioxEwhfIUDUuFRPDtXrGn6S7HhoC4IMQAvD_BwE" TargetMode="External"/><Relationship Id="rId623" Type="http://schemas.openxmlformats.org/officeDocument/2006/relationships/hyperlink" Target="https://www.nature.com/articles/s41597-024-02911-2?_gl=1*16u2cf9*_up*MQ..&amp;gclid=CjwKCAjw9eO3BhBNEiwAoc0-jXF2c7y1hinoDc71AuwyTwBqCuBlioxEwhfIUDUuFRPDtXrGn6S7HhoC4IMQAvD_BwE" TargetMode="External"/><Relationship Id="rId622" Type="http://schemas.openxmlformats.org/officeDocument/2006/relationships/hyperlink" Target="https://www.kaggle.com/datasets/pkdarabi/diagnosis-of-diabetic-retinopathy?resource=download-directory" TargetMode="External"/><Relationship Id="rId621" Type="http://schemas.openxmlformats.org/officeDocument/2006/relationships/hyperlink" Target="https://www.kaggle.com/datasets/pkdarabi/diagnosis-of-diabetic-retinopathy?resource=download-directory" TargetMode="External"/><Relationship Id="rId628" Type="http://schemas.openxmlformats.org/officeDocument/2006/relationships/hyperlink" Target="https://www.sciencedirect.com/science/article/pii/S2666389922001040" TargetMode="External"/><Relationship Id="rId627" Type="http://schemas.openxmlformats.org/officeDocument/2006/relationships/hyperlink" Target="https://www.codabench.org/competitions/2333/" TargetMode="External"/><Relationship Id="rId626" Type="http://schemas.openxmlformats.org/officeDocument/2006/relationships/hyperlink" Target="https://palm.grand-challenge.org/SemifinalLeaderboard/" TargetMode="External"/><Relationship Id="rId625" Type="http://schemas.openxmlformats.org/officeDocument/2006/relationships/hyperlink" Target="https://www.nature.com/articles/s41597-024-02911-2?_gl=1*16u2cf9*_up*MQ..&amp;gclid=CjwKCAjw9eO3BhBNEiwAoc0-jXF2c7y1hinoDc71AuwyTwBqCuBlioxEwhfIUDUuFRPDtXrGn6S7HhoC4IMQAvD_BwE" TargetMode="External"/><Relationship Id="rId1450" Type="http://schemas.openxmlformats.org/officeDocument/2006/relationships/hyperlink" Target="https://zenodo.org/records/7056076" TargetMode="External"/><Relationship Id="rId620" Type="http://schemas.openxmlformats.org/officeDocument/2006/relationships/hyperlink" Target="https://www.researchgate.net/publication/382264856_Diagnosis_of_Diabetic_Retinopathy" TargetMode="External"/><Relationship Id="rId1451" Type="http://schemas.openxmlformats.org/officeDocument/2006/relationships/hyperlink" Target="https://www.smir.ch/objects/214315" TargetMode="External"/><Relationship Id="rId1452" Type="http://schemas.openxmlformats.org/officeDocument/2006/relationships/hyperlink" Target="https://www.cancerimagingarchive.net/collection/soft-tissue-sarcoma" TargetMode="External"/><Relationship Id="rId1453" Type="http://schemas.openxmlformats.org/officeDocument/2006/relationships/hyperlink" Target="https://synthrad2025.grand-challenge.org" TargetMode="External"/><Relationship Id="rId1454" Type="http://schemas.openxmlformats.org/officeDocument/2006/relationships/hyperlink" Target="https://www.cancerimagingarchive.net/collection/tcga-sarc" TargetMode="External"/><Relationship Id="rId1444" Type="http://schemas.openxmlformats.org/officeDocument/2006/relationships/hyperlink" Target="https://data.mendeley.com/datasets/rscbjbr9sj/2" TargetMode="External"/><Relationship Id="rId1445" Type="http://schemas.openxmlformats.org/officeDocument/2006/relationships/hyperlink" Target="https://www.olympus-europa.com/medical/en/Products-and-Solutions/Medical-Solutions/EndoAtlas" TargetMode="External"/><Relationship Id="rId1446" Type="http://schemas.openxmlformats.org/officeDocument/2006/relationships/hyperlink" Target="https://paip2021.grand-challenge.org" TargetMode="External"/><Relationship Id="rId1447" Type="http://schemas.openxmlformats.org/officeDocument/2006/relationships/hyperlink" Target="https://huggingface.co/datasets/flaviagiammarino/path-vqa" TargetMode="External"/><Relationship Id="rId1448" Type="http://schemas.openxmlformats.org/officeDocument/2006/relationships/hyperlink" Target="https://huggingface.co/datasets/xmcmic/PMC-VQA" TargetMode="External"/><Relationship Id="rId1449" Type="http://schemas.openxmlformats.org/officeDocument/2006/relationships/hyperlink" Target="https://www.rsna.org/rsnai/ai-image-challenge/abdominal-trauma-detection-ai-challenge" TargetMode="External"/><Relationship Id="rId619" Type="http://schemas.openxmlformats.org/officeDocument/2006/relationships/hyperlink" Target="https://www.kaggle.com/datasets/pkdarabi/diagnosis-of-diabetic-retinopathy?resource=download-directory" TargetMode="External"/><Relationship Id="rId618" Type="http://schemas.openxmlformats.org/officeDocument/2006/relationships/hyperlink" Target="https://ophai.hms.harvard.edu/datasets/harvard-gdp1000" TargetMode="External"/><Relationship Id="rId613" Type="http://schemas.openxmlformats.org/officeDocument/2006/relationships/hyperlink" Target="https://www.kaggle.com/datasets/nafin59/ocular-toxoplasmosis-fundus-images-dataset" TargetMode="External"/><Relationship Id="rId612" Type="http://schemas.openxmlformats.org/officeDocument/2006/relationships/hyperlink" Target="https://www.sciencedirect.com/science/article/pii/S2352340923001749?via%3Dihub" TargetMode="External"/><Relationship Id="rId611" Type="http://schemas.openxmlformats.org/officeDocument/2006/relationships/hyperlink" Target="https://www.kaggle.com/datasets/nafin59/ocular-toxoplasmosis-fundus-images-dataset" TargetMode="External"/><Relationship Id="rId610" Type="http://schemas.openxmlformats.org/officeDocument/2006/relationships/hyperlink" Target="https://riadd.grand-challenge.org/Download/" TargetMode="External"/><Relationship Id="rId617" Type="http://schemas.openxmlformats.org/officeDocument/2006/relationships/hyperlink" Target="https://ophai.hms.harvard.edu/datasets/harvard-gdp1000" TargetMode="External"/><Relationship Id="rId616" Type="http://schemas.openxmlformats.org/officeDocument/2006/relationships/hyperlink" Target="https://arxiv.org/abs/2308.13411" TargetMode="External"/><Relationship Id="rId615" Type="http://schemas.openxmlformats.org/officeDocument/2006/relationships/hyperlink" Target="https://ophai.hms.harvard.edu/datasets/harvard-gdp1000" TargetMode="External"/><Relationship Id="rId614" Type="http://schemas.openxmlformats.org/officeDocument/2006/relationships/hyperlink" Target="https://www.kaggle.com/datasets/nafin59/ocular-toxoplasmosis-fundus-images-dataset" TargetMode="External"/><Relationship Id="rId1440" Type="http://schemas.openxmlformats.org/officeDocument/2006/relationships/hyperlink" Target="http://mridata.org/" TargetMode="External"/><Relationship Id="rId1441" Type="http://schemas.openxmlformats.org/officeDocument/2006/relationships/hyperlink" Target="https://zenodo.org/records/1169361" TargetMode="External"/><Relationship Id="rId1442" Type="http://schemas.openxmlformats.org/officeDocument/2006/relationships/hyperlink" Target="https://www.kaggle.com/datasets/ipateam/nuinsseg" TargetMode="External"/><Relationship Id="rId1443" Type="http://schemas.openxmlformats.org/officeDocument/2006/relationships/hyperlink" Target="https://lunit-io.github.io/research/ocelot_dataset" TargetMode="External"/><Relationship Id="rId1477" Type="http://schemas.openxmlformats.org/officeDocument/2006/relationships/hyperlink" Target="https://ieeexplore.ieee.org/document/8360453" TargetMode="External"/><Relationship Id="rId1478" Type="http://schemas.openxmlformats.org/officeDocument/2006/relationships/hyperlink" Target="https://humanheart-project.creatis.insa-lyon.fr/database/" TargetMode="External"/><Relationship Id="rId1479" Type="http://schemas.openxmlformats.org/officeDocument/2006/relationships/hyperlink" Target="https://zmiclab.github.io/zxh/0/mmwhs/" TargetMode="External"/><Relationship Id="rId646" Type="http://schemas.openxmlformats.org/officeDocument/2006/relationships/hyperlink" Target="https://www.nature.com/articles/s41597-024-03897-7" TargetMode="External"/><Relationship Id="rId645" Type="http://schemas.openxmlformats.org/officeDocument/2006/relationships/hyperlink" Target="https://springernature.figshare.com/articles/dataset/An_Optical_Coherence_Tomography_Image_Dataset_for_wet_AMD_Lesions_Segmentation/25513435?backTo=%2Fcollections%2FAMD-SD_An_Optical_Coherence_Tomography_Image_Dataset_for_wet_AMD_Lesions_Segmentation%2F7157554&amp;file=48777037" TargetMode="External"/><Relationship Id="rId644" Type="http://schemas.openxmlformats.org/officeDocument/2006/relationships/hyperlink" Target="https://www.nature.com/articles/s41597-024-03844-6?_gl=1*b3wq4u*_up*MQ..&amp;gclid=Cj0KCQjw3bm3BhDJARIsAKnHoVXSgcCZ1IVP-iFrZ3UUAyGYcDxTqRoRzajibS9q1F6dA5GEF2xAyw4aAmrcEALw_wcB" TargetMode="External"/><Relationship Id="rId643" Type="http://schemas.openxmlformats.org/officeDocument/2006/relationships/hyperlink" Target="https://www.nature.com/articles/s41597-024-03844-6?_gl=1*b3wq4u*_up*MQ..&amp;gclid=Cj0KCQjw3bm3BhDJARIsAKnHoVXSgcCZ1IVP-iFrZ3UUAyGYcDxTqRoRzajibS9q1F6dA5GEF2xAyw4aAmrcEALw_wcB" TargetMode="External"/><Relationship Id="rId649" Type="http://schemas.openxmlformats.org/officeDocument/2006/relationships/hyperlink" Target="https://www.nature.com/articles/s41597-024-03897-7" TargetMode="External"/><Relationship Id="rId648" Type="http://schemas.openxmlformats.org/officeDocument/2006/relationships/hyperlink" Target="https://www.nature.com/articles/s41597-024-03897-7" TargetMode="External"/><Relationship Id="rId647" Type="http://schemas.openxmlformats.org/officeDocument/2006/relationships/hyperlink" Target="https://www.nature.com/articles/s41597-024-03897-7" TargetMode="External"/><Relationship Id="rId1470" Type="http://schemas.openxmlformats.org/officeDocument/2006/relationships/hyperlink" Target="https://www5.cs.fau.de/research/former-projects/rabbitct" TargetMode="External"/><Relationship Id="rId1471" Type="http://schemas.openxmlformats.org/officeDocument/2006/relationships/hyperlink" Target="https://dataverse.harvard.edu/dataset.xhtml?persistentId=doi:10.7910/DVN/UB9IT9" TargetMode="External"/><Relationship Id="rId1472" Type="http://schemas.openxmlformats.org/officeDocument/2006/relationships/hyperlink" Target="https://rnr-exm.grand-challenge.org" TargetMode="External"/><Relationship Id="rId642" Type="http://schemas.openxmlformats.org/officeDocument/2006/relationships/hyperlink" Target="https://www.nature.com/articles/s41597-024-03844-6?_gl=1*b3wq4u*_up*MQ..&amp;gclid=Cj0KCQjw3bm3BhDJARIsAKnHoVXSgcCZ1IVP-iFrZ3UUAyGYcDxTqRoRzajibS9q1F6dA5GEF2xAyw4aAmrcEALw_wcB" TargetMode="External"/><Relationship Id="rId1473" Type="http://schemas.openxmlformats.org/officeDocument/2006/relationships/hyperlink" Target="https://segchd.csail.mit.edu/" TargetMode="External"/><Relationship Id="rId641" Type="http://schemas.openxmlformats.org/officeDocument/2006/relationships/hyperlink" Target="https://www.nature.com/articles/s41597-024-03739-6?_gl=1" TargetMode="External"/><Relationship Id="rId1474" Type="http://schemas.openxmlformats.org/officeDocument/2006/relationships/hyperlink" Target="https://link.springer.com/chapter/10.1007/978-3-319-24574-4_10" TargetMode="External"/><Relationship Id="rId640" Type="http://schemas.openxmlformats.org/officeDocument/2006/relationships/hyperlink" Target="https://www.nature.com/articles/s41597-024-03739-6?_gl=1" TargetMode="External"/><Relationship Id="rId1475" Type="http://schemas.openxmlformats.org/officeDocument/2006/relationships/hyperlink" Target="https://github.com/scouvreur/WholeHeartMRISegmenter" TargetMode="External"/><Relationship Id="rId1476" Type="http://schemas.openxmlformats.org/officeDocument/2006/relationships/hyperlink" Target="https://www.creatis.insa-lyon.fr/Challenge/acdc/" TargetMode="External"/><Relationship Id="rId1466" Type="http://schemas.openxmlformats.org/officeDocument/2006/relationships/hyperlink" Target="https://github.com/DeepMicroscopy/MITOS_WSI_CMC" TargetMode="External"/><Relationship Id="rId1467" Type="http://schemas.openxmlformats.org/officeDocument/2006/relationships/hyperlink" Target="https://www.cancerimagingarchive.net/collection/mouse-astrocytoma" TargetMode="External"/><Relationship Id="rId1468" Type="http://schemas.openxmlformats.org/officeDocument/2006/relationships/hyperlink" Target="https://github.com/dama-lab/mouse-brain-atlas" TargetMode="External"/><Relationship Id="rId1469" Type="http://schemas.openxmlformats.org/officeDocument/2006/relationships/hyperlink" Target="https://www.cancerimagingarchive.net/collection/mouse-mammary" TargetMode="External"/><Relationship Id="rId635" Type="http://schemas.openxmlformats.org/officeDocument/2006/relationships/hyperlink" Target="https://minghu0830.github.io/OphNet-benchmark/" TargetMode="External"/><Relationship Id="rId634" Type="http://schemas.openxmlformats.org/officeDocument/2006/relationships/hyperlink" Target="https://www.synapse.org/" TargetMode="External"/><Relationship Id="rId633" Type="http://schemas.openxmlformats.org/officeDocument/2006/relationships/hyperlink" Target="https://github.com/Negin-Ghamsarian/Cataract-1K" TargetMode="External"/><Relationship Id="rId632" Type="http://schemas.openxmlformats.org/officeDocument/2006/relationships/hyperlink" Target="https://www.nature.com/articles/s41597-024-03193-4" TargetMode="External"/><Relationship Id="rId639" Type="http://schemas.openxmlformats.org/officeDocument/2006/relationships/hyperlink" Target="https://www.nature.com/articles/s41597-024-03739-6?_gl=1" TargetMode="External"/><Relationship Id="rId638" Type="http://schemas.openxmlformats.org/officeDocument/2006/relationships/hyperlink" Target="https://minghu0830.github.io/OphNet-benchmark/" TargetMode="External"/><Relationship Id="rId637" Type="http://schemas.openxmlformats.org/officeDocument/2006/relationships/hyperlink" Target="https://minghu0830.github.io/OphNet-benchmark/" TargetMode="External"/><Relationship Id="rId636" Type="http://schemas.openxmlformats.org/officeDocument/2006/relationships/hyperlink" Target="https://arxiv.org/pdf/2406.07471" TargetMode="External"/><Relationship Id="rId1460" Type="http://schemas.openxmlformats.org/officeDocument/2006/relationships/hyperlink" Target="https://springernature.figshare.com/collections/A_large-scale_dataset_for_mitotic_figure_assessment_on_whole_slide_images_of_canine_cutaneous_mast_cell_tumor/4552445" TargetMode="External"/><Relationship Id="rId1461" Type="http://schemas.openxmlformats.org/officeDocument/2006/relationships/hyperlink" Target="https://www.cancerimagingarchive.net/collection/catch" TargetMode="External"/><Relationship Id="rId631" Type="http://schemas.openxmlformats.org/officeDocument/2006/relationships/hyperlink" Target="https://github.com/Negin-Ghamsarian/Cataract-1K" TargetMode="External"/><Relationship Id="rId1462" Type="http://schemas.openxmlformats.org/officeDocument/2006/relationships/hyperlink" Target="http://crt-epiggy19.surge.sh" TargetMode="External"/><Relationship Id="rId630" Type="http://schemas.openxmlformats.org/officeDocument/2006/relationships/hyperlink" Target="https://github.com/Mostafa-EHD/DIAMOND_Challenge?tab=readme-ov-file" TargetMode="External"/><Relationship Id="rId1463" Type="http://schemas.openxmlformats.org/officeDocument/2006/relationships/hyperlink" Target="https://www.cancerimagingarchive.net/collection/icdc-glioma" TargetMode="External"/><Relationship Id="rId1464" Type="http://schemas.openxmlformats.org/officeDocument/2006/relationships/hyperlink" Target="https://www.civm.duhs.duke.edu/duke-CIVM-sup-devatlas" TargetMode="External"/><Relationship Id="rId1465" Type="http://schemas.openxmlformats.org/officeDocument/2006/relationships/hyperlink" Target="https://cic.ini.usc.edu" TargetMode="External"/><Relationship Id="rId1411" Type="http://schemas.openxmlformats.org/officeDocument/2006/relationships/hyperlink" Target="https://www.kaggle.com/datasets/syedalinaqvi/augmented-skin-conditions-image-dataset/data" TargetMode="External"/><Relationship Id="rId1412" Type="http://schemas.openxmlformats.org/officeDocument/2006/relationships/hyperlink" Target="https://www.kaggle.com/competitions/isic-2024-challenge" TargetMode="External"/><Relationship Id="rId1413" Type="http://schemas.openxmlformats.org/officeDocument/2006/relationships/hyperlink" Target="https://www.kaggle.com/datasets/tomooinubushi/all-isic-data-20240629/data" TargetMode="External"/><Relationship Id="rId1414" Type="http://schemas.openxmlformats.org/officeDocument/2006/relationships/hyperlink" Target="https://ddi-dataset.github.io" TargetMode="External"/><Relationship Id="rId1415" Type="http://schemas.openxmlformats.org/officeDocument/2006/relationships/hyperlink" Target="https://licensing.edinburgh-innovations.ed.ac.uk/product/dermofit-image-library" TargetMode="External"/><Relationship Id="rId1416" Type="http://schemas.openxmlformats.org/officeDocument/2006/relationships/hyperlink" Target="https://fusc.grand-challenge.org" TargetMode="External"/><Relationship Id="rId1417" Type="http://schemas.openxmlformats.org/officeDocument/2006/relationships/hyperlink" Target="https://dataverse.harvard.edu/dataset.xhtml?persistentId=doi:10.7910/DVN/DBW86T" TargetMode="External"/><Relationship Id="rId1418" Type="http://schemas.openxmlformats.org/officeDocument/2006/relationships/hyperlink" Target="https://www.uco.es/grupos/ayrna/ieeetmi2015" TargetMode="External"/><Relationship Id="rId1419" Type="http://schemas.openxmlformats.org/officeDocument/2006/relationships/hyperlink" Target="https://uwaterloo.ca/vision-image-processing-lab/research-demos/skin-cancer-detection" TargetMode="External"/><Relationship Id="rId1410" Type="http://schemas.openxmlformats.org/officeDocument/2006/relationships/hyperlink" Target="https://www.kaggle.com/datasets/syedalinaqvi/augmented-skin-conditions-image-dataset" TargetMode="External"/><Relationship Id="rId1400" Type="http://schemas.openxmlformats.org/officeDocument/2006/relationships/hyperlink" Target="https://arxiv.org/pdf/2402.18545" TargetMode="External"/><Relationship Id="rId1401" Type="http://schemas.openxmlformats.org/officeDocument/2006/relationships/hyperlink" Target="https://github.com/google-research-datasets/scin" TargetMode="External"/><Relationship Id="rId1402" Type="http://schemas.openxmlformats.org/officeDocument/2006/relationships/hyperlink" Target="https://heidata.uni-heidelberg.de/dataset.xhtml?persistentId=doi:10.11588/data/7QCR8S" TargetMode="External"/><Relationship Id="rId1403" Type="http://schemas.openxmlformats.org/officeDocument/2006/relationships/hyperlink" Target="https://www.frontiersin.org/journals/oncology/articles/10.3389/fonc.2022.1022967/full" TargetMode="External"/><Relationship Id="rId1404" Type="http://schemas.openxmlformats.org/officeDocument/2006/relationships/hyperlink" Target="https://heidata.uni-heidelberg.de/dataset.xhtml?persistentId=doi:10.11588/data/7QCR8S" TargetMode="External"/><Relationship Id="rId1405" Type="http://schemas.openxmlformats.org/officeDocument/2006/relationships/hyperlink" Target="https://www.nature.com/articles/s41597-023-02585-2" TargetMode="External"/><Relationship Id="rId1406" Type="http://schemas.openxmlformats.org/officeDocument/2006/relationships/hyperlink" Target="https://www.nature.com/articles/s41597-023-02585-2" TargetMode="External"/><Relationship Id="rId1407" Type="http://schemas.openxmlformats.org/officeDocument/2006/relationships/hyperlink" Target="https://springernature.figshare.com/collections/SOPHIE_Spitzoid_Tumor_dataset_with_clinical_metadata_Whole_Slide_Images_for_Deep_Learning_models/6472282/1" TargetMode="External"/><Relationship Id="rId1408" Type="http://schemas.openxmlformats.org/officeDocument/2006/relationships/hyperlink" Target="https://challenge2024.isic-archive.com/" TargetMode="External"/><Relationship Id="rId1409" Type="http://schemas.openxmlformats.org/officeDocument/2006/relationships/hyperlink" Target="https://challenge2024.isic-archive.com/" TargetMode="External"/><Relationship Id="rId1433" Type="http://schemas.openxmlformats.org/officeDocument/2006/relationships/hyperlink" Target="https://learn2reg.grand-challenge.org" TargetMode="External"/><Relationship Id="rId1434" Type="http://schemas.openxmlformats.org/officeDocument/2006/relationships/hyperlink" Target="https://lyon19.grand-challenge.org" TargetMode="External"/><Relationship Id="rId1435" Type="http://schemas.openxmlformats.org/officeDocument/2006/relationships/hyperlink" Target="https://zenodo.org/records/7884735" TargetMode="External"/><Relationship Id="rId1436" Type="http://schemas.openxmlformats.org/officeDocument/2006/relationships/hyperlink" Target="https://medpix.nlm.nih.gov/home" TargetMode="External"/><Relationship Id="rId1437" Type="http://schemas.openxmlformats.org/officeDocument/2006/relationships/hyperlink" Target="https://www.medseg.ai/" TargetMode="External"/><Relationship Id="rId1438" Type="http://schemas.openxmlformats.org/officeDocument/2006/relationships/hyperlink" Target="https://medshapenet.ikim.nrw" TargetMode="External"/><Relationship Id="rId1439" Type="http://schemas.openxmlformats.org/officeDocument/2006/relationships/hyperlink" Target="https://monusac-2020.grand-challenge.org" TargetMode="External"/><Relationship Id="rId609" Type="http://schemas.openxmlformats.org/officeDocument/2006/relationships/hyperlink" Target="https://riadd.grand-challenge.org/Home/" TargetMode="External"/><Relationship Id="rId608" Type="http://schemas.openxmlformats.org/officeDocument/2006/relationships/hyperlink" Target="https://www.mdpi.com/2306-5729/8/2/29" TargetMode="External"/><Relationship Id="rId607" Type="http://schemas.openxmlformats.org/officeDocument/2006/relationships/hyperlink" Target="https://riadd.grand-challenge.org/Home/" TargetMode="External"/><Relationship Id="rId602" Type="http://schemas.openxmlformats.org/officeDocument/2006/relationships/hyperlink" Target="https://odir2019.grand-challenge.org/dataset/" TargetMode="External"/><Relationship Id="rId601" Type="http://schemas.openxmlformats.org/officeDocument/2006/relationships/hyperlink" Target="https://odir2019.grand-challenge.org/introduction/" TargetMode="External"/><Relationship Id="rId600" Type="http://schemas.openxmlformats.org/officeDocument/2006/relationships/hyperlink" Target="https://odir2019.grand-challenge.org/introduction/" TargetMode="External"/><Relationship Id="rId606" Type="http://schemas.openxmlformats.org/officeDocument/2006/relationships/hyperlink" Target="https://airogs.grand-challenge.org/data-and-challenge/" TargetMode="External"/><Relationship Id="rId605" Type="http://schemas.openxmlformats.org/officeDocument/2006/relationships/hyperlink" Target="https://airogs.grand-challenge.org/data-and-challenge/" TargetMode="External"/><Relationship Id="rId604" Type="http://schemas.openxmlformats.org/officeDocument/2006/relationships/hyperlink" Target="https://ieeexplore.ieee.org/abstract/document/10253652" TargetMode="External"/><Relationship Id="rId603" Type="http://schemas.openxmlformats.org/officeDocument/2006/relationships/hyperlink" Target="https://airogs.grand-challenge.org/data-and-challenge/" TargetMode="External"/><Relationship Id="rId1430" Type="http://schemas.openxmlformats.org/officeDocument/2006/relationships/hyperlink" Target="https://www.cancerimagingarchive.net/collection/head-neck-radiomics-hn1" TargetMode="External"/><Relationship Id="rId1431" Type="http://schemas.openxmlformats.org/officeDocument/2006/relationships/hyperlink" Target="https://www.cancerimagingarchive.net/collection/healthy-total-body-cts" TargetMode="External"/><Relationship Id="rId1432" Type="http://schemas.openxmlformats.org/officeDocument/2006/relationships/hyperlink" Target="https://www.cancerimagingarchive.net/collection/ldct-and-projection-data" TargetMode="External"/><Relationship Id="rId1422" Type="http://schemas.openxmlformats.org/officeDocument/2006/relationships/hyperlink" Target="https://cosas.grand-challenge.org" TargetMode="External"/><Relationship Id="rId1423" Type="http://schemas.openxmlformats.org/officeDocument/2006/relationships/hyperlink" Target="https://www.cancerimagingarchive.net/collection/cptac-sar" TargetMode="External"/><Relationship Id="rId1424" Type="http://schemas.openxmlformats.org/officeDocument/2006/relationships/hyperlink" Target="https://curvas.grand-challenge.org" TargetMode="External"/><Relationship Id="rId1425" Type="http://schemas.openxmlformats.org/officeDocument/2006/relationships/hyperlink" Target="https://ead2020.grand-challenge.org" TargetMode="External"/><Relationship Id="rId1426" Type="http://schemas.openxmlformats.org/officeDocument/2006/relationships/hyperlink" Target="https://fastmri.med.nyu.edu" TargetMode="External"/><Relationship Id="rId1427" Type="http://schemas.openxmlformats.org/officeDocument/2006/relationships/hyperlink" Target="https://fastpet-ld.grand-challenge.org" TargetMode="External"/><Relationship Id="rId1428" Type="http://schemas.openxmlformats.org/officeDocument/2006/relationships/hyperlink" Target="https://flare22.grand-challenge.org" TargetMode="External"/><Relationship Id="rId1429" Type="http://schemas.openxmlformats.org/officeDocument/2006/relationships/hyperlink" Target="http://www.imagenglab.com/wiki/mediawiki/index.php?title=2015_MICCAI_Challenge" TargetMode="External"/><Relationship Id="rId1420" Type="http://schemas.openxmlformats.org/officeDocument/2006/relationships/hyperlink" Target="https://www.kaggle.com/datasets/ignaciorlando/ussimandsegm" TargetMode="External"/><Relationship Id="rId1421" Type="http://schemas.openxmlformats.org/officeDocument/2006/relationships/hyperlink" Target="https://www.cancerimagingarchive.net/collection/apollo-5" TargetMode="External"/><Relationship Id="rId1059" Type="http://schemas.openxmlformats.org/officeDocument/2006/relationships/hyperlink" Target="http://webeye.ophth.uiowa.edu/ROC" TargetMode="External"/><Relationship Id="rId228" Type="http://schemas.openxmlformats.org/officeDocument/2006/relationships/hyperlink" Target="http://medicaldecathlon.com/" TargetMode="External"/><Relationship Id="rId227" Type="http://schemas.openxmlformats.org/officeDocument/2006/relationships/hyperlink" Target="https://drive.google.com/drive/folders/1HqEgzS8BV2c7xYNrZdEAnrHk7osJJ--2?usp=sharing" TargetMode="External"/><Relationship Id="rId226" Type="http://schemas.openxmlformats.org/officeDocument/2006/relationships/hyperlink" Target="http://medicaldecathlon.com/" TargetMode="External"/><Relationship Id="rId225" Type="http://schemas.openxmlformats.org/officeDocument/2006/relationships/hyperlink" Target="https://drive.google.com/drive/folders/1HqEgzS8BV2c7xYNrZdEAnrHk7osJJ--2?usp=sharing" TargetMode="External"/><Relationship Id="rId229" Type="http://schemas.openxmlformats.org/officeDocument/2006/relationships/hyperlink" Target="https://drive.google.com/drive/folders/1HqEgzS8BV2c7xYNrZdEAnrHk7osJJ--2?usp=sharing" TargetMode="External"/><Relationship Id="rId1050" Type="http://schemas.openxmlformats.org/officeDocument/2006/relationships/hyperlink" Target="https://ieee-dataport.org/open-access/prime-fp20-ultra-widefield-fundus-photography-vessel-segmentation-dataset" TargetMode="External"/><Relationship Id="rId220" Type="http://schemas.openxmlformats.org/officeDocument/2006/relationships/hyperlink" Target="https://www.cancerimagingarchive.net/collection/cptac-lscc" TargetMode="External"/><Relationship Id="rId1051" Type="http://schemas.openxmlformats.org/officeDocument/2006/relationships/hyperlink" Target="https://ieee-dataport.org/open-access/prime-fp20-ultra-widefield-fundus-photography-vessel-segmentation-dataset" TargetMode="External"/><Relationship Id="rId1052" Type="http://schemas.openxmlformats.org/officeDocument/2006/relationships/hyperlink" Target="https://refuge.grand-challenge.org" TargetMode="External"/><Relationship Id="rId1053" Type="http://schemas.openxmlformats.org/officeDocument/2006/relationships/hyperlink" Target="https://refuge.grand-challenge.org" TargetMode="External"/><Relationship Id="rId1054" Type="http://schemas.openxmlformats.org/officeDocument/2006/relationships/hyperlink" Target="https://refuge.grand-challenge.org/" TargetMode="External"/><Relationship Id="rId224" Type="http://schemas.openxmlformats.org/officeDocument/2006/relationships/hyperlink" Target="http://medicaldecathlon.com/" TargetMode="External"/><Relationship Id="rId1055" Type="http://schemas.openxmlformats.org/officeDocument/2006/relationships/hyperlink" Target="https://deepblue.lib.umich.edu/data/concern/data_sets/3b591905z" TargetMode="External"/><Relationship Id="rId223" Type="http://schemas.openxmlformats.org/officeDocument/2006/relationships/hyperlink" Target="https://drive.google.com/drive/folders/1HqEgzS8BV2c7xYNrZdEAnrHk7osJJ--2" TargetMode="External"/><Relationship Id="rId1056" Type="http://schemas.openxmlformats.org/officeDocument/2006/relationships/hyperlink" Target="https://deepblue.lib.umich.edu/data/concern/data_sets/3b591905z" TargetMode="External"/><Relationship Id="rId222" Type="http://schemas.openxmlformats.org/officeDocument/2006/relationships/hyperlink" Target="http://medicaldecathlon.com/" TargetMode="External"/><Relationship Id="rId1057" Type="http://schemas.openxmlformats.org/officeDocument/2006/relationships/hyperlink" Target="https://deepblue.lib.umich.edu/data/concern/data_sets/4b3ec2a4-5cdc-482d-bd6d-8333aa8ce244?locale=en" TargetMode="External"/><Relationship Id="rId221" Type="http://schemas.openxmlformats.org/officeDocument/2006/relationships/hyperlink" Target="https://www.cancerimagingarchive.net/collection/ct-images-in-covid-19" TargetMode="External"/><Relationship Id="rId1058" Type="http://schemas.openxmlformats.org/officeDocument/2006/relationships/hyperlink" Target="http://webeye.ophth.uiowa.edu/ROC" TargetMode="External"/><Relationship Id="rId1048" Type="http://schemas.openxmlformats.org/officeDocument/2006/relationships/hyperlink" Target="https://github.com/fmugnier/messidor-groundtruth" TargetMode="External"/><Relationship Id="rId1049" Type="http://schemas.openxmlformats.org/officeDocument/2006/relationships/hyperlink" Target="https://ieee-dataport.org/open-access/prime-fp20-ultra-widefield-fundus-photography-vessel-segmentation-dataset" TargetMode="External"/><Relationship Id="rId217" Type="http://schemas.openxmlformats.org/officeDocument/2006/relationships/hyperlink" Target="https://github.com/mr7495/COVID-CTset" TargetMode="External"/><Relationship Id="rId216" Type="http://schemas.openxmlformats.org/officeDocument/2006/relationships/hyperlink" Target="https://github.com/ShahinSHH/COVID-CT-MD" TargetMode="External"/><Relationship Id="rId215" Type="http://schemas.openxmlformats.org/officeDocument/2006/relationships/hyperlink" Target="https://github.com/ieee8023/covid-chestxray-dataset" TargetMode="External"/><Relationship Id="rId699" Type="http://schemas.openxmlformats.org/officeDocument/2006/relationships/hyperlink" Target="http://fcon_1000.projects.nitrc.org/indi/retro/atlas_R1.html" TargetMode="External"/><Relationship Id="rId214" Type="http://schemas.openxmlformats.org/officeDocument/2006/relationships/hyperlink" Target="https://github.com/NinaWie/COVID-BLUES" TargetMode="External"/><Relationship Id="rId698" Type="http://schemas.openxmlformats.org/officeDocument/2006/relationships/hyperlink" Target="http://fcon_1000.projects.nitrc.org/indi/retro/atlas_R1.html" TargetMode="External"/><Relationship Id="rId219" Type="http://schemas.openxmlformats.org/officeDocument/2006/relationships/hyperlink" Target="https://github.com/lindawangg/COVID-Net/blob/master/docs/COVIDx.md" TargetMode="External"/><Relationship Id="rId218" Type="http://schemas.openxmlformats.org/officeDocument/2006/relationships/hyperlink" Target="https://dataverse.harvard.edu/dataset.xhtml?persistentId=doi:10.7910/DVN/6ACUZJ" TargetMode="External"/><Relationship Id="rId693" Type="http://schemas.openxmlformats.org/officeDocument/2006/relationships/hyperlink" Target="https://nilab-uva.github.io/AOMIC.github.io" TargetMode="External"/><Relationship Id="rId1040" Type="http://schemas.openxmlformats.org/officeDocument/2006/relationships/hyperlink" Target="https://projects.ics.forth.gr/cvrl/fire/" TargetMode="External"/><Relationship Id="rId692" Type="http://schemas.openxmlformats.org/officeDocument/2006/relationships/hyperlink" Target="https://nilab-uva.github.io/AOMIC.github.io" TargetMode="External"/><Relationship Id="rId1041" Type="http://schemas.openxmlformats.org/officeDocument/2006/relationships/hyperlink" Target="https://aistudio.baidu.com/competition/detail/90/0/introduction" TargetMode="External"/><Relationship Id="rId691" Type="http://schemas.openxmlformats.org/officeDocument/2006/relationships/hyperlink" Target="https://www.nitrc.org/projects/age-ility" TargetMode="External"/><Relationship Id="rId1042" Type="http://schemas.openxmlformats.org/officeDocument/2006/relationships/hyperlink" Target="https://aistudio.baidu.com/competition/detail/90/0/introduction" TargetMode="External"/><Relationship Id="rId690" Type="http://schemas.openxmlformats.org/officeDocument/2006/relationships/hyperlink" Target="https://www.nitrc.org/projects/age-ility" TargetMode="External"/><Relationship Id="rId1043" Type="http://schemas.openxmlformats.org/officeDocument/2006/relationships/hyperlink" Target="https://aistudio.baidu.com/competition/detail/90/0/introduction" TargetMode="External"/><Relationship Id="rId213" Type="http://schemas.openxmlformats.org/officeDocument/2006/relationships/hyperlink" Target="https://github.com/v7labs/covid-19-xray-dataset" TargetMode="External"/><Relationship Id="rId697" Type="http://schemas.openxmlformats.org/officeDocument/2006/relationships/hyperlink" Target="http://fcon_1000.projects.nitrc.org/indi/retro/atlas_R1.html" TargetMode="External"/><Relationship Id="rId1044" Type="http://schemas.openxmlformats.org/officeDocument/2006/relationships/hyperlink" Target="https://justraigs.grand-challenge.org" TargetMode="External"/><Relationship Id="rId212" Type="http://schemas.openxmlformats.org/officeDocument/2006/relationships/hyperlink" Target="https://github.com/jannisborn/covid19_ultrasound" TargetMode="External"/><Relationship Id="rId696" Type="http://schemas.openxmlformats.org/officeDocument/2006/relationships/hyperlink" Target="https://bivl2ab.uis.edu.co/challenges/apis" TargetMode="External"/><Relationship Id="rId1045" Type="http://schemas.openxmlformats.org/officeDocument/2006/relationships/hyperlink" Target="https://justraigs.grand-challenge.org" TargetMode="External"/><Relationship Id="rId211" Type="http://schemas.openxmlformats.org/officeDocument/2006/relationships/hyperlink" Target="https://www.kaggle.com/datasets/tawsifurrahman/covid19-radiography-database" TargetMode="External"/><Relationship Id="rId695" Type="http://schemas.openxmlformats.org/officeDocument/2006/relationships/hyperlink" Target="https://bivl2ab.uis.edu.co/challenges/apis" TargetMode="External"/><Relationship Id="rId1046" Type="http://schemas.openxmlformats.org/officeDocument/2006/relationships/hyperlink" Target="https://blogs.kingston.ac.uk/retinal/messidor-ma-groundturth" TargetMode="External"/><Relationship Id="rId210" Type="http://schemas.openxmlformats.org/officeDocument/2006/relationships/hyperlink" Target="https://www.cancerimagingarchive.net/collection/covid-19-ny-sbu" TargetMode="External"/><Relationship Id="rId694" Type="http://schemas.openxmlformats.org/officeDocument/2006/relationships/hyperlink" Target="https://bivl2ab.uis.edu.co/challenges/apis" TargetMode="External"/><Relationship Id="rId1047" Type="http://schemas.openxmlformats.org/officeDocument/2006/relationships/hyperlink" Target="https://blogs.kingston.ac.uk/retinal/messidor-ma-groundturth" TargetMode="External"/><Relationship Id="rId249" Type="http://schemas.openxmlformats.org/officeDocument/2006/relationships/hyperlink" Target="https://www.cancerimagingarchive.net/collection/nsclc-radiogenomics" TargetMode="External"/><Relationship Id="rId248" Type="http://schemas.openxmlformats.org/officeDocument/2006/relationships/hyperlink" Target="https://node21.grand-challenge.org/" TargetMode="External"/><Relationship Id="rId247" Type="http://schemas.openxmlformats.org/officeDocument/2006/relationships/hyperlink" Target="https://www.cancerimagingarchive.net/collection/nlst" TargetMode="External"/><Relationship Id="rId1070" Type="http://schemas.openxmlformats.org/officeDocument/2006/relationships/hyperlink" Target="https://blogs.kingston.ac.uk/retinal/uk-biobank" TargetMode="External"/><Relationship Id="rId1071" Type="http://schemas.openxmlformats.org/officeDocument/2006/relationships/hyperlink" Target="https://blogs.kingston.ac.uk/retinal/uk-biobank" TargetMode="External"/><Relationship Id="rId1072" Type="http://schemas.openxmlformats.org/officeDocument/2006/relationships/hyperlink" Target="https://www.kaggle.com/datasets/khoongweihao/uk-biobank" TargetMode="External"/><Relationship Id="rId242" Type="http://schemas.openxmlformats.org/officeDocument/2006/relationships/hyperlink" Target="https://figshare.com/articles/dataset/MedSeg_Covid_Dataset_1/13521488" TargetMode="External"/><Relationship Id="rId1073" Type="http://schemas.openxmlformats.org/officeDocument/2006/relationships/hyperlink" Target="https://auckland.figshare.com/articles/journal_contribution/UoA-DR_Database_Info/5985208/5" TargetMode="External"/><Relationship Id="rId241" Type="http://schemas.openxmlformats.org/officeDocument/2006/relationships/hyperlink" Target="https://www.cancerimagingarchive.net/collection/lung-pet-ct-dx" TargetMode="External"/><Relationship Id="rId1074" Type="http://schemas.openxmlformats.org/officeDocument/2006/relationships/hyperlink" Target="https://auckland.figshare.com/articles/journal_contribution/UoA-DR_Database_Info/5985208/5" TargetMode="External"/><Relationship Id="rId240" Type="http://schemas.openxmlformats.org/officeDocument/2006/relationships/hyperlink" Target="https://www.cancerimagingarchive.net/collection/lung-fused-ct-pathology" TargetMode="External"/><Relationship Id="rId1075" Type="http://schemas.openxmlformats.org/officeDocument/2006/relationships/hyperlink" Target="https://auckland.figshare.com/articles/dataset/UoA-DR_dataset_University_of_Auckland_Diabetic_Retinopathy_Dataset/13284716" TargetMode="External"/><Relationship Id="rId1076" Type="http://schemas.openxmlformats.org/officeDocument/2006/relationships/hyperlink" Target="https://openneuro.org/datasets/ds001907/versions/3.1.0" TargetMode="External"/><Relationship Id="rId246" Type="http://schemas.openxmlformats.org/officeDocument/2006/relationships/hyperlink" Target="https://www.cancerimagingarchive.net/collection/midrc-ricord-1c" TargetMode="External"/><Relationship Id="rId1077" Type="http://schemas.openxmlformats.org/officeDocument/2006/relationships/hyperlink" Target="https://openneuro.org/datasets/ds001907/versions/3.1.0" TargetMode="External"/><Relationship Id="rId245" Type="http://schemas.openxmlformats.org/officeDocument/2006/relationships/hyperlink" Target="https://www.cancerimagingarchive.net/collection/midrc-ricord-1b" TargetMode="External"/><Relationship Id="rId1078" Type="http://schemas.openxmlformats.org/officeDocument/2006/relationships/hyperlink" Target="https://openneuro.org/datasets/ds001907" TargetMode="External"/><Relationship Id="rId244" Type="http://schemas.openxmlformats.org/officeDocument/2006/relationships/hyperlink" Target="https://www.cancerimagingarchive.net/collection/midrc-ricord-1a" TargetMode="External"/><Relationship Id="rId1079" Type="http://schemas.openxmlformats.org/officeDocument/2006/relationships/hyperlink" Target="https://openneuro.org/datasets/ds002207/versions/1.0.0" TargetMode="External"/><Relationship Id="rId243" Type="http://schemas.openxmlformats.org/officeDocument/2006/relationships/hyperlink" Target="https://mela.grand-challenge.org/" TargetMode="External"/><Relationship Id="rId239" Type="http://schemas.openxmlformats.org/officeDocument/2006/relationships/hyperlink" Target="https://lumic.grand-challenge.org" TargetMode="External"/><Relationship Id="rId238" Type="http://schemas.openxmlformats.org/officeDocument/2006/relationships/hyperlink" Target="https://lola11.grand-challenge.org/" TargetMode="External"/><Relationship Id="rId237" Type="http://schemas.openxmlformats.org/officeDocument/2006/relationships/hyperlink" Target="https://www.cancerimagingarchive.net/collection/lctsc" TargetMode="External"/><Relationship Id="rId236" Type="http://schemas.openxmlformats.org/officeDocument/2006/relationships/hyperlink" Target="https://www.kaggle.com/datasets/hamdallak/the-iqothnccd-lung-cancer-dataset" TargetMode="External"/><Relationship Id="rId1060" Type="http://schemas.openxmlformats.org/officeDocument/2006/relationships/hyperlink" Target="http://webeye.ophth.uiowa.edu/ROC" TargetMode="External"/><Relationship Id="rId1061" Type="http://schemas.openxmlformats.org/officeDocument/2006/relationships/hyperlink" Target="https://rocc.grand-challenge.org" TargetMode="External"/><Relationship Id="rId231" Type="http://schemas.openxmlformats.org/officeDocument/2006/relationships/hyperlink" Target="https://drive.google.com/drive/folders/1HqEgzS8BV2c7xYNrZdEAnrHk7osJJ--2?usp=sharing" TargetMode="External"/><Relationship Id="rId1062" Type="http://schemas.openxmlformats.org/officeDocument/2006/relationships/hyperlink" Target="https://rocc.grand-challenge.org" TargetMode="External"/><Relationship Id="rId230" Type="http://schemas.openxmlformats.org/officeDocument/2006/relationships/hyperlink" Target="http://medicaldecathlon.com/" TargetMode="External"/><Relationship Id="rId1063" Type="http://schemas.openxmlformats.org/officeDocument/2006/relationships/hyperlink" Target="https://rocc.grand-challenge.org/" TargetMode="External"/><Relationship Id="rId1064" Type="http://schemas.openxmlformats.org/officeDocument/2006/relationships/hyperlink" Target="https://www.kaggle.com/datasets/paultimothymooney/chiu-2015" TargetMode="External"/><Relationship Id="rId1065" Type="http://schemas.openxmlformats.org/officeDocument/2006/relationships/hyperlink" Target="https://www.kaggle.com/datasets/paultimothymooney/chiu-2015" TargetMode="External"/><Relationship Id="rId235" Type="http://schemas.openxmlformats.org/officeDocument/2006/relationships/hyperlink" Target="https://som-shahlab.github.io/inspect-website" TargetMode="External"/><Relationship Id="rId1066" Type="http://schemas.openxmlformats.org/officeDocument/2006/relationships/hyperlink" Target="https://www.kaggle.com/datasets/paultimothymooney/segmentation-of-ocular-ct-oct-images" TargetMode="External"/><Relationship Id="rId234" Type="http://schemas.openxmlformats.org/officeDocument/2006/relationships/hyperlink" Target="https://www.kaggle.com/datasets/raddar/chest-xrays-indiana-university" TargetMode="External"/><Relationship Id="rId1067" Type="http://schemas.openxmlformats.org/officeDocument/2006/relationships/hyperlink" Target="https://aistudio.baidu.com/competition/detail/1101/0/introduction" TargetMode="External"/><Relationship Id="rId233" Type="http://schemas.openxmlformats.org/officeDocument/2006/relationships/hyperlink" Target="http://image.diku.dk/exact" TargetMode="External"/><Relationship Id="rId1068" Type="http://schemas.openxmlformats.org/officeDocument/2006/relationships/hyperlink" Target="https://aistudio.baidu.com/competition/detail/1101/0/introduction" TargetMode="External"/><Relationship Id="rId232" Type="http://schemas.openxmlformats.org/officeDocument/2006/relationships/hyperlink" Target="https://empire10.grand-challenge.org" TargetMode="External"/><Relationship Id="rId1069" Type="http://schemas.openxmlformats.org/officeDocument/2006/relationships/hyperlink" Target="https://aistudio.baidu.com/competition/detail/968" TargetMode="External"/><Relationship Id="rId1015" Type="http://schemas.openxmlformats.org/officeDocument/2006/relationships/hyperlink" Target="https://www.cancerimagingarchive.net/collection/tcga-thca" TargetMode="External"/><Relationship Id="rId1499" Type="http://schemas.openxmlformats.org/officeDocument/2006/relationships/hyperlink" Target="https://arxiv.org/pdf/2309.11145.pdf" TargetMode="External"/><Relationship Id="rId1016" Type="http://schemas.openxmlformats.org/officeDocument/2006/relationships/hyperlink" Target="https://www.cancerimagingarchive.net/collection/tcga-thca" TargetMode="External"/><Relationship Id="rId1017" Type="http://schemas.openxmlformats.org/officeDocument/2006/relationships/hyperlink" Target="https://humansintheloop.org/resources/datasets/teeth-segmentation-dataset" TargetMode="External"/><Relationship Id="rId1018" Type="http://schemas.openxmlformats.org/officeDocument/2006/relationships/hyperlink" Target="https://humansintheloop.org/resources/datasets/teeth-segmentation-dataset" TargetMode="External"/><Relationship Id="rId1019" Type="http://schemas.openxmlformats.org/officeDocument/2006/relationships/hyperlink" Target="https://stanfordaimi.azurewebsites.net/datasets/a72f2b02-7b53-4c5d-963c-d7253220bfd5" TargetMode="External"/><Relationship Id="rId668" Type="http://schemas.openxmlformats.org/officeDocument/2006/relationships/hyperlink" Target="https://nda.nih.gov/edit_collection.html?id=3104" TargetMode="External"/><Relationship Id="rId667" Type="http://schemas.openxmlformats.org/officeDocument/2006/relationships/hyperlink" Target="https://nda.nih.gov/edit_collection.html?id=3104" TargetMode="External"/><Relationship Id="rId666" Type="http://schemas.openxmlformats.org/officeDocument/2006/relationships/hyperlink" Target="http://www.med.harvard.edu/AANLIB" TargetMode="External"/><Relationship Id="rId665" Type="http://schemas.openxmlformats.org/officeDocument/2006/relationships/hyperlink" Target="http://www.med.harvard.edu/AANLIB" TargetMode="External"/><Relationship Id="rId669" Type="http://schemas.openxmlformats.org/officeDocument/2006/relationships/hyperlink" Target="https://nda.nih.gov/abcd" TargetMode="External"/><Relationship Id="rId1490" Type="http://schemas.openxmlformats.org/officeDocument/2006/relationships/hyperlink" Target="https://mega.nz/folder/BRdnDISQ" TargetMode="External"/><Relationship Id="rId660" Type="http://schemas.openxmlformats.org/officeDocument/2006/relationships/hyperlink" Target="https://my.vanderbilt.edu/votem/" TargetMode="External"/><Relationship Id="rId1491" Type="http://schemas.openxmlformats.org/officeDocument/2006/relationships/hyperlink" Target="https://zmiclab.github.io/projects/lascarqs22/" TargetMode="External"/><Relationship Id="rId1492" Type="http://schemas.openxmlformats.org/officeDocument/2006/relationships/hyperlink" Target="https://zmiclab.github.io/projects/lascarqs22/data.html" TargetMode="External"/><Relationship Id="rId1493" Type="http://schemas.openxmlformats.org/officeDocument/2006/relationships/hyperlink" Target="https://arxiv.org/abs/2210.06385" TargetMode="External"/><Relationship Id="rId1010" Type="http://schemas.openxmlformats.org/officeDocument/2006/relationships/hyperlink" Target="https://www.cs.cit.tum.de/camp/publications/segthy-dataset" TargetMode="External"/><Relationship Id="rId1494" Type="http://schemas.openxmlformats.org/officeDocument/2006/relationships/hyperlink" Target="https://www.synapse.org/" TargetMode="External"/><Relationship Id="rId664" Type="http://schemas.openxmlformats.org/officeDocument/2006/relationships/hyperlink" Target="http://www.med.harvard.edu/AANLIB" TargetMode="External"/><Relationship Id="rId1011" Type="http://schemas.openxmlformats.org/officeDocument/2006/relationships/hyperlink" Target="https://tianchi.aliyun.com/competition/entrance/532086" TargetMode="External"/><Relationship Id="rId1495" Type="http://schemas.openxmlformats.org/officeDocument/2006/relationships/hyperlink" Target="https://github.com/XiaoweiXu/ImageCAS-A-Large-Scale-Dataset-and-Benchmark-for-Coronary-Artery-Segmentation-based-on-CT" TargetMode="External"/><Relationship Id="rId663" Type="http://schemas.openxmlformats.org/officeDocument/2006/relationships/hyperlink" Target="https://academictorrents.com/details/5fc2f273123336ee34b9ea635ef8440377a42888" TargetMode="External"/><Relationship Id="rId1012" Type="http://schemas.openxmlformats.org/officeDocument/2006/relationships/hyperlink" Target="https://tianchi.aliyun.com/competition/entrance/532086" TargetMode="External"/><Relationship Id="rId1496" Type="http://schemas.openxmlformats.org/officeDocument/2006/relationships/hyperlink" Target="https://www.sciencedirect.com/science/article/abs/pii/S0895611123001052" TargetMode="External"/><Relationship Id="rId662" Type="http://schemas.openxmlformats.org/officeDocument/2006/relationships/hyperlink" Target="https://academictorrents.com/details/5fc2f273123336ee34b9ea635ef8440377a42888" TargetMode="External"/><Relationship Id="rId1013" Type="http://schemas.openxmlformats.org/officeDocument/2006/relationships/hyperlink" Target="https://tianchi.aliyun.com/competition/entrance/532087" TargetMode="External"/><Relationship Id="rId1497" Type="http://schemas.openxmlformats.org/officeDocument/2006/relationships/hyperlink" Target="https://www.kaggle.com/datasets/xiaoweixumedicalai/imagecas/" TargetMode="External"/><Relationship Id="rId661" Type="http://schemas.openxmlformats.org/officeDocument/2006/relationships/hyperlink" Target="https://academictorrents.com/details/5fc2f273123336ee34b9ea635ef8440377a42888" TargetMode="External"/><Relationship Id="rId1014" Type="http://schemas.openxmlformats.org/officeDocument/2006/relationships/hyperlink" Target="https://tianchi.aliyun.com/competition/entrance/532087" TargetMode="External"/><Relationship Id="rId1498" Type="http://schemas.openxmlformats.org/officeDocument/2006/relationships/hyperlink" Target="https://github.com/xmed-lab/GraphEcho" TargetMode="External"/><Relationship Id="rId1004" Type="http://schemas.openxmlformats.org/officeDocument/2006/relationships/hyperlink" Target="https://data.mendeley.com/datasets/hxt48yk462" TargetMode="External"/><Relationship Id="rId1488" Type="http://schemas.openxmlformats.org/officeDocument/2006/relationships/hyperlink" Target="https://emidec.com/" TargetMode="External"/><Relationship Id="rId1005" Type="http://schemas.openxmlformats.org/officeDocument/2006/relationships/hyperlink" Target="https://zenodo.org/records/4457648" TargetMode="External"/><Relationship Id="rId1489" Type="http://schemas.openxmlformats.org/officeDocument/2006/relationships/hyperlink" Target="https://zmiclab.github.io/zxh/0/myops20/" TargetMode="External"/><Relationship Id="rId1006" Type="http://schemas.openxmlformats.org/officeDocument/2006/relationships/hyperlink" Target="https://zenodo.org/records/4457648" TargetMode="External"/><Relationship Id="rId1007" Type="http://schemas.openxmlformats.org/officeDocument/2006/relationships/hyperlink" Target="https://ditto.ing.unimore.it/pulpy3d" TargetMode="External"/><Relationship Id="rId1008" Type="http://schemas.openxmlformats.org/officeDocument/2006/relationships/hyperlink" Target="https://ditto.ing.unimore.it/pulpy3d" TargetMode="External"/><Relationship Id="rId1009" Type="http://schemas.openxmlformats.org/officeDocument/2006/relationships/hyperlink" Target="https://www.cs.cit.tum.de/camp/publications/segthy-dataset" TargetMode="External"/><Relationship Id="rId657" Type="http://schemas.openxmlformats.org/officeDocument/2006/relationships/hyperlink" Target="https://lit.fe.uni-lj.si/data/research/resources/3D-MR-MS/3D-MR-MS.pdf" TargetMode="External"/><Relationship Id="rId656" Type="http://schemas.openxmlformats.org/officeDocument/2006/relationships/hyperlink" Target="https://lit.fe.uni-lj.si/en/research/resources/3D-MR-MS" TargetMode="External"/><Relationship Id="rId655" Type="http://schemas.openxmlformats.org/officeDocument/2006/relationships/hyperlink" Target="https://lit.fe.uni-lj.si/en/research/resources/3D-MR-MS" TargetMode="External"/><Relationship Id="rId654" Type="http://schemas.openxmlformats.org/officeDocument/2006/relationships/hyperlink" Target="https://lit.fe.uni-lj.si/en/research/resources/3D-2D-GS-CA" TargetMode="External"/><Relationship Id="rId659" Type="http://schemas.openxmlformats.org/officeDocument/2006/relationships/hyperlink" Target="https://my.vanderbilt.edu/votem" TargetMode="External"/><Relationship Id="rId658" Type="http://schemas.openxmlformats.org/officeDocument/2006/relationships/hyperlink" Target="https://my.vanderbilt.edu/votem" TargetMode="External"/><Relationship Id="rId1480" Type="http://schemas.openxmlformats.org/officeDocument/2006/relationships/hyperlink" Target="https://mega.nz/folder/UNMF2YYI" TargetMode="External"/><Relationship Id="rId1481" Type="http://schemas.openxmlformats.org/officeDocument/2006/relationships/hyperlink" Target="http://medicaldecathlon.com/" TargetMode="External"/><Relationship Id="rId1482" Type="http://schemas.openxmlformats.org/officeDocument/2006/relationships/hyperlink" Target="https://drive.google.com/drive/folders/1HqEgzS8BV2c7xYNrZdEAnrHk7osJJ--2?usp=sharing" TargetMode="External"/><Relationship Id="rId1483" Type="http://schemas.openxmlformats.org/officeDocument/2006/relationships/hyperlink" Target="https://www.ub.edu/mnms/" TargetMode="External"/><Relationship Id="rId653" Type="http://schemas.openxmlformats.org/officeDocument/2006/relationships/hyperlink" Target="https://lit.fe.uni-lj.si/en/research/resources/3D-2D-GS-CA" TargetMode="External"/><Relationship Id="rId1000" Type="http://schemas.openxmlformats.org/officeDocument/2006/relationships/hyperlink" Target="https://www.cancerimagingarchive.net/collection/opc-radiomics" TargetMode="External"/><Relationship Id="rId1484" Type="http://schemas.openxmlformats.org/officeDocument/2006/relationships/hyperlink" Target="https://ieeexplore.ieee.org/document/9458279" TargetMode="External"/><Relationship Id="rId652" Type="http://schemas.openxmlformats.org/officeDocument/2006/relationships/hyperlink" Target="https://www.kaggle.com/competitions/rsna-intracranial-hemorrhage-detection/data" TargetMode="External"/><Relationship Id="rId1001" Type="http://schemas.openxmlformats.org/officeDocument/2006/relationships/hyperlink" Target="https://zenodo.org/records/1473724" TargetMode="External"/><Relationship Id="rId1485" Type="http://schemas.openxmlformats.org/officeDocument/2006/relationships/hyperlink" Target="https://mega.nz/folder/FxAmhbRJ" TargetMode="External"/><Relationship Id="rId651" Type="http://schemas.openxmlformats.org/officeDocument/2006/relationships/hyperlink" Target="https://www.kaggle.com/c/rsna-intracranial-hemorrhage-detection/overview" TargetMode="External"/><Relationship Id="rId1002" Type="http://schemas.openxmlformats.org/officeDocument/2006/relationships/hyperlink" Target="https://zenodo.org/records/1473724" TargetMode="External"/><Relationship Id="rId1486" Type="http://schemas.openxmlformats.org/officeDocument/2006/relationships/hyperlink" Target="https://emidec.com/" TargetMode="External"/><Relationship Id="rId650" Type="http://schemas.openxmlformats.org/officeDocument/2006/relationships/hyperlink" Target="https://www.kaggle.com/c/rsna-intracranial-hemorrhage-detection/overview" TargetMode="External"/><Relationship Id="rId1003" Type="http://schemas.openxmlformats.org/officeDocument/2006/relationships/hyperlink" Target="https://data.mendeley.com/datasets/hxt48yk462" TargetMode="External"/><Relationship Id="rId1487" Type="http://schemas.openxmlformats.org/officeDocument/2006/relationships/hyperlink" Target="https://www.mdpi.com/2306-5729/5/4/89" TargetMode="External"/><Relationship Id="rId1037" Type="http://schemas.openxmlformats.org/officeDocument/2006/relationships/hyperlink" Target="https://www.kaggle.com/c/diabetic-retinopathy-detection/data" TargetMode="External"/><Relationship Id="rId1038" Type="http://schemas.openxmlformats.org/officeDocument/2006/relationships/hyperlink" Target="https://projects.ics.forth.gr/cvrl/fire" TargetMode="External"/><Relationship Id="rId1039" Type="http://schemas.openxmlformats.org/officeDocument/2006/relationships/hyperlink" Target="https://projects.ics.forth.gr/cvrl/fire" TargetMode="External"/><Relationship Id="rId206" Type="http://schemas.openxmlformats.org/officeDocument/2006/relationships/hyperlink" Target="https://www.kaggle.com/datasets/andrewmvd/covid19-ct-scans" TargetMode="External"/><Relationship Id="rId205" Type="http://schemas.openxmlformats.org/officeDocument/2006/relationships/hyperlink" Target="https://zenodo.org/records/3757476" TargetMode="External"/><Relationship Id="rId689" Type="http://schemas.openxmlformats.org/officeDocument/2006/relationships/hyperlink" Target="https://aims-tbi.grand-challenge.org" TargetMode="External"/><Relationship Id="rId204" Type="http://schemas.openxmlformats.org/officeDocument/2006/relationships/hyperlink" Target="https://www.kaggle.com/competitions/covid-segmentation" TargetMode="External"/><Relationship Id="rId688" Type="http://schemas.openxmlformats.org/officeDocument/2006/relationships/hyperlink" Target="https://aims-tbi.grand-challenge.org" TargetMode="External"/><Relationship Id="rId203" Type="http://schemas.openxmlformats.org/officeDocument/2006/relationships/hyperlink" Target="https://www.kaggle.com/datasets/bachrr/covid-chest-xray" TargetMode="External"/><Relationship Id="rId687" Type="http://schemas.openxmlformats.org/officeDocument/2006/relationships/hyperlink" Target="https://preprocessed-connectomes-project.org/adhd200/" TargetMode="External"/><Relationship Id="rId209" Type="http://schemas.openxmlformats.org/officeDocument/2006/relationships/hyperlink" Target="https://codalab.lisn.upsaclay.fr/competitions/7065" TargetMode="External"/><Relationship Id="rId208" Type="http://schemas.openxmlformats.org/officeDocument/2006/relationships/hyperlink" Target="https://data.uni-hannover.de/dataset/cov-19-img" TargetMode="External"/><Relationship Id="rId207" Type="http://schemas.openxmlformats.org/officeDocument/2006/relationships/hyperlink" Target="https://www.kaggle.com/datasets/pranavraikokte/covid19-image-dataset" TargetMode="External"/><Relationship Id="rId682" Type="http://schemas.openxmlformats.org/officeDocument/2006/relationships/hyperlink" Target="http://fcon_1000.projects.nitrc.org/indi/ACPI/html/acpi_nyu_1.html" TargetMode="External"/><Relationship Id="rId681" Type="http://schemas.openxmlformats.org/officeDocument/2006/relationships/hyperlink" Target="https://www.nitrc.org/projects/ACPI" TargetMode="External"/><Relationship Id="rId1030" Type="http://schemas.openxmlformats.org/officeDocument/2006/relationships/hyperlink" Target="https://drac22.grand-challenge.org" TargetMode="External"/><Relationship Id="rId680" Type="http://schemas.openxmlformats.org/officeDocument/2006/relationships/hyperlink" Target="http://fcon_1000.projects.nitrc.org/indi/ACPI/html/acpi_mta_1.html" TargetMode="External"/><Relationship Id="rId1031" Type="http://schemas.openxmlformats.org/officeDocument/2006/relationships/hyperlink" Target="https://people.duke.edu/~sf59/Rabbani_IOVS_2014_dataset.htm" TargetMode="External"/><Relationship Id="rId1032" Type="http://schemas.openxmlformats.org/officeDocument/2006/relationships/hyperlink" Target="https://people.duke.edu/~sf59/Rabbani_IOVS_2014_dataset.htm" TargetMode="External"/><Relationship Id="rId202" Type="http://schemas.openxmlformats.org/officeDocument/2006/relationships/hyperlink" Target="https://www.cancerimagingarchive.net/collection/covid-19-ar" TargetMode="External"/><Relationship Id="rId686" Type="http://schemas.openxmlformats.org/officeDocument/2006/relationships/hyperlink" Target="http://fcon_1000.projects.nitrc.org/indi/adhd200" TargetMode="External"/><Relationship Id="rId1033" Type="http://schemas.openxmlformats.org/officeDocument/2006/relationships/hyperlink" Target="https://www.adcis.net/en/third-party/e-ophtha" TargetMode="External"/><Relationship Id="rId201" Type="http://schemas.openxmlformats.org/officeDocument/2006/relationships/hyperlink" Target="https://covid-segmentation.grand-challenge.org" TargetMode="External"/><Relationship Id="rId685" Type="http://schemas.openxmlformats.org/officeDocument/2006/relationships/hyperlink" Target="http://fcon_1000.projects.nitrc.org/indi/adhd200" TargetMode="External"/><Relationship Id="rId1034" Type="http://schemas.openxmlformats.org/officeDocument/2006/relationships/hyperlink" Target="https://www.adcis.net/en/third-party/e-ophtha" TargetMode="External"/><Relationship Id="rId200" Type="http://schemas.openxmlformats.org/officeDocument/2006/relationships/hyperlink" Target="https://med.emory.edu/departments/radiation-oncology/research-laboratories/deformable-image-registration/downloads-and-reference-data/copdgene.html" TargetMode="External"/><Relationship Id="rId684" Type="http://schemas.openxmlformats.org/officeDocument/2006/relationships/hyperlink" Target="https://www.nitrc.org/projects/ACPI" TargetMode="External"/><Relationship Id="rId1035" Type="http://schemas.openxmlformats.org/officeDocument/2006/relationships/hyperlink" Target="https://www.kaggle.com/c/diabetic-retinopathy-detection/overview" TargetMode="External"/><Relationship Id="rId683" Type="http://schemas.openxmlformats.org/officeDocument/2006/relationships/hyperlink" Target="http://fcon_1000.projects.nitrc.org/indi/ACPI/html/acpi_nyu_1.html" TargetMode="External"/><Relationship Id="rId1036" Type="http://schemas.openxmlformats.org/officeDocument/2006/relationships/hyperlink" Target="https://www.kaggle.com/c/diabetic-retinopathy-detection/overview" TargetMode="External"/><Relationship Id="rId1026" Type="http://schemas.openxmlformats.org/officeDocument/2006/relationships/hyperlink" Target="https://cataracts.grand-challenge.org" TargetMode="External"/><Relationship Id="rId1027" Type="http://schemas.openxmlformats.org/officeDocument/2006/relationships/hyperlink" Target="https://github.com/nkicsl/DDR-dataset" TargetMode="External"/><Relationship Id="rId1028" Type="http://schemas.openxmlformats.org/officeDocument/2006/relationships/hyperlink" Target="https://github.com/nkicsl/DDR-dataset" TargetMode="External"/><Relationship Id="rId1029" Type="http://schemas.openxmlformats.org/officeDocument/2006/relationships/hyperlink" Target="https://drac22.grand-challenge.org" TargetMode="External"/><Relationship Id="rId679" Type="http://schemas.openxmlformats.org/officeDocument/2006/relationships/hyperlink" Target="http://fcon_1000.projects.nitrc.org/indi/ACPI/html/acpi_mta_1.html" TargetMode="External"/><Relationship Id="rId678" Type="http://schemas.openxmlformats.org/officeDocument/2006/relationships/hyperlink" Target="https://www.nitrc.org/projects/ACPI" TargetMode="External"/><Relationship Id="rId677" Type="http://schemas.openxmlformats.org/officeDocument/2006/relationships/hyperlink" Target="http://fcon_1000.projects.nitrc.org/indi/ACPI/html/acpi_du_1.html" TargetMode="External"/><Relationship Id="rId676" Type="http://schemas.openxmlformats.org/officeDocument/2006/relationships/hyperlink" Target="http://fcon_1000.projects.nitrc.org/indi/ACPI/html/acpi_du_1.html" TargetMode="External"/><Relationship Id="rId671" Type="http://schemas.openxmlformats.org/officeDocument/2006/relationships/hyperlink" Target="http://fcon_1000.projects.nitrc.org/indi/abide" TargetMode="External"/><Relationship Id="rId670" Type="http://schemas.openxmlformats.org/officeDocument/2006/relationships/hyperlink" Target="http://fcon_1000.projects.nitrc.org/indi/abide" TargetMode="External"/><Relationship Id="rId1020" Type="http://schemas.openxmlformats.org/officeDocument/2006/relationships/hyperlink" Target="https://stanfordaimi.azurewebsites.net/datasets/a72f2b02-7b53-4c5d-963c-d7253220bfd5" TargetMode="External"/><Relationship Id="rId1021" Type="http://schemas.openxmlformats.org/officeDocument/2006/relationships/hyperlink" Target="https://www.cancerimagingarchive.net/collection/vestibular-schwannoma-seg" TargetMode="External"/><Relationship Id="rId675" Type="http://schemas.openxmlformats.org/officeDocument/2006/relationships/hyperlink" Target="https://www.cancerimagingarchive.net/collection/acns0332/" TargetMode="External"/><Relationship Id="rId1022" Type="http://schemas.openxmlformats.org/officeDocument/2006/relationships/hyperlink" Target="https://www.cancerimagingarchive.net/collection/vestibular-schwannoma-seg" TargetMode="External"/><Relationship Id="rId674" Type="http://schemas.openxmlformats.org/officeDocument/2006/relationships/hyperlink" Target="https://www.cancerimagingarchive.net/collection/acns0332" TargetMode="External"/><Relationship Id="rId1023" Type="http://schemas.openxmlformats.org/officeDocument/2006/relationships/hyperlink" Target="https://www.kaggle.com/c/aptos2019-blindness-detection/overview" TargetMode="External"/><Relationship Id="rId673" Type="http://schemas.openxmlformats.org/officeDocument/2006/relationships/hyperlink" Target="https://www.cancerimagingarchive.net/collection/acns0332" TargetMode="External"/><Relationship Id="rId1024" Type="http://schemas.openxmlformats.org/officeDocument/2006/relationships/hyperlink" Target="https://www.kaggle.com/c/aptos2019-blindness-detection/overview" TargetMode="External"/><Relationship Id="rId672" Type="http://schemas.openxmlformats.org/officeDocument/2006/relationships/hyperlink" Target="http://fcon_1000.projects.nitrc.org/indi/abide/" TargetMode="External"/><Relationship Id="rId1025" Type="http://schemas.openxmlformats.org/officeDocument/2006/relationships/hyperlink" Target="https://cataracts.grand-challenge.org" TargetMode="External"/><Relationship Id="rId190" Type="http://schemas.openxmlformats.org/officeDocument/2006/relationships/hyperlink" Target="https://auckland.figshare.com/articles/dataset/CANDID-PTX/14173982" TargetMode="External"/><Relationship Id="rId194" Type="http://schemas.openxmlformats.org/officeDocument/2006/relationships/hyperlink" Target="https://www.nih.gov/news-events/news-releases/nih-clinical-center-provides-one-largest-publicly-available-chest-x-ray-datasets-scientific-community" TargetMode="External"/><Relationship Id="rId193" Type="http://schemas.openxmlformats.org/officeDocument/2006/relationships/hyperlink" Target="https://github.com/Deepwise-AILab/ChestX-Det-Dataset" TargetMode="External"/><Relationship Id="rId192" Type="http://schemas.openxmlformats.org/officeDocument/2006/relationships/hyperlink" Target="https://cxr-covid19.grand-challenge.org" TargetMode="External"/><Relationship Id="rId191" Type="http://schemas.openxmlformats.org/officeDocument/2006/relationships/hyperlink" Target="https://www.kaggle.com/datasets/paultimothymooney/chest-xray-pneumonia" TargetMode="External"/><Relationship Id="rId187" Type="http://schemas.openxmlformats.org/officeDocument/2006/relationships/hyperlink" Target="https://github.com/BIMCV-CSUSP/BIMCV-COVID-19" TargetMode="External"/><Relationship Id="rId186" Type="http://schemas.openxmlformats.org/officeDocument/2006/relationships/hyperlink" Target="https://anode09.grand-challenge.org/" TargetMode="External"/><Relationship Id="rId185" Type="http://schemas.openxmlformats.org/officeDocument/2006/relationships/hyperlink" Target="https://datadryad.org/stash/dataset/doi:10.5061/dryad.mj76c" TargetMode="External"/><Relationship Id="rId184" Type="http://schemas.openxmlformats.org/officeDocument/2006/relationships/hyperlink" Target="https://www.cancerimagingarchive.net/collection/acrin-nsclc-fdg-pet" TargetMode="External"/><Relationship Id="rId189" Type="http://schemas.openxmlformats.org/officeDocument/2006/relationships/hyperlink" Target="https://www.bsti.org.uk/training-and-education/covid-19-bsti-imaging-database" TargetMode="External"/><Relationship Id="rId188" Type="http://schemas.openxmlformats.org/officeDocument/2006/relationships/hyperlink" Target="https://brixia.github.io" TargetMode="External"/><Relationship Id="rId183" Type="http://schemas.openxmlformats.org/officeDocument/2006/relationships/hyperlink" Target="https://med.emory.edu/departments/radiation-oncology/research-laboratories/deformable-image-registration/downloads-and-reference-data/4dct.html" TargetMode="External"/><Relationship Id="rId182" Type="http://schemas.openxmlformats.org/officeDocument/2006/relationships/hyperlink" Target="https://www.cancerimagingarchive.net/collection/4d-lung" TargetMode="External"/><Relationship Id="rId181" Type="http://schemas.openxmlformats.org/officeDocument/2006/relationships/hyperlink" Target="https://mimbcd-ui.github.io/dataset-uta4-dicom" TargetMode="External"/><Relationship Id="rId180" Type="http://schemas.openxmlformats.org/officeDocument/2006/relationships/hyperlink" Target="https://github.com/MIMBCD-UI/dataset-uta4-dicom" TargetMode="External"/><Relationship Id="rId176" Type="http://schemas.openxmlformats.org/officeDocument/2006/relationships/hyperlink" Target="https://arxiv.org/abs/2206.11943" TargetMode="External"/><Relationship Id="rId175" Type="http://schemas.openxmlformats.org/officeDocument/2006/relationships/hyperlink" Target="https://tiger.grand-challenge.org" TargetMode="External"/><Relationship Id="rId174" Type="http://schemas.openxmlformats.org/officeDocument/2006/relationships/hyperlink" Target="https://www.cancerimagingarchive.net/collection/tcga-brca/" TargetMode="External"/><Relationship Id="rId173" Type="http://schemas.openxmlformats.org/officeDocument/2006/relationships/hyperlink" Target="https://www.cancerimagingarchive.net/collection/tcga-brca/" TargetMode="External"/><Relationship Id="rId179" Type="http://schemas.openxmlformats.org/officeDocument/2006/relationships/hyperlink" Target="http://tupac.tue-image.nl" TargetMode="External"/><Relationship Id="rId178" Type="http://schemas.openxmlformats.org/officeDocument/2006/relationships/hyperlink" Target="https://tupac.grand-challenge.org" TargetMode="External"/><Relationship Id="rId177" Type="http://schemas.openxmlformats.org/officeDocument/2006/relationships/hyperlink" Target="https://tiger.grand-challenge.org/Data/" TargetMode="External"/><Relationship Id="rId198" Type="http://schemas.openxmlformats.org/officeDocument/2006/relationships/hyperlink" Target="https://stanfordaimi.azurewebsites.net/datasets/f1577fbd-6f5c-417e-be81-850939f90daa" TargetMode="External"/><Relationship Id="rId197" Type="http://schemas.openxmlformats.org/officeDocument/2006/relationships/hyperlink" Target="https://physionet.org/content/chexmask-cxr-segmentation-data" TargetMode="External"/><Relationship Id="rId196" Type="http://schemas.openxmlformats.org/officeDocument/2006/relationships/hyperlink" Target="https://stanfordaimi.azurewebsites.net/datasets/23c56a0d-15de-405b-87c8-99c30138950c" TargetMode="External"/><Relationship Id="rId195" Type="http://schemas.openxmlformats.org/officeDocument/2006/relationships/hyperlink" Target="https://www.v7labs.com/open-datasets/chestx-ray14" TargetMode="External"/><Relationship Id="rId199" Type="http://schemas.openxmlformats.org/officeDocument/2006/relationships/hyperlink" Target="https://www.cancerimagingarchive.net/collection/cmb-lca" TargetMode="External"/><Relationship Id="rId150" Type="http://schemas.openxmlformats.org/officeDocument/2006/relationships/hyperlink" Target="https://www.kaggle.com/datasets/cheddad/miniddsm2" TargetMode="External"/><Relationship Id="rId149" Type="http://schemas.openxmlformats.org/officeDocument/2006/relationships/hyperlink" Target="https://arxiv.org/abs/2010.00494" TargetMode="External"/><Relationship Id="rId148" Type="http://schemas.openxmlformats.org/officeDocument/2006/relationships/hyperlink" Target="https://www.kaggle.com/datasets/cheddad/miniddsm2" TargetMode="External"/><Relationship Id="rId1090" Type="http://schemas.openxmlformats.org/officeDocument/2006/relationships/hyperlink" Target="https://openneuro.org/datasets/ds001486" TargetMode="External"/><Relationship Id="rId1091" Type="http://schemas.openxmlformats.org/officeDocument/2006/relationships/hyperlink" Target="https://openneuro.org/datasets/ds001894" TargetMode="External"/><Relationship Id="rId1092" Type="http://schemas.openxmlformats.org/officeDocument/2006/relationships/hyperlink" Target="https://openneuro.org/datasets/ds001894" TargetMode="External"/><Relationship Id="rId1093" Type="http://schemas.openxmlformats.org/officeDocument/2006/relationships/hyperlink" Target="https://openneuro.org/datasets/ds001894" TargetMode="External"/><Relationship Id="rId1094" Type="http://schemas.openxmlformats.org/officeDocument/2006/relationships/hyperlink" Target="https://openneuro.org/datasets/ds000239" TargetMode="External"/><Relationship Id="rId143" Type="http://schemas.openxmlformats.org/officeDocument/2006/relationships/hyperlink" Target="https://doi.org/10.5281/zenodo.4643381" TargetMode="External"/><Relationship Id="rId1095" Type="http://schemas.openxmlformats.org/officeDocument/2006/relationships/hyperlink" Target="https://openneuro.org/datasets/ds000239" TargetMode="External"/><Relationship Id="rId142" Type="http://schemas.openxmlformats.org/officeDocument/2006/relationships/hyperlink" Target="https://imig.science/midog2021" TargetMode="External"/><Relationship Id="rId1096" Type="http://schemas.openxmlformats.org/officeDocument/2006/relationships/hyperlink" Target="https://openneuro.org/datasets/ds000239" TargetMode="External"/><Relationship Id="rId141" Type="http://schemas.openxmlformats.org/officeDocument/2006/relationships/hyperlink" Target="https://www.cancerimagingarchive.net/collection/ispy2-acrin-6698/" TargetMode="External"/><Relationship Id="rId1097" Type="http://schemas.openxmlformats.org/officeDocument/2006/relationships/hyperlink" Target="https://openneuro.org/datasets/ds000221" TargetMode="External"/><Relationship Id="rId140" Type="http://schemas.openxmlformats.org/officeDocument/2006/relationships/hyperlink" Target="https://doi.org/10.7937/TCIA.2022.mn8yxqa1" TargetMode="External"/><Relationship Id="rId1098" Type="http://schemas.openxmlformats.org/officeDocument/2006/relationships/hyperlink" Target="https://openneuro.org/datasets/ds000221" TargetMode="External"/><Relationship Id="rId147" Type="http://schemas.openxmlformats.org/officeDocument/2006/relationships/hyperlink" Target="https://zenodo.org/records/6547151" TargetMode="External"/><Relationship Id="rId1099" Type="http://schemas.openxmlformats.org/officeDocument/2006/relationships/hyperlink" Target="https://openneuro.org/datasets/ds000221" TargetMode="External"/><Relationship Id="rId146" Type="http://schemas.openxmlformats.org/officeDocument/2006/relationships/hyperlink" Target="https://doi.org/10.5281/zenodo.6362337" TargetMode="External"/><Relationship Id="rId145" Type="http://schemas.openxmlformats.org/officeDocument/2006/relationships/hyperlink" Target="https://imig.science/midog" TargetMode="External"/><Relationship Id="rId144" Type="http://schemas.openxmlformats.org/officeDocument/2006/relationships/hyperlink" Target="https://imig.science/midog2021/download-dataset/" TargetMode="External"/><Relationship Id="rId139" Type="http://schemas.openxmlformats.org/officeDocument/2006/relationships/hyperlink" Target="https://www.cancerimagingarchive.net/collection/ispy2" TargetMode="External"/><Relationship Id="rId138" Type="http://schemas.openxmlformats.org/officeDocument/2006/relationships/hyperlink" Target="https://www.cancerimagingarchive.net/collection/ispy1/" TargetMode="External"/><Relationship Id="rId137" Type="http://schemas.openxmlformats.org/officeDocument/2006/relationships/hyperlink" Target="https://doi.org/10.7937/K9/TCIA.2016.HdHpgJLK" TargetMode="External"/><Relationship Id="rId1080" Type="http://schemas.openxmlformats.org/officeDocument/2006/relationships/hyperlink" Target="https://openneuro.org/datasets/ds002207/versions/1.0.0" TargetMode="External"/><Relationship Id="rId1081" Type="http://schemas.openxmlformats.org/officeDocument/2006/relationships/hyperlink" Target="https://openneuro.org/datasets/ds002207" TargetMode="External"/><Relationship Id="rId1082" Type="http://schemas.openxmlformats.org/officeDocument/2006/relationships/hyperlink" Target="https://openneuro.org/datasets/ds002236/versions/1.1.1" TargetMode="External"/><Relationship Id="rId1083" Type="http://schemas.openxmlformats.org/officeDocument/2006/relationships/hyperlink" Target="https://openneuro.org/datasets/ds002236/versions/1.1.1" TargetMode="External"/><Relationship Id="rId132" Type="http://schemas.openxmlformats.org/officeDocument/2006/relationships/hyperlink" Target="https://www.cancerimagingarchive.net/collection/duke-breast-cancer-mri" TargetMode="External"/><Relationship Id="rId1084" Type="http://schemas.openxmlformats.org/officeDocument/2006/relationships/hyperlink" Target="https://openneuro.org/datasets/ds002236" TargetMode="External"/><Relationship Id="rId131" Type="http://schemas.openxmlformats.org/officeDocument/2006/relationships/hyperlink" Target="https://visual.ic.uff.br/dmi" TargetMode="External"/><Relationship Id="rId1085" Type="http://schemas.openxmlformats.org/officeDocument/2006/relationships/hyperlink" Target="https://openneuro.org/datasets/ds005639" TargetMode="External"/><Relationship Id="rId130" Type="http://schemas.openxmlformats.org/officeDocument/2006/relationships/hyperlink" Target="https://data.mendeley.com/datasets/7fvgj4jsp7" TargetMode="External"/><Relationship Id="rId1086" Type="http://schemas.openxmlformats.org/officeDocument/2006/relationships/hyperlink" Target="https://openneuro.org/datasets/ds005639" TargetMode="External"/><Relationship Id="rId1087" Type="http://schemas.openxmlformats.org/officeDocument/2006/relationships/hyperlink" Target="https://openneuro.org/datasets/ds005639" TargetMode="External"/><Relationship Id="rId136" Type="http://schemas.openxmlformats.org/officeDocument/2006/relationships/hyperlink" Target="https://www.cancerimagingarchive.net/collection/ispy1" TargetMode="External"/><Relationship Id="rId1088" Type="http://schemas.openxmlformats.org/officeDocument/2006/relationships/hyperlink" Target="https://openneuro.org/datasets/ds001486" TargetMode="External"/><Relationship Id="rId135" Type="http://schemas.openxmlformats.org/officeDocument/2006/relationships/hyperlink" Target="https://www.kaggle.com/datasets/martholi/inbreast" TargetMode="External"/><Relationship Id="rId1089" Type="http://schemas.openxmlformats.org/officeDocument/2006/relationships/hyperlink" Target="https://openneuro.org/datasets/ds001486" TargetMode="External"/><Relationship Id="rId134" Type="http://schemas.openxmlformats.org/officeDocument/2006/relationships/hyperlink" Target="https://www.mdpi.com/2313-433X/8/8/213" TargetMode="External"/><Relationship Id="rId133" Type="http://schemas.openxmlformats.org/officeDocument/2006/relationships/hyperlink" Target="https://ecdp2020.grand-challenge.org" TargetMode="External"/><Relationship Id="rId172" Type="http://schemas.openxmlformats.org/officeDocument/2006/relationships/hyperlink" Target="https://www.cancerimagingarchive.net/collection/tcga-brca" TargetMode="External"/><Relationship Id="rId171" Type="http://schemas.openxmlformats.org/officeDocument/2006/relationships/hyperlink" Target="https://www.cancerimagingarchive.net/collection/sln-breast/" TargetMode="External"/><Relationship Id="rId170" Type="http://schemas.openxmlformats.org/officeDocument/2006/relationships/hyperlink" Target="https://doi.org/10.7937/tcia.2019.3xbn2jcc" TargetMode="External"/><Relationship Id="rId165" Type="http://schemas.openxmlformats.org/officeDocument/2006/relationships/hyperlink" Target="https://www.cancerimagingarchive.net/collection/rider-breast-mri/" TargetMode="External"/><Relationship Id="rId164" Type="http://schemas.openxmlformats.org/officeDocument/2006/relationships/hyperlink" Target="https://wiki.cancerimagingarchive.net/display/Public/RIDER+Collections" TargetMode="External"/><Relationship Id="rId163" Type="http://schemas.openxmlformats.org/officeDocument/2006/relationships/hyperlink" Target="https://www.cancerimagingarchive.net/collection/rider-breast-mri" TargetMode="External"/><Relationship Id="rId162" Type="http://schemas.openxmlformats.org/officeDocument/2006/relationships/hyperlink" Target="https://www.cancerimagingarchive.net/collection/qin-breast-02/" TargetMode="External"/><Relationship Id="rId169" Type="http://schemas.openxmlformats.org/officeDocument/2006/relationships/hyperlink" Target="https://www.cancerimagingarchive.net/collection/sln-breast" TargetMode="External"/><Relationship Id="rId168" Type="http://schemas.openxmlformats.org/officeDocument/2006/relationships/hyperlink" Target="https://www.cancerimagingarchive.net/collection/bcs-dbt/" TargetMode="External"/><Relationship Id="rId167" Type="http://schemas.openxmlformats.org/officeDocument/2006/relationships/hyperlink" Target="https://arxiv.org/abs/2011.07995" TargetMode="External"/><Relationship Id="rId166" Type="http://schemas.openxmlformats.org/officeDocument/2006/relationships/hyperlink" Target="https://www.rsna.org/rsnai/ai-image-challenge/screening-mammography-breast-cancer-detection-ai-challenge" TargetMode="External"/><Relationship Id="rId161" Type="http://schemas.openxmlformats.org/officeDocument/2006/relationships/hyperlink" Target="https://doi.org/10.7937/TCIA.2019.4cfm06rr" TargetMode="External"/><Relationship Id="rId160" Type="http://schemas.openxmlformats.org/officeDocument/2006/relationships/hyperlink" Target="https://www.cancerimagingarchive.net/collection/qin-breast-02" TargetMode="External"/><Relationship Id="rId159" Type="http://schemas.openxmlformats.org/officeDocument/2006/relationships/hyperlink" Target="https://www.cancerimagingarchive.net/collection/qin-breast-dce-mri/" TargetMode="External"/><Relationship Id="rId154" Type="http://schemas.openxmlformats.org/officeDocument/2006/relationships/hyperlink" Target="https://www.cancerimagingarchive.net/collection/post-nat-brca" TargetMode="External"/><Relationship Id="rId153" Type="http://schemas.openxmlformats.org/officeDocument/2006/relationships/hyperlink" Target="https://mitos-atypia-14.grand-challenge.org/Donwload/" TargetMode="External"/><Relationship Id="rId152" Type="http://schemas.openxmlformats.org/officeDocument/2006/relationships/hyperlink" Target="https://mitos-atypia-14.grand-challenge.org/" TargetMode="External"/><Relationship Id="rId151" Type="http://schemas.openxmlformats.org/officeDocument/2006/relationships/hyperlink" Target="https://mitos-atypia-14.grand-challenge.org" TargetMode="External"/><Relationship Id="rId158" Type="http://schemas.openxmlformats.org/officeDocument/2006/relationships/hyperlink" Target="https://www.cancerimagingarchive.net/collection/qin-breast-dce-mri/" TargetMode="External"/><Relationship Id="rId157" Type="http://schemas.openxmlformats.org/officeDocument/2006/relationships/hyperlink" Target="https://www.cancerimagingarchive.net/collection/qin-breast" TargetMode="External"/><Relationship Id="rId156" Type="http://schemas.openxmlformats.org/officeDocument/2006/relationships/hyperlink" Target="https://www.cancerimagingarchive.net/collection/post-nat-brca/" TargetMode="External"/><Relationship Id="rId155" Type="http://schemas.openxmlformats.org/officeDocument/2006/relationships/hyperlink" Target="https://doi.org/10.7937/TCIA.2019.4YIBTJNO" TargetMode="External"/><Relationship Id="rId1510" Type="http://schemas.openxmlformats.org/officeDocument/2006/relationships/hyperlink" Target="https://data.mendeley.com/datasets/ydrm75xywg/1" TargetMode="External"/><Relationship Id="rId1511" Type="http://schemas.openxmlformats.org/officeDocument/2006/relationships/hyperlink" Target="https://data.mendeley.com/datasets/ydrm75xywg/1" TargetMode="External"/><Relationship Id="rId1512" Type="http://schemas.openxmlformats.org/officeDocument/2006/relationships/hyperlink" Target="https://aortaseg24.grand-challenge.org" TargetMode="External"/><Relationship Id="rId1513" Type="http://schemas.openxmlformats.org/officeDocument/2006/relationships/hyperlink" Target="https://aortaseg24.grand-challenge.org" TargetMode="External"/><Relationship Id="rId1514" Type="http://schemas.openxmlformats.org/officeDocument/2006/relationships/hyperlink" Target="https://arcade.grand-challenge.org" TargetMode="External"/><Relationship Id="rId1515" Type="http://schemas.openxmlformats.org/officeDocument/2006/relationships/hyperlink" Target="https://arcade.grand-challenge.org" TargetMode="External"/><Relationship Id="rId1516" Type="http://schemas.openxmlformats.org/officeDocument/2006/relationships/hyperlink" Target="https://asoca.grand-challenge.org" TargetMode="External"/><Relationship Id="rId1517" Type="http://schemas.openxmlformats.org/officeDocument/2006/relationships/hyperlink" Target="https://asoca.grand-challenge.org/access/" TargetMode="External"/><Relationship Id="rId1518" Type="http://schemas.openxmlformats.org/officeDocument/2006/relationships/hyperlink" Target="https://www.cardiacatlas.org/atriaseg2018-challenge" TargetMode="External"/><Relationship Id="rId1519" Type="http://schemas.openxmlformats.org/officeDocument/2006/relationships/hyperlink" Target="https://www.cardiacatlas.org/atriaseg2018-challenge/" TargetMode="External"/><Relationship Id="rId1500" Type="http://schemas.openxmlformats.org/officeDocument/2006/relationships/hyperlink" Target="https://www.kaggle.com/datasets/xiaoweixumedicalai/cardiacudc-dataset" TargetMode="External"/><Relationship Id="rId1501" Type="http://schemas.openxmlformats.org/officeDocument/2006/relationships/hyperlink" Target="http://zmic.org.cn/care_2024/track4/" TargetMode="External"/><Relationship Id="rId1502" Type="http://schemas.openxmlformats.org/officeDocument/2006/relationships/hyperlink" Target="http://zmic.org.cn/care_2024/track5/" TargetMode="External"/><Relationship Id="rId1503" Type="http://schemas.openxmlformats.org/officeDocument/2006/relationships/hyperlink" Target="http://zmic.org.cn/care_2024/track2/" TargetMode="External"/><Relationship Id="rId1504" Type="http://schemas.openxmlformats.org/officeDocument/2006/relationships/hyperlink" Target="https://echonet.github.io/dynamic/" TargetMode="External"/><Relationship Id="rId1505" Type="http://schemas.openxmlformats.org/officeDocument/2006/relationships/hyperlink" Target="https://stanfordaimi.azurewebsites.net/datasets/834e1cd1-92f7-4268-9daa-d359198b310a" TargetMode="External"/><Relationship Id="rId1506" Type="http://schemas.openxmlformats.org/officeDocument/2006/relationships/hyperlink" Target="https://github.com/jiongzhang-john/DSCA" TargetMode="External"/><Relationship Id="rId1507" Type="http://schemas.openxmlformats.org/officeDocument/2006/relationships/hyperlink" Target="https://zenodo.org/records/11255024" TargetMode="External"/><Relationship Id="rId1508" Type="http://schemas.openxmlformats.org/officeDocument/2006/relationships/hyperlink" Target="https://www.cardiacatlas.org/amrg-cardiac-atlas" TargetMode="External"/><Relationship Id="rId1509" Type="http://schemas.openxmlformats.org/officeDocument/2006/relationships/hyperlink" Target="https://www.cardiacatlas.org/amrg-cardiac-atlas/" TargetMode="External"/><Relationship Id="rId1576" Type="http://schemas.openxmlformats.org/officeDocument/2006/relationships/hyperlink" Target="https://www.cardiacatlas.org/lv-segmentation-challenge/" TargetMode="External"/><Relationship Id="rId1577" Type="http://schemas.openxmlformats.org/officeDocument/2006/relationships/hyperlink" Target="https://www.cardiacatlas.org/lv-segmentation-challenge/" TargetMode="External"/><Relationship Id="rId1578" Type="http://schemas.openxmlformats.org/officeDocument/2006/relationships/hyperlink" Target="https://www.cardiacatlas.org/lv-statistical-shape-challenge" TargetMode="External"/><Relationship Id="rId1579" Type="http://schemas.openxmlformats.org/officeDocument/2006/relationships/hyperlink" Target="https://www.cardiacatlas.org/lv-statistical-shape-challenge/" TargetMode="External"/><Relationship Id="rId509" Type="http://schemas.openxmlformats.org/officeDocument/2006/relationships/hyperlink" Target="https://optima.meduniwien.ac.at/wp-content/uploads/2021/12/2019_HBogunovic_RETOUCH_IEEETransactions_preprint.pdf" TargetMode="External"/><Relationship Id="rId508" Type="http://schemas.openxmlformats.org/officeDocument/2006/relationships/hyperlink" Target="https://retouch.grand-challenge.org/Home/" TargetMode="External"/><Relationship Id="rId503" Type="http://schemas.openxmlformats.org/officeDocument/2006/relationships/hyperlink" Target="http://academictorrents.com/details/99811ba62918f8e73791d21be29dcc372d660305" TargetMode="External"/><Relationship Id="rId987" Type="http://schemas.openxmlformats.org/officeDocument/2006/relationships/hyperlink" Target="http://fcon_1000.projects.nitrc.org/indi/retro/yale_lowres.html" TargetMode="External"/><Relationship Id="rId502" Type="http://schemas.openxmlformats.org/officeDocument/2006/relationships/hyperlink" Target="https://pubmed.ncbi.nlm.nih.gov/24718384/" TargetMode="External"/><Relationship Id="rId986" Type="http://schemas.openxmlformats.org/officeDocument/2006/relationships/hyperlink" Target="http://fcon_1000.projects.nitrc.org/indi/retro/yale_hires.html" TargetMode="External"/><Relationship Id="rId501" Type="http://schemas.openxmlformats.org/officeDocument/2006/relationships/hyperlink" Target="http://academictorrents.com/details/99811ba62918f8e73791d21be29dcc372d660305" TargetMode="External"/><Relationship Id="rId985" Type="http://schemas.openxmlformats.org/officeDocument/2006/relationships/hyperlink" Target="http://fcon_1000.projects.nitrc.org/indi/retro/yale_hires.html" TargetMode="External"/><Relationship Id="rId500" Type="http://schemas.openxmlformats.org/officeDocument/2006/relationships/hyperlink" Target="https://www.kaggle.com/datasets/lokeshsaipureddi/drishtigs-retina-dataset-for-onh-segmentation" TargetMode="External"/><Relationship Id="rId984" Type="http://schemas.openxmlformats.org/officeDocument/2006/relationships/hyperlink" Target="https://www.humanconnectome.org/study/hcp-young-adult/data-releases" TargetMode="External"/><Relationship Id="rId507" Type="http://schemas.openxmlformats.org/officeDocument/2006/relationships/hyperlink" Target="https://www.eyepacs.com/" TargetMode="External"/><Relationship Id="rId506" Type="http://schemas.openxmlformats.org/officeDocument/2006/relationships/hyperlink" Target="https://www.eyepacs.com/" TargetMode="External"/><Relationship Id="rId505" Type="http://schemas.openxmlformats.org/officeDocument/2006/relationships/hyperlink" Target="https://jamanetwork.com/journals/jama/fullarticle/2588763" TargetMode="External"/><Relationship Id="rId989" Type="http://schemas.openxmlformats.org/officeDocument/2006/relationships/hyperlink" Target="http://fcon_1000.projects.nitrc.org/indi/retro/yale_trt.html" TargetMode="External"/><Relationship Id="rId504" Type="http://schemas.openxmlformats.org/officeDocument/2006/relationships/hyperlink" Target="https://www.eyepacs.com/" TargetMode="External"/><Relationship Id="rId988" Type="http://schemas.openxmlformats.org/officeDocument/2006/relationships/hyperlink" Target="http://fcon_1000.projects.nitrc.org/indi/retro/yale_lowres.html" TargetMode="External"/><Relationship Id="rId1570" Type="http://schemas.openxmlformats.org/officeDocument/2006/relationships/hyperlink" Target="https://github.com/catactg/lasc" TargetMode="External"/><Relationship Id="rId1571" Type="http://schemas.openxmlformats.org/officeDocument/2006/relationships/hyperlink" Target="https://figshare.com/articles/figure/Left_ventricular_LV_scar_dataset/4214622" TargetMode="External"/><Relationship Id="rId983" Type="http://schemas.openxmlformats.org/officeDocument/2006/relationships/hyperlink" Target="https://www.humanconnectome.org/study/hcp-young-adult/data-releases" TargetMode="External"/><Relationship Id="rId1572" Type="http://schemas.openxmlformats.org/officeDocument/2006/relationships/hyperlink" Target="https://www.cardiacatlas.org/lv-landmark-detection-challenge" TargetMode="External"/><Relationship Id="rId982" Type="http://schemas.openxmlformats.org/officeDocument/2006/relationships/hyperlink" Target="http://fcon_1000.projects.nitrc.org/indi/retro/wayne_EF.html" TargetMode="External"/><Relationship Id="rId1573" Type="http://schemas.openxmlformats.org/officeDocument/2006/relationships/hyperlink" Target="https://link.springer.com/chapter/10.1007/978-3-642-36961-2_14" TargetMode="External"/><Relationship Id="rId981" Type="http://schemas.openxmlformats.org/officeDocument/2006/relationships/hyperlink" Target="http://fcon_1000.projects.nitrc.org/indi/retro/wayne_EF.html" TargetMode="External"/><Relationship Id="rId1574" Type="http://schemas.openxmlformats.org/officeDocument/2006/relationships/hyperlink" Target="https://www.cardiacatlas.org/lv-landmark-detection-challenge/" TargetMode="External"/><Relationship Id="rId980" Type="http://schemas.openxmlformats.org/officeDocument/2006/relationships/hyperlink" Target="http://fcon_1000.projects.nitrc.org/indi/retro/wayne_11.html" TargetMode="External"/><Relationship Id="rId1575" Type="http://schemas.openxmlformats.org/officeDocument/2006/relationships/hyperlink" Target="https://www.cardiacatlas.org/lv-segmentation-challenge" TargetMode="External"/><Relationship Id="rId1565" Type="http://schemas.openxmlformats.org/officeDocument/2006/relationships/hyperlink" Target="https://www.kaggle.com/datasets/xiaoweixumedicalai/imagetbad" TargetMode="External"/><Relationship Id="rId1566" Type="http://schemas.openxmlformats.org/officeDocument/2006/relationships/hyperlink" Target="https://www.frontiersin.org/articles/10.3389/fphys.2021.732711/full" TargetMode="External"/><Relationship Id="rId1567" Type="http://schemas.openxmlformats.org/officeDocument/2006/relationships/hyperlink" Target="https://www.kaggle.com/datasets/xiaoweixumedicalai/imagetbad" TargetMode="External"/><Relationship Id="rId1568" Type="http://schemas.openxmlformats.org/officeDocument/2006/relationships/hyperlink" Target="https://github.com/catactg/lasc" TargetMode="External"/><Relationship Id="rId1569" Type="http://schemas.openxmlformats.org/officeDocument/2006/relationships/hyperlink" Target="https://github.com/catactg/lasc" TargetMode="External"/><Relationship Id="rId976" Type="http://schemas.openxmlformats.org/officeDocument/2006/relationships/hyperlink" Target="http://fcon_1000.projects.nitrc.org/indi/pro/VirginiaTech.html" TargetMode="External"/><Relationship Id="rId975" Type="http://schemas.openxmlformats.org/officeDocument/2006/relationships/hyperlink" Target="http://fcon_1000.projects.nitrc.org/indi/pro/VirginiaTech.html" TargetMode="External"/><Relationship Id="rId974" Type="http://schemas.openxmlformats.org/officeDocument/2006/relationships/hyperlink" Target="https://valdo.grand-challenge.org" TargetMode="External"/><Relationship Id="rId973" Type="http://schemas.openxmlformats.org/officeDocument/2006/relationships/hyperlink" Target="https://valdo.grand-challenge.org" TargetMode="External"/><Relationship Id="rId979" Type="http://schemas.openxmlformats.org/officeDocument/2006/relationships/hyperlink" Target="http://fcon_1000.projects.nitrc.org/indi/retro/wayne_11.html" TargetMode="External"/><Relationship Id="rId978" Type="http://schemas.openxmlformats.org/officeDocument/2006/relationships/hyperlink" Target="http://fcon_1000.projects.nitrc.org/indi/retro/wayne_10.html" TargetMode="External"/><Relationship Id="rId977" Type="http://schemas.openxmlformats.org/officeDocument/2006/relationships/hyperlink" Target="http://fcon_1000.projects.nitrc.org/indi/retro/wayne_10.html" TargetMode="External"/><Relationship Id="rId1560" Type="http://schemas.openxmlformats.org/officeDocument/2006/relationships/hyperlink" Target="https://ieeexplore.ieee.org/document/10080857" TargetMode="External"/><Relationship Id="rId972" Type="http://schemas.openxmlformats.org/officeDocument/2006/relationships/hyperlink" Target="https://zenodo.org/records/4687995" TargetMode="External"/><Relationship Id="rId1561" Type="http://schemas.openxmlformats.org/officeDocument/2006/relationships/hyperlink" Target="https://www.kaggle.com/datasets/xiaoweixumedicalai/imagealcapa" TargetMode="External"/><Relationship Id="rId971" Type="http://schemas.openxmlformats.org/officeDocument/2006/relationships/hyperlink" Target="https://www.cancerimagingarchive.net/collection/upenn-gbm" TargetMode="External"/><Relationship Id="rId1562" Type="http://schemas.openxmlformats.org/officeDocument/2006/relationships/hyperlink" Target="https://www.kaggle.com/datasets/xiaoweixumedicalai/imagechd" TargetMode="External"/><Relationship Id="rId970" Type="http://schemas.openxmlformats.org/officeDocument/2006/relationships/hyperlink" Target="https://www.cancerimagingarchive.net/collection/upenn-gbm" TargetMode="External"/><Relationship Id="rId1563" Type="http://schemas.openxmlformats.org/officeDocument/2006/relationships/hyperlink" Target="https://link.springer.com/chapter/10.1007/978-3-030-59719-1_8" TargetMode="External"/><Relationship Id="rId1564" Type="http://schemas.openxmlformats.org/officeDocument/2006/relationships/hyperlink" Target="https://www.kaggle.com/datasets/xiaoweixumedicalai/imagechd" TargetMode="External"/><Relationship Id="rId1114" Type="http://schemas.openxmlformats.org/officeDocument/2006/relationships/hyperlink" Target="https://zenodo.org/records/1214456" TargetMode="External"/><Relationship Id="rId1598" Type="http://schemas.openxmlformats.org/officeDocument/2006/relationships/hyperlink" Target="https://www.cardiacatlas.org/motion-correction-challenge/" TargetMode="External"/><Relationship Id="rId1115" Type="http://schemas.openxmlformats.org/officeDocument/2006/relationships/hyperlink" Target="https://www.na-mic.org/wiki/Training_Data_Prostate_Segmentation_Challenge_MICCAI09" TargetMode="External"/><Relationship Id="rId1599" Type="http://schemas.openxmlformats.org/officeDocument/2006/relationships/hyperlink" Target="https://zmiclab.github.io/zxh/0/mscmrseg19" TargetMode="External"/><Relationship Id="rId1116" Type="http://schemas.openxmlformats.org/officeDocument/2006/relationships/hyperlink" Target="https://www.na-mic.org/wiki/Training_Data_Prostate_Segmentation_Challenge_MICCAI09" TargetMode="External"/><Relationship Id="rId1117" Type="http://schemas.openxmlformats.org/officeDocument/2006/relationships/hyperlink" Target="https://www.na-mic.org/wiki/Training_Data_Prostate_Segmentation_Challenge_MICCAI09" TargetMode="External"/><Relationship Id="rId1118" Type="http://schemas.openxmlformats.org/officeDocument/2006/relationships/hyperlink" Target="https://www.ircad.fr/research/data-sets/liver-segmentation-3d-ircadb-01/" TargetMode="External"/><Relationship Id="rId1119" Type="http://schemas.openxmlformats.org/officeDocument/2006/relationships/hyperlink" Target="https://www-sop.inria.fr/geometrica/events/wam/abstract-ircad.pdf" TargetMode="External"/><Relationship Id="rId525" Type="http://schemas.openxmlformats.org/officeDocument/2006/relationships/hyperlink" Target="https://idrid.grand-challenge.org/Home/" TargetMode="External"/><Relationship Id="rId524" Type="http://schemas.openxmlformats.org/officeDocument/2006/relationships/hyperlink" Target="https://www.mdpi.com/2306-5729/3/3/25" TargetMode="External"/><Relationship Id="rId523" Type="http://schemas.openxmlformats.org/officeDocument/2006/relationships/hyperlink" Target="https://idrid.grand-challenge.org/Home/" TargetMode="External"/><Relationship Id="rId522" Type="http://schemas.openxmlformats.org/officeDocument/2006/relationships/hyperlink" Target="https://osf.io/2w5ce/" TargetMode="External"/><Relationship Id="rId529" Type="http://schemas.openxmlformats.org/officeDocument/2006/relationships/hyperlink" Target="https://palm.grand-challenge.org/Home/" TargetMode="External"/><Relationship Id="rId528" Type="http://schemas.openxmlformats.org/officeDocument/2006/relationships/hyperlink" Target="https://ieee-dataport.org/documents/palm-pathologic-myopia-challenge" TargetMode="External"/><Relationship Id="rId527" Type="http://schemas.openxmlformats.org/officeDocument/2006/relationships/hyperlink" Target="https://palm.grand-challenge.org/Home/" TargetMode="External"/><Relationship Id="rId526" Type="http://schemas.openxmlformats.org/officeDocument/2006/relationships/hyperlink" Target="https://idrid.grand-challenge.org/Data_Download/" TargetMode="External"/><Relationship Id="rId1590" Type="http://schemas.openxmlformats.org/officeDocument/2006/relationships/hyperlink" Target="https://www.cardiacatlas.org/mesa" TargetMode="External"/><Relationship Id="rId1591" Type="http://schemas.openxmlformats.org/officeDocument/2006/relationships/hyperlink" Target="https://www.cardiacatlas.org/mesa/" TargetMode="External"/><Relationship Id="rId1592" Type="http://schemas.openxmlformats.org/officeDocument/2006/relationships/hyperlink" Target="https://www.cardiacatlas.org/mesa/" TargetMode="External"/><Relationship Id="rId1593" Type="http://schemas.openxmlformats.org/officeDocument/2006/relationships/hyperlink" Target="https://www.cardiacatlas.org/mitea" TargetMode="External"/><Relationship Id="rId521" Type="http://schemas.openxmlformats.org/officeDocument/2006/relationships/hyperlink" Target="https://osf.io/2w5ce/" TargetMode="External"/><Relationship Id="rId1110" Type="http://schemas.openxmlformats.org/officeDocument/2006/relationships/hyperlink" Target="https://ieeexplore.ieee.org/abstract/document/4781564/" TargetMode="External"/><Relationship Id="rId1594" Type="http://schemas.openxmlformats.org/officeDocument/2006/relationships/hyperlink" Target="https://www.frontiersin.org/articles/10.3389/fcvm.2022.1016703/full" TargetMode="External"/><Relationship Id="rId520" Type="http://schemas.openxmlformats.org/officeDocument/2006/relationships/hyperlink" Target="https://osf.io/2w5ce/" TargetMode="External"/><Relationship Id="rId1111" Type="http://schemas.openxmlformats.org/officeDocument/2006/relationships/hyperlink" Target="https://zenodo.org/records/2597908" TargetMode="External"/><Relationship Id="rId1595" Type="http://schemas.openxmlformats.org/officeDocument/2006/relationships/hyperlink" Target="https://www.cardiacatlas.org/mitea/" TargetMode="External"/><Relationship Id="rId1112" Type="http://schemas.openxmlformats.org/officeDocument/2006/relationships/hyperlink" Target="https://zenodo.org/records/1214456" TargetMode="External"/><Relationship Id="rId1596" Type="http://schemas.openxmlformats.org/officeDocument/2006/relationships/hyperlink" Target="https://www.cardiacatlas.org/motion-correction-challenge" TargetMode="External"/><Relationship Id="rId1113" Type="http://schemas.openxmlformats.org/officeDocument/2006/relationships/hyperlink" Target="https://zenodo.org/records/1214456" TargetMode="External"/><Relationship Id="rId1597" Type="http://schemas.openxmlformats.org/officeDocument/2006/relationships/hyperlink" Target="https://ieeexplore.ieee.org/document/7542127" TargetMode="External"/><Relationship Id="rId1103" Type="http://schemas.openxmlformats.org/officeDocument/2006/relationships/hyperlink" Target="https://openneuro.org/datasets/ds001021" TargetMode="External"/><Relationship Id="rId1587" Type="http://schemas.openxmlformats.org/officeDocument/2006/relationships/hyperlink" Target="https://codalab.lisn.upsaclay.fr/competitions/18516" TargetMode="External"/><Relationship Id="rId1104" Type="http://schemas.openxmlformats.org/officeDocument/2006/relationships/hyperlink" Target="https://openneuro.org/datasets/ds001021" TargetMode="External"/><Relationship Id="rId1588" Type="http://schemas.openxmlformats.org/officeDocument/2006/relationships/hyperlink" Target="https://codalab.lisn.upsaclay.fr/competitions/18516" TargetMode="External"/><Relationship Id="rId1105" Type="http://schemas.openxmlformats.org/officeDocument/2006/relationships/hyperlink" Target="https://openneuro.org/datasets/ds001021" TargetMode="External"/><Relationship Id="rId1589" Type="http://schemas.openxmlformats.org/officeDocument/2006/relationships/hyperlink" Target="https://codalab.lisn.upsaclay.fr/competitions/18516" TargetMode="External"/><Relationship Id="rId1106" Type="http://schemas.openxmlformats.org/officeDocument/2006/relationships/hyperlink" Target="https://openneuro.org/datasets/ds001378/versions/00003" TargetMode="External"/><Relationship Id="rId1107" Type="http://schemas.openxmlformats.org/officeDocument/2006/relationships/hyperlink" Target="https://openneuro.org/datasets/ds001378/versions/00003" TargetMode="External"/><Relationship Id="rId1108" Type="http://schemas.openxmlformats.org/officeDocument/2006/relationships/hyperlink" Target="https://openneuro.org/datasets/ds001378" TargetMode="External"/><Relationship Id="rId1109" Type="http://schemas.openxmlformats.org/officeDocument/2006/relationships/hyperlink" Target="https://sliver07.grand-challenge.org/" TargetMode="External"/><Relationship Id="rId519" Type="http://schemas.openxmlformats.org/officeDocument/2006/relationships/hyperlink" Target="https://data.mendeley.com/datasets/rscbjbr9sj/2" TargetMode="External"/><Relationship Id="rId514" Type="http://schemas.openxmlformats.org/officeDocument/2006/relationships/hyperlink" Target="https://ignaciorlando.github.io/" TargetMode="External"/><Relationship Id="rId998" Type="http://schemas.openxmlformats.org/officeDocument/2006/relationships/hyperlink" Target="https://dentex.grand-challenge.org" TargetMode="External"/><Relationship Id="rId513" Type="http://schemas.openxmlformats.org/officeDocument/2006/relationships/hyperlink" Target="https://arxiv.org/pdf/1805.10273.pdf" TargetMode="External"/><Relationship Id="rId997" Type="http://schemas.openxmlformats.org/officeDocument/2006/relationships/hyperlink" Target="https://dentex.grand-challenge.org" TargetMode="External"/><Relationship Id="rId512" Type="http://schemas.openxmlformats.org/officeDocument/2006/relationships/hyperlink" Target="https://ignaciorlando.github.io/" TargetMode="External"/><Relationship Id="rId996" Type="http://schemas.openxmlformats.org/officeDocument/2006/relationships/hyperlink" Target="https://github.com/liangjiubujiu/CTooth" TargetMode="External"/><Relationship Id="rId511" Type="http://schemas.openxmlformats.org/officeDocument/2006/relationships/hyperlink" Target="https://retouch.grand-challenge.org/Home/" TargetMode="External"/><Relationship Id="rId995" Type="http://schemas.openxmlformats.org/officeDocument/2006/relationships/hyperlink" Target="https://github.com/liangjiubujiu/CTooth" TargetMode="External"/><Relationship Id="rId518" Type="http://schemas.openxmlformats.org/officeDocument/2006/relationships/hyperlink" Target="https://github.com/aishangcengloua/OCT_Classification?tab=readme-ov-file" TargetMode="External"/><Relationship Id="rId517" Type="http://schemas.openxmlformats.org/officeDocument/2006/relationships/hyperlink" Target="https://data.mendeley.com/datasets/rscbjbr9sj/2" TargetMode="External"/><Relationship Id="rId516" Type="http://schemas.openxmlformats.org/officeDocument/2006/relationships/hyperlink" Target="https://github.com/aishangcengloua/OCT_Classification?tab=readme-ov-file" TargetMode="External"/><Relationship Id="rId515" Type="http://schemas.openxmlformats.org/officeDocument/2006/relationships/hyperlink" Target="https://ignaciorlando.github.io/" TargetMode="External"/><Relationship Id="rId999" Type="http://schemas.openxmlformats.org/officeDocument/2006/relationships/hyperlink" Target="https://www.cancerimagingarchive.net/collection/opc-radiomics" TargetMode="External"/><Relationship Id="rId990" Type="http://schemas.openxmlformats.org/officeDocument/2006/relationships/hyperlink" Target="http://fcon_1000.projects.nitrc.org/indi/retro/yale_trt.html" TargetMode="External"/><Relationship Id="rId1580" Type="http://schemas.openxmlformats.org/officeDocument/2006/relationships/hyperlink" Target="https://www.cardiacatlas.org/lv-statistical-shape-challenge/" TargetMode="External"/><Relationship Id="rId1581" Type="http://schemas.openxmlformats.org/officeDocument/2006/relationships/hyperlink" Target="https://lvquan19.github.io" TargetMode="External"/><Relationship Id="rId1582" Type="http://schemas.openxmlformats.org/officeDocument/2006/relationships/hyperlink" Target="https://signalprocessingsociety.org/publications-resources/data-challenges/left-ventricle-full-quantification-challenge-lvquan" TargetMode="External"/><Relationship Id="rId510" Type="http://schemas.openxmlformats.org/officeDocument/2006/relationships/hyperlink" Target="https://retouch.grand-challenge.org/Home/" TargetMode="External"/><Relationship Id="rId994" Type="http://schemas.openxmlformats.org/officeDocument/2006/relationships/hyperlink" Target="https://cl-detection2023.grand-challenge.org" TargetMode="External"/><Relationship Id="rId1583" Type="http://schemas.openxmlformats.org/officeDocument/2006/relationships/hyperlink" Target="https://github.com/TiancongHua/Left-Ventricle-Full-Quantification-Challenge-MICCAI-2019" TargetMode="External"/><Relationship Id="rId993" Type="http://schemas.openxmlformats.org/officeDocument/2006/relationships/hyperlink" Target="https://cl-detection2023.grand-challenge.org" TargetMode="External"/><Relationship Id="rId1100" Type="http://schemas.openxmlformats.org/officeDocument/2006/relationships/hyperlink" Target="https://openneuro.org/datasets/ds000224" TargetMode="External"/><Relationship Id="rId1584" Type="http://schemas.openxmlformats.org/officeDocument/2006/relationships/hyperlink" Target="https://www.ub.edu/mnms-2" TargetMode="External"/><Relationship Id="rId992" Type="http://schemas.openxmlformats.org/officeDocument/2006/relationships/hyperlink" Target="https://github.com/abenhamadou/3DTeethSeg22_challenge" TargetMode="External"/><Relationship Id="rId1101" Type="http://schemas.openxmlformats.org/officeDocument/2006/relationships/hyperlink" Target="https://openneuro.org/datasets/ds000224" TargetMode="External"/><Relationship Id="rId1585" Type="http://schemas.openxmlformats.org/officeDocument/2006/relationships/hyperlink" Target="https://www.ub.edu/mnms-2/" TargetMode="External"/><Relationship Id="rId991" Type="http://schemas.openxmlformats.org/officeDocument/2006/relationships/hyperlink" Target="https://github.com/abenhamadou/3DTeethSeg22_challenge" TargetMode="External"/><Relationship Id="rId1102" Type="http://schemas.openxmlformats.org/officeDocument/2006/relationships/hyperlink" Target="https://openneuro.org/datasets/ds000224" TargetMode="External"/><Relationship Id="rId1586" Type="http://schemas.openxmlformats.org/officeDocument/2006/relationships/hyperlink" Target="https://www.ub.edu/mnms-2/" TargetMode="External"/><Relationship Id="rId1532" Type="http://schemas.openxmlformats.org/officeDocument/2006/relationships/hyperlink" Target="https://academic.oup.com/bioinformatics/article/27/16/2288/253995" TargetMode="External"/><Relationship Id="rId1533" Type="http://schemas.openxmlformats.org/officeDocument/2006/relationships/hyperlink" Target="https://dev-capchd.sdsc.edu/" TargetMode="External"/><Relationship Id="rId1534" Type="http://schemas.openxmlformats.org/officeDocument/2006/relationships/hyperlink" Target="https://stanfordaimi.azurewebsites.net/datasets/e8ca74dc-8dd4-4340-815a-60b41f6cb2aa" TargetMode="External"/><Relationship Id="rId1535" Type="http://schemas.openxmlformats.org/officeDocument/2006/relationships/hyperlink" Target="https://arxiv.org/pdf/2206.10455v1" TargetMode="External"/><Relationship Id="rId1536" Type="http://schemas.openxmlformats.org/officeDocument/2006/relationships/hyperlink" Target="https://aimi.stanford.edu/datasets/coca-coronary-calcium-chest-ct" TargetMode="External"/><Relationship Id="rId1537" Type="http://schemas.openxmlformats.org/officeDocument/2006/relationships/hyperlink" Target="https://cmrxrecon.github.io/Home.html" TargetMode="External"/><Relationship Id="rId1538" Type="http://schemas.openxmlformats.org/officeDocument/2006/relationships/hyperlink" Target="https://www.nature.com/articles/s41597-024-03533-2" TargetMode="External"/><Relationship Id="rId1539" Type="http://schemas.openxmlformats.org/officeDocument/2006/relationships/hyperlink" Target="https://www.synapse.org/" TargetMode="External"/><Relationship Id="rId949" Type="http://schemas.openxmlformats.org/officeDocument/2006/relationships/hyperlink" Target="https://github.com/Jianningli/SciData" TargetMode="External"/><Relationship Id="rId948" Type="http://schemas.openxmlformats.org/officeDocument/2006/relationships/hyperlink" Target="https://github.com/Jianningli/SciData" TargetMode="External"/><Relationship Id="rId943" Type="http://schemas.openxmlformats.org/officeDocument/2006/relationships/hyperlink" Target="http://fcon_1000.projects.nitrc.org/indi/retro/southwestuni_qiu_index.html" TargetMode="External"/><Relationship Id="rId942" Type="http://schemas.openxmlformats.org/officeDocument/2006/relationships/hyperlink" Target="http://fcon_1000.projects.nitrc.org/indi/retro/southwestuni_qiu_index.html" TargetMode="External"/><Relationship Id="rId941" Type="http://schemas.openxmlformats.org/officeDocument/2006/relationships/hyperlink" Target="https://slcn.grand-challenge.org" TargetMode="External"/><Relationship Id="rId940" Type="http://schemas.openxmlformats.org/officeDocument/2006/relationships/hyperlink" Target="https://slcn.grand-challenge.org" TargetMode="External"/><Relationship Id="rId947" Type="http://schemas.openxmlformats.org/officeDocument/2006/relationships/hyperlink" Target="https://www.studyforrest.org" TargetMode="External"/><Relationship Id="rId946" Type="http://schemas.openxmlformats.org/officeDocument/2006/relationships/hyperlink" Target="https://www.studyforrest.org" TargetMode="External"/><Relationship Id="rId945" Type="http://schemas.openxmlformats.org/officeDocument/2006/relationships/hyperlink" Target="https://www.synapse.org/Synapse:syn47164761/wiki/620033" TargetMode="External"/><Relationship Id="rId944" Type="http://schemas.openxmlformats.org/officeDocument/2006/relationships/hyperlink" Target="https://www.synapse.org/Synapse:syn47164761/wiki/620033" TargetMode="External"/><Relationship Id="rId1530" Type="http://schemas.openxmlformats.org/officeDocument/2006/relationships/hyperlink" Target="https://www.creatis.insa-lyon.fr/Challenge/CETUS/databases.html" TargetMode="External"/><Relationship Id="rId1531" Type="http://schemas.openxmlformats.org/officeDocument/2006/relationships/hyperlink" Target="https://capchd.ucsd.edu" TargetMode="External"/><Relationship Id="rId1521" Type="http://schemas.openxmlformats.org/officeDocument/2006/relationships/hyperlink" Target="https://www.kaggle.com/paultimothymooney/blood-cells" TargetMode="External"/><Relationship Id="rId1522" Type="http://schemas.openxmlformats.org/officeDocument/2006/relationships/hyperlink" Target="https://camus.creatis.insa-lyon.fr/challenge" TargetMode="External"/><Relationship Id="rId1523" Type="http://schemas.openxmlformats.org/officeDocument/2006/relationships/hyperlink" Target="https://www.creatis.insa-lyon.fr/Challenge/camus/databases.html" TargetMode="External"/><Relationship Id="rId1524" Type="http://schemas.openxmlformats.org/officeDocument/2006/relationships/hyperlink" Target="https://www5.cs.fau.de/research/software/cavarev" TargetMode="External"/><Relationship Id="rId1525" Type="http://schemas.openxmlformats.org/officeDocument/2006/relationships/hyperlink" Target="https://lme.tf.fau.de/dataset/cavarev-cardiac-vasculature-reconstruction-evaluation/" TargetMode="External"/><Relationship Id="rId1526" Type="http://schemas.openxmlformats.org/officeDocument/2006/relationships/hyperlink" Target="https://figshare.com/articles/dataset/CDEMRIS_fibrosis_scar_challenge_data_2012/4214532" TargetMode="External"/><Relationship Id="rId1527" Type="http://schemas.openxmlformats.org/officeDocument/2006/relationships/hyperlink" Target="https://jcmr-online.biomedcentral.com/articles/10.1186/1532-429X-15-105" TargetMode="External"/><Relationship Id="rId1528" Type="http://schemas.openxmlformats.org/officeDocument/2006/relationships/hyperlink" Target="http://www.isd.kcl.ac.uk/cdemris/" TargetMode="External"/><Relationship Id="rId1529" Type="http://schemas.openxmlformats.org/officeDocument/2006/relationships/hyperlink" Target="https://www.creatis.insa-lyon.fr/Challenge/CETUS/" TargetMode="External"/><Relationship Id="rId939" Type="http://schemas.openxmlformats.org/officeDocument/2006/relationships/hyperlink" Target="https://stanfordaimi.azurewebsites.net/datasets/3de8cef8-0626-4c5d-ac47-ed0fed22ac99" TargetMode="External"/><Relationship Id="rId938" Type="http://schemas.openxmlformats.org/officeDocument/2006/relationships/hyperlink" Target="https://stanfordaimi.azurewebsites.net/datasets/3de8cef8-0626-4c5d-ac47-ed0fed22ac99" TargetMode="External"/><Relationship Id="rId937" Type="http://schemas.openxmlformats.org/officeDocument/2006/relationships/hyperlink" Target="http://fcon_1000.projects.nitrc.org/indi/retro/SIMON.html" TargetMode="External"/><Relationship Id="rId932" Type="http://schemas.openxmlformats.org/officeDocument/2006/relationships/hyperlink" Target="https://shifts.grand-challenge.org" TargetMode="External"/><Relationship Id="rId931" Type="http://schemas.openxmlformats.org/officeDocument/2006/relationships/hyperlink" Target="http://fcon_1000.projects.nitrc.org/indi/retro/sald.html" TargetMode="External"/><Relationship Id="rId930" Type="http://schemas.openxmlformats.org/officeDocument/2006/relationships/hyperlink" Target="http://fcon_1000.projects.nitrc.org/indi/retro/sald.html" TargetMode="External"/><Relationship Id="rId936" Type="http://schemas.openxmlformats.org/officeDocument/2006/relationships/hyperlink" Target="http://fcon_1000.projects.nitrc.org/indi/retro/SIMON.html" TargetMode="External"/><Relationship Id="rId935" Type="http://schemas.openxmlformats.org/officeDocument/2006/relationships/hyperlink" Target="https://www.synapse.org/Synapse:syn45774070/wiki/619953" TargetMode="External"/><Relationship Id="rId934" Type="http://schemas.openxmlformats.org/officeDocument/2006/relationships/hyperlink" Target="https://www.synapse.org/Synapse:syn45774070/wiki/619953" TargetMode="External"/><Relationship Id="rId933" Type="http://schemas.openxmlformats.org/officeDocument/2006/relationships/hyperlink" Target="https://shifts.grand-challenge.org" TargetMode="External"/><Relationship Id="rId1520" Type="http://schemas.openxmlformats.org/officeDocument/2006/relationships/hyperlink" Target="https://www.kaggle.com/datasets/paultimothymooney/blood-cells" TargetMode="External"/><Relationship Id="rId1554" Type="http://schemas.openxmlformats.org/officeDocument/2006/relationships/hyperlink" Target="https://echonet.github.io/pediatric/" TargetMode="External"/><Relationship Id="rId1555" Type="http://schemas.openxmlformats.org/officeDocument/2006/relationships/hyperlink" Target="https://aimi.stanford.edu/datasets/echonet-pediatric" TargetMode="External"/><Relationship Id="rId1556" Type="http://schemas.openxmlformats.org/officeDocument/2006/relationships/hyperlink" Target="https://www.kaggle.com/datasets/aysendegerli/hmcqu-dataset" TargetMode="External"/><Relationship Id="rId1557" Type="http://schemas.openxmlformats.org/officeDocument/2006/relationships/hyperlink" Target="https://www.sciencedirect.com/science/article/pii/S1746809423008819" TargetMode="External"/><Relationship Id="rId1558" Type="http://schemas.openxmlformats.org/officeDocument/2006/relationships/hyperlink" Target="https://www.kaggle.com/datasets/aysendegerli/hmcqu-dataset" TargetMode="External"/><Relationship Id="rId1559" Type="http://schemas.openxmlformats.org/officeDocument/2006/relationships/hyperlink" Target="https://www.kaggle.com/datasets/xiaoweixumedicalai/imagealcapa" TargetMode="External"/><Relationship Id="rId965" Type="http://schemas.openxmlformats.org/officeDocument/2006/relationships/hyperlink" Target="https://trackrad2025.grand-challenge.org" TargetMode="External"/><Relationship Id="rId964" Type="http://schemas.openxmlformats.org/officeDocument/2006/relationships/hyperlink" Target="https://trackrad2025.grand-challenge.org" TargetMode="External"/><Relationship Id="rId963" Type="http://schemas.openxmlformats.org/officeDocument/2006/relationships/hyperlink" Target="https://topcow24.grand-challenge.org" TargetMode="External"/><Relationship Id="rId962" Type="http://schemas.openxmlformats.org/officeDocument/2006/relationships/hyperlink" Target="https://topcow24.grand-challenge.org" TargetMode="External"/><Relationship Id="rId969" Type="http://schemas.openxmlformats.org/officeDocument/2006/relationships/hyperlink" Target="http://fcon_1000.projects.nitrc.org/indi/pro/unam_barrios_hypnosis_index.html" TargetMode="External"/><Relationship Id="rId968" Type="http://schemas.openxmlformats.org/officeDocument/2006/relationships/hyperlink" Target="http://fcon_1000.projects.nitrc.org/indi/pro/unam_barrios_hypnosis_index.html" TargetMode="External"/><Relationship Id="rId967" Type="http://schemas.openxmlformats.org/officeDocument/2006/relationships/hyperlink" Target="http://fcon_1000.projects.nitrc.org/indi/retro/Train-39.html" TargetMode="External"/><Relationship Id="rId966" Type="http://schemas.openxmlformats.org/officeDocument/2006/relationships/hyperlink" Target="http://fcon_1000.projects.nitrc.org/indi/retro/Train-39.html" TargetMode="External"/><Relationship Id="rId961" Type="http://schemas.openxmlformats.org/officeDocument/2006/relationships/hyperlink" Target="https://topcow23.grand-challenge.org" TargetMode="External"/><Relationship Id="rId1550" Type="http://schemas.openxmlformats.org/officeDocument/2006/relationships/hyperlink" Target="https://stanfordaimi.azurewebsites.net/datasets/5b7fcc28-579c-4285-8b72-e4238eac7bd1" TargetMode="External"/><Relationship Id="rId960" Type="http://schemas.openxmlformats.org/officeDocument/2006/relationships/hyperlink" Target="https://topcow23.grand-challenge.org" TargetMode="External"/><Relationship Id="rId1551" Type="http://schemas.openxmlformats.org/officeDocument/2006/relationships/hyperlink" Target="https://arxiv.org/abs/2106.12511" TargetMode="External"/><Relationship Id="rId1552" Type="http://schemas.openxmlformats.org/officeDocument/2006/relationships/hyperlink" Target="https://echonet.github.io/lvh/" TargetMode="External"/><Relationship Id="rId1553" Type="http://schemas.openxmlformats.org/officeDocument/2006/relationships/hyperlink" Target="https://echonet.github.io/pediatric" TargetMode="External"/><Relationship Id="rId1543" Type="http://schemas.openxmlformats.org/officeDocument/2006/relationships/hyperlink" Target="https://cmrxrecon.github.io/2025/Home.html" TargetMode="External"/><Relationship Id="rId1544" Type="http://schemas.openxmlformats.org/officeDocument/2006/relationships/hyperlink" Target="https://stanfordaimi.azurewebsites.net/datasets/12c02840-2e13-42a2-b4ef-f682472d4694" TargetMode="External"/><Relationship Id="rId1545" Type="http://schemas.openxmlformats.org/officeDocument/2006/relationships/hyperlink" Target="https://doi.org/10.71718/jn0r-7p52" TargetMode="External"/><Relationship Id="rId1546" Type="http://schemas.openxmlformats.org/officeDocument/2006/relationships/hyperlink" Target="https://stanfordaimi.azurewebsites.net/datasets/12c02840-2e13-42a2-b4ef-f682472d4694" TargetMode="External"/><Relationship Id="rId1547" Type="http://schemas.openxmlformats.org/officeDocument/2006/relationships/hyperlink" Target="https://www.cardiacatlas.org/determine" TargetMode="External"/><Relationship Id="rId1548" Type="http://schemas.openxmlformats.org/officeDocument/2006/relationships/hyperlink" Target="https://www.cardiacatlas.org/determine" TargetMode="External"/><Relationship Id="rId1549" Type="http://schemas.openxmlformats.org/officeDocument/2006/relationships/hyperlink" Target="https://www.cardiacatlas.org/determine" TargetMode="External"/><Relationship Id="rId959" Type="http://schemas.openxmlformats.org/officeDocument/2006/relationships/hyperlink" Target="http://fcon_1000.projects.nitrc.org/indi/pro/Berlin.html" TargetMode="External"/><Relationship Id="rId954" Type="http://schemas.openxmlformats.org/officeDocument/2006/relationships/hyperlink" Target="https://tadpole.grand-challenge.org" TargetMode="External"/><Relationship Id="rId953" Type="http://schemas.openxmlformats.org/officeDocument/2006/relationships/hyperlink" Target="http://hiresmri.ovgu.de" TargetMode="External"/><Relationship Id="rId952" Type="http://schemas.openxmlformats.org/officeDocument/2006/relationships/hyperlink" Target="http://hiresmri.ovgu.de" TargetMode="External"/><Relationship Id="rId951" Type="http://schemas.openxmlformats.org/officeDocument/2006/relationships/hyperlink" Target="https://surfer.nmr.mgh.harvard.edu/docs/synthstrip" TargetMode="External"/><Relationship Id="rId958" Type="http://schemas.openxmlformats.org/officeDocument/2006/relationships/hyperlink" Target="http://fcon_1000.projects.nitrc.org/indi/pro/Berlin.html" TargetMode="External"/><Relationship Id="rId957" Type="http://schemas.openxmlformats.org/officeDocument/2006/relationships/hyperlink" Target="https://codalab.lisn.upsaclay.fr/competitions/8329" TargetMode="External"/><Relationship Id="rId956" Type="http://schemas.openxmlformats.org/officeDocument/2006/relationships/hyperlink" Target="https://codalab.lisn.upsaclay.fr/competitions/8329" TargetMode="External"/><Relationship Id="rId955" Type="http://schemas.openxmlformats.org/officeDocument/2006/relationships/hyperlink" Target="https://tadpole.grand-challenge.org" TargetMode="External"/><Relationship Id="rId950" Type="http://schemas.openxmlformats.org/officeDocument/2006/relationships/hyperlink" Target="https://surfer.nmr.mgh.harvard.edu/docs/synthstrip" TargetMode="External"/><Relationship Id="rId1540" Type="http://schemas.openxmlformats.org/officeDocument/2006/relationships/hyperlink" Target="https://cmrxrecon.github.io/2024/Home.html" TargetMode="External"/><Relationship Id="rId1541" Type="http://schemas.openxmlformats.org/officeDocument/2006/relationships/hyperlink" Target="https://arxiv.org/abs/2406.19043" TargetMode="External"/><Relationship Id="rId1542" Type="http://schemas.openxmlformats.org/officeDocument/2006/relationships/hyperlink" Target="https://www.synapse.org/" TargetMode="External"/><Relationship Id="rId590" Type="http://schemas.openxmlformats.org/officeDocument/2006/relationships/hyperlink" Target="https://data.mendeley.com/datasets/pc4mb3h8hz/1" TargetMode="External"/><Relationship Id="rId107" Type="http://schemas.openxmlformats.org/officeDocument/2006/relationships/hyperlink" Target="https://figshare.com/articles/dataset/LungHist700_A_Dataset_of_Histological_Images_for_Deep_Learning_in_Pulmonary_Pathology/25459174?file=45206104" TargetMode="External"/><Relationship Id="rId106" Type="http://schemas.openxmlformats.org/officeDocument/2006/relationships/hyperlink" Target="https://www.nature.com/articles/s41597-024-03944-3" TargetMode="External"/><Relationship Id="rId105" Type="http://schemas.openxmlformats.org/officeDocument/2006/relationships/hyperlink" Target="https://www.nature.com/articles/s41597-024-03944-3" TargetMode="External"/><Relationship Id="rId589" Type="http://schemas.openxmlformats.org/officeDocument/2006/relationships/hyperlink" Target="https://doi.org/10.48550/arXiv.2207.02335" TargetMode="External"/><Relationship Id="rId104" Type="http://schemas.openxmlformats.org/officeDocument/2006/relationships/hyperlink" Target="https://www.synapse.org/Synapse:syn53285416/wiki/626914" TargetMode="External"/><Relationship Id="rId588" Type="http://schemas.openxmlformats.org/officeDocument/2006/relationships/hyperlink" Target="https://data.mendeley.com/datasets/pc4mb3h8hz/1" TargetMode="External"/><Relationship Id="rId109" Type="http://schemas.openxmlformats.org/officeDocument/2006/relationships/hyperlink" Target="https://www.sciencedirect.com/science/article/pii/S136184151400111X?via%3Dihub" TargetMode="External"/><Relationship Id="rId1170" Type="http://schemas.openxmlformats.org/officeDocument/2006/relationships/hyperlink" Target="https://www.sciencedirect.com/science/article/abs/pii/S0010482521010015" TargetMode="External"/><Relationship Id="rId108" Type="http://schemas.openxmlformats.org/officeDocument/2006/relationships/hyperlink" Target="https://vessel12.grand-challenge.org/" TargetMode="External"/><Relationship Id="rId1171" Type="http://schemas.openxmlformats.org/officeDocument/2006/relationships/hyperlink" Target="https://gitee.com/neuhwm/GasHisSDB" TargetMode="External"/><Relationship Id="rId583" Type="http://schemas.openxmlformats.org/officeDocument/2006/relationships/hyperlink" Target="https://www.kaggle.com/datasets/obulisainaren/retinal-oct-c8" TargetMode="External"/><Relationship Id="rId1172" Type="http://schemas.openxmlformats.org/officeDocument/2006/relationships/hyperlink" Target="https://codalab.lisn.upsaclay.fr/competitions/12239" TargetMode="External"/><Relationship Id="rId582" Type="http://schemas.openxmlformats.org/officeDocument/2006/relationships/hyperlink" Target="https://www.kaggle.com/datasets/obulisainaren/retinal-oct-c8" TargetMode="External"/><Relationship Id="rId1173" Type="http://schemas.openxmlformats.org/officeDocument/2006/relationships/hyperlink" Target="https://codalab.lisn.upsaclay.fr/competitions/12239" TargetMode="External"/><Relationship Id="rId581" Type="http://schemas.openxmlformats.org/officeDocument/2006/relationships/hyperlink" Target="https://ieeexplore.ieee.org/abstract/document/9740985" TargetMode="External"/><Relationship Id="rId1174" Type="http://schemas.openxmlformats.org/officeDocument/2006/relationships/hyperlink" Target="https://www.kaggle.com/competitions/uw-madison-gi-tract-image-segmentation/overview" TargetMode="External"/><Relationship Id="rId580" Type="http://schemas.openxmlformats.org/officeDocument/2006/relationships/hyperlink" Target="https://www.kaggle.com/datasets/obulisainaren/retinal-oct-c8" TargetMode="External"/><Relationship Id="rId1175" Type="http://schemas.openxmlformats.org/officeDocument/2006/relationships/hyperlink" Target="https://www.kaggle.com/competitions/uw-madison-gi-tract-image-segmentation/overview" TargetMode="External"/><Relationship Id="rId103" Type="http://schemas.openxmlformats.org/officeDocument/2006/relationships/hyperlink" Target="https://www.synapse.org/Synapse:syn53285416/wiki/" TargetMode="External"/><Relationship Id="rId587" Type="http://schemas.openxmlformats.org/officeDocument/2006/relationships/hyperlink" Target="https://ravir.grand-challenge.org/RAVIR/" TargetMode="External"/><Relationship Id="rId1176" Type="http://schemas.openxmlformats.org/officeDocument/2006/relationships/hyperlink" Target="https://kipa22.grand-challenge.org/" TargetMode="External"/><Relationship Id="rId102" Type="http://schemas.openxmlformats.org/officeDocument/2006/relationships/hyperlink" Target="https://lnq2023.grand-challenge.org/data/" TargetMode="External"/><Relationship Id="rId586" Type="http://schemas.openxmlformats.org/officeDocument/2006/relationships/hyperlink" Target="https://ravir.grand-challenge.org/RAVIR/" TargetMode="External"/><Relationship Id="rId1177" Type="http://schemas.openxmlformats.org/officeDocument/2006/relationships/hyperlink" Target="https://www.sciencedirect.com/science/article/abs/pii/S1361841521001018" TargetMode="External"/><Relationship Id="rId101" Type="http://schemas.openxmlformats.org/officeDocument/2006/relationships/hyperlink" Target="https://lnq2023.grand-challenge.org/lnq2023/" TargetMode="External"/><Relationship Id="rId585" Type="http://schemas.openxmlformats.org/officeDocument/2006/relationships/hyperlink" Target="https://arxiv.org/pdf/2203.14928" TargetMode="External"/><Relationship Id="rId1178" Type="http://schemas.openxmlformats.org/officeDocument/2006/relationships/hyperlink" Target="https://kipa22.grand-challenge.org/" TargetMode="External"/><Relationship Id="rId100" Type="http://schemas.openxmlformats.org/officeDocument/2006/relationships/hyperlink" Target="https://multicenteraorta.grand-challenge.org/data/" TargetMode="External"/><Relationship Id="rId584" Type="http://schemas.openxmlformats.org/officeDocument/2006/relationships/hyperlink" Target="https://ravir.grand-challenge.org/RAVIR/" TargetMode="External"/><Relationship Id="rId1179" Type="http://schemas.openxmlformats.org/officeDocument/2006/relationships/hyperlink" Target="https://aggc22.grand-challenge.org/" TargetMode="External"/><Relationship Id="rId1169" Type="http://schemas.openxmlformats.org/officeDocument/2006/relationships/hyperlink" Target="https://www.sciencedirect.com/science/article/abs/pii/S0010482521010015" TargetMode="External"/><Relationship Id="rId579" Type="http://schemas.openxmlformats.org/officeDocument/2006/relationships/hyperlink" Target="https://amd.grand-challenge.org/download/" TargetMode="External"/><Relationship Id="rId578" Type="http://schemas.openxmlformats.org/officeDocument/2006/relationships/hyperlink" Target="https://amd.grand-challenge.org/Home/" TargetMode="External"/><Relationship Id="rId577" Type="http://schemas.openxmlformats.org/officeDocument/2006/relationships/hyperlink" Target="https://arxiv.org/pdf/2202.07983" TargetMode="External"/><Relationship Id="rId1160" Type="http://schemas.openxmlformats.org/officeDocument/2006/relationships/hyperlink" Target="https://github.com/JunMa11/AbdomenCT-1K" TargetMode="External"/><Relationship Id="rId572" Type="http://schemas.openxmlformats.org/officeDocument/2006/relationships/hyperlink" Target="https://github.com/deepdrdoc/DeepDRiD" TargetMode="External"/><Relationship Id="rId1161" Type="http://schemas.openxmlformats.org/officeDocument/2006/relationships/hyperlink" Target="https://ieeexplore.ieee.org/document/9497733" TargetMode="External"/><Relationship Id="rId571" Type="http://schemas.openxmlformats.org/officeDocument/2006/relationships/hyperlink" Target="https://drive.google.com/file/d/1YdZm-sioiAbTdBRy4oej1q6tZL8Baft7/view" TargetMode="External"/><Relationship Id="rId1162" Type="http://schemas.openxmlformats.org/officeDocument/2006/relationships/hyperlink" Target="https://zenodo.org/records/5903037" TargetMode="External"/><Relationship Id="rId570" Type="http://schemas.openxmlformats.org/officeDocument/2006/relationships/hyperlink" Target="https://github.com/mirtanvirislam/Deep-Learning-Based-Glaucoma-Detection-with-Cropped-Optic-Cup-and-Disc-and-Blood-Vessel-Segmentation" TargetMode="External"/><Relationship Id="rId1163" Type="http://schemas.openxmlformats.org/officeDocument/2006/relationships/hyperlink" Target="https://qubiq21.grand-challenge.org/QUBIQ2021/" TargetMode="External"/><Relationship Id="rId1164" Type="http://schemas.openxmlformats.org/officeDocument/2006/relationships/hyperlink" Target="https://link.springer.com/chapter/10.1007/978-3-031-08999-2_9" TargetMode="External"/><Relationship Id="rId576" Type="http://schemas.openxmlformats.org/officeDocument/2006/relationships/hyperlink" Target="https://amd.grand-challenge.org/Home/" TargetMode="External"/><Relationship Id="rId1165" Type="http://schemas.openxmlformats.org/officeDocument/2006/relationships/hyperlink" Target="https://qubiq21.grand-challenge.org/participation/" TargetMode="External"/><Relationship Id="rId575" Type="http://schemas.openxmlformats.org/officeDocument/2006/relationships/hyperlink" Target="https://github.com/deepdrdoc/DeepDRiD" TargetMode="External"/><Relationship Id="rId1166" Type="http://schemas.openxmlformats.org/officeDocument/2006/relationships/hyperlink" Target="https://github.com/HiLab-git/WORD" TargetMode="External"/><Relationship Id="rId574" Type="http://schemas.openxmlformats.org/officeDocument/2006/relationships/hyperlink" Target="https://github.com/deepdrdoc/DeepDRiD" TargetMode="External"/><Relationship Id="rId1167" Type="http://schemas.openxmlformats.org/officeDocument/2006/relationships/hyperlink" Target="https://arxiv.org/pdf/2111.02403.pdf" TargetMode="External"/><Relationship Id="rId573" Type="http://schemas.openxmlformats.org/officeDocument/2006/relationships/hyperlink" Target="https://doi.org/10.1016/j.patter.2022.100512" TargetMode="External"/><Relationship Id="rId1168" Type="http://schemas.openxmlformats.org/officeDocument/2006/relationships/hyperlink" Target="https://github.com/HiLab-git/WORD" TargetMode="External"/><Relationship Id="rId129" Type="http://schemas.openxmlformats.org/officeDocument/2006/relationships/hyperlink" Target="https://breastpathq.grand-challenge.org/" TargetMode="External"/><Relationship Id="rId128" Type="http://schemas.openxmlformats.org/officeDocument/2006/relationships/hyperlink" Target="https://www.cancerimagingarchive.net/collection/breast-mri-nact-pilot" TargetMode="External"/><Relationship Id="rId127" Type="http://schemas.openxmlformats.org/officeDocument/2006/relationships/hyperlink" Target="https://www.cancerimagingarchive.net/collection/breast-diagnosis" TargetMode="External"/><Relationship Id="rId126" Type="http://schemas.openxmlformats.org/officeDocument/2006/relationships/hyperlink" Target="https://www.cancerimagingarchive.net/collection/breast-cancer-screening-dbt" TargetMode="External"/><Relationship Id="rId1190" Type="http://schemas.openxmlformats.org/officeDocument/2006/relationships/hyperlink" Target="https://www.frontiersin.org/journals/medicine/articles/10.3389/fmed.2023.1114673/full" TargetMode="External"/><Relationship Id="rId1191" Type="http://schemas.openxmlformats.org/officeDocument/2006/relationships/hyperlink" Target="https://figshare.com/articles/dataset/EBHI-SEG/21540159/1" TargetMode="External"/><Relationship Id="rId1192" Type="http://schemas.openxmlformats.org/officeDocument/2006/relationships/hyperlink" Target="https://github.com/LMMMEng/LLD-MMRI2023/tree/main?tab=readme-ov-file" TargetMode="External"/><Relationship Id="rId1193" Type="http://schemas.openxmlformats.org/officeDocument/2006/relationships/hyperlink" Target="https://zenodo.org/records/7852363" TargetMode="External"/><Relationship Id="rId121" Type="http://schemas.openxmlformats.org/officeDocument/2006/relationships/hyperlink" Target="https://github.com/bupt-ai-cz/BALNMP" TargetMode="External"/><Relationship Id="rId1194" Type="http://schemas.openxmlformats.org/officeDocument/2006/relationships/hyperlink" Target="https://github.com/LMMMEng/LLD-MMRI2023/tree/main?tab=readme-ov-file" TargetMode="External"/><Relationship Id="rId120" Type="http://schemas.openxmlformats.org/officeDocument/2006/relationships/hyperlink" Target="https://arxiv.org/abs/2112.02222" TargetMode="External"/><Relationship Id="rId1195" Type="http://schemas.openxmlformats.org/officeDocument/2006/relationships/hyperlink" Target="https://www.cancerimagingarchive.net/collection/colorectal-liver-metastases/" TargetMode="External"/><Relationship Id="rId1196" Type="http://schemas.openxmlformats.org/officeDocument/2006/relationships/hyperlink" Target="https://www.nature.com/articles/s41597-024-02981-2" TargetMode="External"/><Relationship Id="rId1197" Type="http://schemas.openxmlformats.org/officeDocument/2006/relationships/hyperlink" Target="https://www.cancerimagingarchive.net/collection/colorectal-liver-metastases/" TargetMode="External"/><Relationship Id="rId125" Type="http://schemas.openxmlformats.org/officeDocument/2006/relationships/hyperlink" Target="https://www.kaggle.com/datasets/sabermalek/bcfpp" TargetMode="External"/><Relationship Id="rId1198" Type="http://schemas.openxmlformats.org/officeDocument/2006/relationships/hyperlink" Target="https://sppin.grand-challenge.org/sppin/" TargetMode="External"/><Relationship Id="rId124" Type="http://schemas.openxmlformats.org/officeDocument/2006/relationships/hyperlink" Target="https://www.kaggle.com/datasets/ambarish/breakhis" TargetMode="External"/><Relationship Id="rId1199" Type="http://schemas.openxmlformats.org/officeDocument/2006/relationships/hyperlink" Target="https://zenodo.org/record/7845214" TargetMode="External"/><Relationship Id="rId123" Type="http://schemas.openxmlformats.org/officeDocument/2006/relationships/hyperlink" Target="https://web.inf.ufpr.br/vri/databases/breast-cancer-histopathological-database-breakhis" TargetMode="External"/><Relationship Id="rId122" Type="http://schemas.openxmlformats.org/officeDocument/2006/relationships/hyperlink" Target="https://github.com/PathologyDataScience/BCSS" TargetMode="External"/><Relationship Id="rId118" Type="http://schemas.openxmlformats.org/officeDocument/2006/relationships/hyperlink" Target="https://www.cancerimagingarchive.net/collection/advanced-mri-breast-lesions" TargetMode="External"/><Relationship Id="rId117" Type="http://schemas.openxmlformats.org/officeDocument/2006/relationships/hyperlink" Target="https://acrobat.grand-challenge.org" TargetMode="External"/><Relationship Id="rId116" Type="http://schemas.openxmlformats.org/officeDocument/2006/relationships/hyperlink" Target="https://www.cancerimagingarchive.net/collection/acrin-flt-breast" TargetMode="External"/><Relationship Id="rId115" Type="http://schemas.openxmlformats.org/officeDocument/2006/relationships/hyperlink" Target="https://nihcc.app.box.com/v/DeepLesion" TargetMode="External"/><Relationship Id="rId599" Type="http://schemas.openxmlformats.org/officeDocument/2006/relationships/hyperlink" Target="https://github.com/olivesgatech/OLIVES_Dataset" TargetMode="External"/><Relationship Id="rId1180" Type="http://schemas.openxmlformats.org/officeDocument/2006/relationships/hyperlink" Target="https://papers.ssrn.com/sol3/papers.cfm?abstract_id=4172090" TargetMode="External"/><Relationship Id="rId1181" Type="http://schemas.openxmlformats.org/officeDocument/2006/relationships/hyperlink" Target="https://aggc22.grand-challenge.org/" TargetMode="External"/><Relationship Id="rId119" Type="http://schemas.openxmlformats.org/officeDocument/2006/relationships/hyperlink" Target="https://bcnb.grand-challenge.org" TargetMode="External"/><Relationship Id="rId1182" Type="http://schemas.openxmlformats.org/officeDocument/2006/relationships/hyperlink" Target="https://amos22.grand-challenge.org/" TargetMode="External"/><Relationship Id="rId110" Type="http://schemas.openxmlformats.org/officeDocument/2006/relationships/hyperlink" Target="https://vessel12.grand-challenge.org/" TargetMode="External"/><Relationship Id="rId594" Type="http://schemas.openxmlformats.org/officeDocument/2006/relationships/hyperlink" Target="https://figshare.com/articles/figure/FIVES_A_Fundus_Image_Dataset_for_AI-based_Vessel_Segmentation/19688169/1" TargetMode="External"/><Relationship Id="rId1183" Type="http://schemas.openxmlformats.org/officeDocument/2006/relationships/hyperlink" Target="https://arxiv.org/abs/2206.08023" TargetMode="External"/><Relationship Id="rId593" Type="http://schemas.openxmlformats.org/officeDocument/2006/relationships/hyperlink" Target="https://www.nature.com/articles/s41597-022-01564-3" TargetMode="External"/><Relationship Id="rId1184" Type="http://schemas.openxmlformats.org/officeDocument/2006/relationships/hyperlink" Target="https://amos22.grand-challenge.org/Instructions/" TargetMode="External"/><Relationship Id="rId592" Type="http://schemas.openxmlformats.org/officeDocument/2006/relationships/hyperlink" Target="https://figshare.com/articles/figure/FIVES_A_Fundus_Image_Dataset_for_AI-based_Vessel_Segmentation/19688169/1" TargetMode="External"/><Relationship Id="rId1185" Type="http://schemas.openxmlformats.org/officeDocument/2006/relationships/hyperlink" Target="https://pi-cai.grand-challenge.org/" TargetMode="External"/><Relationship Id="rId591" Type="http://schemas.openxmlformats.org/officeDocument/2006/relationships/hyperlink" Target="https://prod-dcd-datasets-cache-zipfiles.s3.eu-west-1.amazonaws.com/pc4mb3h8hz-1.zip" TargetMode="External"/><Relationship Id="rId1186" Type="http://schemas.openxmlformats.org/officeDocument/2006/relationships/hyperlink" Target="https://github.com/DIAGNijmegen/picai_labels" TargetMode="External"/><Relationship Id="rId114" Type="http://schemas.openxmlformats.org/officeDocument/2006/relationships/hyperlink" Target="https://www.kaggle.com/datasets/kmader/mias-mammography" TargetMode="External"/><Relationship Id="rId598" Type="http://schemas.openxmlformats.org/officeDocument/2006/relationships/hyperlink" Target="https://github.com/olivesgatech/OLIVES_Dataset" TargetMode="External"/><Relationship Id="rId1187" Type="http://schemas.openxmlformats.org/officeDocument/2006/relationships/hyperlink" Target="https://www.cancerimagingarchive.net/collection/hcc-tace-seg/" TargetMode="External"/><Relationship Id="rId113" Type="http://schemas.openxmlformats.org/officeDocument/2006/relationships/hyperlink" Target="https://github.com/escuccim/mias-mammography/blob/master/Report.md" TargetMode="External"/><Relationship Id="rId597" Type="http://schemas.openxmlformats.org/officeDocument/2006/relationships/hyperlink" Target="https://proceedings.neurips.cc/paper_files/paper/2022/file/3be60b4a739b95a07a944a1a2c41e05e-Paper-Datasets_and_Benchmarks.pdf" TargetMode="External"/><Relationship Id="rId1188" Type="http://schemas.openxmlformats.org/officeDocument/2006/relationships/hyperlink" Target="https://www.cancerimagingarchive.net/collection/hcc-tace-seg/" TargetMode="External"/><Relationship Id="rId112" Type="http://schemas.openxmlformats.org/officeDocument/2006/relationships/hyperlink" Target="https://doi.org/10.17863/CAM.105113" TargetMode="External"/><Relationship Id="rId596" Type="http://schemas.openxmlformats.org/officeDocument/2006/relationships/hyperlink" Target="https://github.com/olivesgatech/OLIVES_Dataset" TargetMode="External"/><Relationship Id="rId1189" Type="http://schemas.openxmlformats.org/officeDocument/2006/relationships/hyperlink" Target="https://figshare.com/articles/dataset/EBHI-SEG/21540159/1" TargetMode="External"/><Relationship Id="rId111" Type="http://schemas.openxmlformats.org/officeDocument/2006/relationships/hyperlink" Target="https://www.cancerimagingarchive.net/collection/cbis-ddsm/" TargetMode="External"/><Relationship Id="rId595" Type="http://schemas.openxmlformats.org/officeDocument/2006/relationships/hyperlink" Target="https://figshare.com/articles/figure/FIVES_A_Fundus_Image_Dataset_for_AI-based_Vessel_Segmentation/19688169/1" TargetMode="External"/><Relationship Id="rId1136" Type="http://schemas.openxmlformats.org/officeDocument/2006/relationships/hyperlink" Target="https://gleason2019.grand-challenge.org/Home/" TargetMode="External"/><Relationship Id="rId1137" Type="http://schemas.openxmlformats.org/officeDocument/2006/relationships/hyperlink" Target="https://doi.org/10.1016/j.media.2018.09.005" TargetMode="External"/><Relationship Id="rId1138" Type="http://schemas.openxmlformats.org/officeDocument/2006/relationships/hyperlink" Target="https://gleason2019.grand-challenge.org/Home/" TargetMode="External"/><Relationship Id="rId1139" Type="http://schemas.openxmlformats.org/officeDocument/2006/relationships/hyperlink" Target="https://kits19.grand-challenge.org/" TargetMode="External"/><Relationship Id="rId547" Type="http://schemas.openxmlformats.org/officeDocument/2006/relationships/hyperlink" Target="https://github.com/miag-ull/rim-one-dl" TargetMode="External"/><Relationship Id="rId546" Type="http://schemas.openxmlformats.org/officeDocument/2006/relationships/hyperlink" Target="https://ieee-dataport.org/open-access/octa-500" TargetMode="External"/><Relationship Id="rId545" Type="http://schemas.openxmlformats.org/officeDocument/2006/relationships/hyperlink" Target="https://ieee-dataport.org/open-access/octa-500" TargetMode="External"/><Relationship Id="rId544" Type="http://schemas.openxmlformats.org/officeDocument/2006/relationships/hyperlink" Target="https://ieeexplore.ieee.org/document/9085991" TargetMode="External"/><Relationship Id="rId549" Type="http://schemas.openxmlformats.org/officeDocument/2006/relationships/hyperlink" Target="https://github.com/miag-ull/rim-one-dl" TargetMode="External"/><Relationship Id="rId548" Type="http://schemas.openxmlformats.org/officeDocument/2006/relationships/hyperlink" Target="https://doi.org/10.5566/ias.2346" TargetMode="External"/><Relationship Id="rId1130" Type="http://schemas.openxmlformats.org/officeDocument/2006/relationships/hyperlink" Target="https://github.com/XiaoyuZHK/CRAG-Dataset_Aug_ToCOCO" TargetMode="External"/><Relationship Id="rId1131" Type="http://schemas.openxmlformats.org/officeDocument/2006/relationships/hyperlink" Target="https://arxiv.org/pdf/1806.01963" TargetMode="External"/><Relationship Id="rId543" Type="http://schemas.openxmlformats.org/officeDocument/2006/relationships/hyperlink" Target="https://ieee-dataport.org/open-access/octa-500" TargetMode="External"/><Relationship Id="rId1132" Type="http://schemas.openxmlformats.org/officeDocument/2006/relationships/hyperlink" Target="https://github.com/XiaoyuZHK/CRAG-Dataset_Aug_ToCOCO" TargetMode="External"/><Relationship Id="rId542" Type="http://schemas.openxmlformats.org/officeDocument/2006/relationships/hyperlink" Target="https://imed.nimte.ac.cn/dataofrose.html" TargetMode="External"/><Relationship Id="rId1133" Type="http://schemas.openxmlformats.org/officeDocument/2006/relationships/hyperlink" Target="https://gleason2019.grand-challenge.org/Home/" TargetMode="External"/><Relationship Id="rId541" Type="http://schemas.openxmlformats.org/officeDocument/2006/relationships/hyperlink" Target="https://imed.nimte.ac.cn/dataofrose.html" TargetMode="External"/><Relationship Id="rId1134" Type="http://schemas.openxmlformats.org/officeDocument/2006/relationships/hyperlink" Target="https://doi.org/10.1016/j.media.2018.09.005" TargetMode="External"/><Relationship Id="rId540" Type="http://schemas.openxmlformats.org/officeDocument/2006/relationships/hyperlink" Target="https://arxiv.org/pdf/2007.05201.pdf" TargetMode="External"/><Relationship Id="rId1135" Type="http://schemas.openxmlformats.org/officeDocument/2006/relationships/hyperlink" Target="https://gleason2019.grand-challenge.org/Home/" TargetMode="External"/><Relationship Id="rId1125" Type="http://schemas.openxmlformats.org/officeDocument/2006/relationships/hyperlink" Target="https://www.synapse.org/" TargetMode="External"/><Relationship Id="rId1126" Type="http://schemas.openxmlformats.org/officeDocument/2006/relationships/hyperlink" Target="https://www.synapse.org/" TargetMode="External"/><Relationship Id="rId1127" Type="http://schemas.openxmlformats.org/officeDocument/2006/relationships/hyperlink" Target="https://www.synapse.org/" TargetMode="External"/><Relationship Id="rId1128" Type="http://schemas.openxmlformats.org/officeDocument/2006/relationships/hyperlink" Target="https://competitions.codalab.org/competitions/17094" TargetMode="External"/><Relationship Id="rId1129" Type="http://schemas.openxmlformats.org/officeDocument/2006/relationships/hyperlink" Target="https://competitions.codalab.org/competitions/17094" TargetMode="External"/><Relationship Id="rId536" Type="http://schemas.openxmlformats.org/officeDocument/2006/relationships/hyperlink" Target="https://ieeexplore.ieee.org/document/9515188" TargetMode="External"/><Relationship Id="rId535" Type="http://schemas.openxmlformats.org/officeDocument/2006/relationships/hyperlink" Target="https://figshare.com/s/c2d31f850af14c5b5232" TargetMode="External"/><Relationship Id="rId534" Type="http://schemas.openxmlformats.org/officeDocument/2006/relationships/hyperlink" Target="https://github.com/smilell/AG-CNN?tab=readme-ov-file" TargetMode="External"/><Relationship Id="rId533" Type="http://schemas.openxmlformats.org/officeDocument/2006/relationships/hyperlink" Target="https://github.com/smilell/AG-CNN?tab=readme-ov-file" TargetMode="External"/><Relationship Id="rId539" Type="http://schemas.openxmlformats.org/officeDocument/2006/relationships/hyperlink" Target="https://imed.nimte.ac.cn/dataofrose.html" TargetMode="External"/><Relationship Id="rId538" Type="http://schemas.openxmlformats.org/officeDocument/2006/relationships/hyperlink" Target="https://figshare.com/s/c2d31f850af14c5b5232" TargetMode="External"/><Relationship Id="rId537" Type="http://schemas.openxmlformats.org/officeDocument/2006/relationships/hyperlink" Target="https://figshare.com/s/c2d31f850af14c5b5232" TargetMode="External"/><Relationship Id="rId1120" Type="http://schemas.openxmlformats.org/officeDocument/2006/relationships/hyperlink" Target="https://cloud.ircad.fr/index.php/s/JN3z7EynBiwYyjy/download" TargetMode="External"/><Relationship Id="rId532" Type="http://schemas.openxmlformats.org/officeDocument/2006/relationships/hyperlink" Target="https://arxiv.org/abs/1903.10831" TargetMode="External"/><Relationship Id="rId1121" Type="http://schemas.openxmlformats.org/officeDocument/2006/relationships/hyperlink" Target="https://promise12.grand-challenge.org/" TargetMode="External"/><Relationship Id="rId531" Type="http://schemas.openxmlformats.org/officeDocument/2006/relationships/hyperlink" Target="https://github.com/smilell/AG-CNN?tab=readme-ov-file" TargetMode="External"/><Relationship Id="rId1122" Type="http://schemas.openxmlformats.org/officeDocument/2006/relationships/hyperlink" Target="https://www.sciencedirect.com/science/article/pii/S1361841513001734" TargetMode="External"/><Relationship Id="rId530" Type="http://schemas.openxmlformats.org/officeDocument/2006/relationships/hyperlink" Target="https://ieee-dataport.org/documents/palm-pathologic-myopia-challenge" TargetMode="External"/><Relationship Id="rId1123" Type="http://schemas.openxmlformats.org/officeDocument/2006/relationships/hyperlink" Target="https://zenodo.org/records/8026660" TargetMode="External"/><Relationship Id="rId1124" Type="http://schemas.openxmlformats.org/officeDocument/2006/relationships/hyperlink" Target="https://www.synapse.org/" TargetMode="External"/><Relationship Id="rId1158" Type="http://schemas.openxmlformats.org/officeDocument/2006/relationships/hyperlink" Target="https://www.sciencedirect.com/science/article/abs/pii/S1361841522002444?via%3Dihub" TargetMode="External"/><Relationship Id="rId1159" Type="http://schemas.openxmlformats.org/officeDocument/2006/relationships/hyperlink" Target="https://flare.grand-challenge.org/Data/" TargetMode="External"/><Relationship Id="rId569" Type="http://schemas.openxmlformats.org/officeDocument/2006/relationships/hyperlink" Target="https://ieeexplore.ieee.org/document/9664528?denied=" TargetMode="External"/><Relationship Id="rId568" Type="http://schemas.openxmlformats.org/officeDocument/2006/relationships/hyperlink" Target="https://github.com/mirtanvirislam/Deep-Learning-Based-Glaucoma-Detection-with-Cropped-Optic-Cup-and-Disc-and-Blood-Vessel-Segmentation" TargetMode="External"/><Relationship Id="rId567" Type="http://schemas.openxmlformats.org/officeDocument/2006/relationships/hyperlink" Target="https://www.kaggle.com/datasets/nurmukhammed7/augemnted-ocular-diseases" TargetMode="External"/><Relationship Id="rId566" Type="http://schemas.openxmlformats.org/officeDocument/2006/relationships/hyperlink" Target="https://www.kaggle.com/datasets/nurmukhammed7/augemnted-ocular-diseases" TargetMode="External"/><Relationship Id="rId561" Type="http://schemas.openxmlformats.org/officeDocument/2006/relationships/hyperlink" Target="https://www.kaggle.com/datasets/andrewmvd/ocular-disease-recognition-odir5k" TargetMode="External"/><Relationship Id="rId1150" Type="http://schemas.openxmlformats.org/officeDocument/2006/relationships/hyperlink" Target="https://www.cancerimagingarchive.net/collection/pancreas-ct/" TargetMode="External"/><Relationship Id="rId560" Type="http://schemas.openxmlformats.org/officeDocument/2006/relationships/hyperlink" Target="https://www.kaggle.com/datasets/andrewmvd/ocular-disease-recognition-odir5k" TargetMode="External"/><Relationship Id="rId1151" Type="http://schemas.openxmlformats.org/officeDocument/2006/relationships/hyperlink" Target="https://www.cancerimagingarchive.net/collection/pancreas-ct/" TargetMode="External"/><Relationship Id="rId1152" Type="http://schemas.openxmlformats.org/officeDocument/2006/relationships/hyperlink" Target="https://www.cancerimagingarchive.net/collection/qin-prostate-repeatability/" TargetMode="External"/><Relationship Id="rId1153" Type="http://schemas.openxmlformats.org/officeDocument/2006/relationships/hyperlink" Target="https://www.cancerimagingarchive.net/collection/qin-prostate-repeatability/" TargetMode="External"/><Relationship Id="rId565" Type="http://schemas.openxmlformats.org/officeDocument/2006/relationships/hyperlink" Target="https://www.kaggle.com/datasets/nurmukhammed7/augemnted-ocular-diseases" TargetMode="External"/><Relationship Id="rId1154" Type="http://schemas.openxmlformats.org/officeDocument/2006/relationships/hyperlink" Target="https://kits-challenge.org/kits21/" TargetMode="External"/><Relationship Id="rId564" Type="http://schemas.openxmlformats.org/officeDocument/2006/relationships/hyperlink" Target="https://tianchi.aliyun.com/dataset/93926" TargetMode="External"/><Relationship Id="rId1155" Type="http://schemas.openxmlformats.org/officeDocument/2006/relationships/hyperlink" Target="https://arxiv.org/abs/1912.01054" TargetMode="External"/><Relationship Id="rId563" Type="http://schemas.openxmlformats.org/officeDocument/2006/relationships/hyperlink" Target="https://tianchi.aliyun.com/dataset/93926" TargetMode="External"/><Relationship Id="rId1156" Type="http://schemas.openxmlformats.org/officeDocument/2006/relationships/hyperlink" Target="https://github.com/neheller/kits21" TargetMode="External"/><Relationship Id="rId562" Type="http://schemas.openxmlformats.org/officeDocument/2006/relationships/hyperlink" Target="https://tianchi.aliyun.com/dataset/93926" TargetMode="External"/><Relationship Id="rId1157" Type="http://schemas.openxmlformats.org/officeDocument/2006/relationships/hyperlink" Target="https://flare.grand-challenge.org/" TargetMode="External"/><Relationship Id="rId1147" Type="http://schemas.openxmlformats.org/officeDocument/2006/relationships/hyperlink" Target="https://physionet.org/content/chest-x-ray-segmentation" TargetMode="External"/><Relationship Id="rId1148" Type="http://schemas.openxmlformats.org/officeDocument/2006/relationships/hyperlink" Target="https://med.emory.edu/departments/radiation-oncology/research-laboratories/deformable-image-registration/index.html" TargetMode="External"/><Relationship Id="rId1149" Type="http://schemas.openxmlformats.org/officeDocument/2006/relationships/hyperlink" Target="https://veet.via.cornell.edu/lungdb.html" TargetMode="External"/><Relationship Id="rId558" Type="http://schemas.openxmlformats.org/officeDocument/2006/relationships/hyperlink" Target="https://www.kaggle.com/datasets/linchundan/fundusimage1000" TargetMode="External"/><Relationship Id="rId557" Type="http://schemas.openxmlformats.org/officeDocument/2006/relationships/hyperlink" Target="https://www.kaggle.com/datasets/linchundan/fundusimage1000" TargetMode="External"/><Relationship Id="rId556" Type="http://schemas.openxmlformats.org/officeDocument/2006/relationships/hyperlink" Target="https://www.nature.com/articles/s41467-021-25138-w" TargetMode="External"/><Relationship Id="rId555" Type="http://schemas.openxmlformats.org/officeDocument/2006/relationships/hyperlink" Target="https://www.kaggle.com/datasets/linchundan/fundusimage1000" TargetMode="External"/><Relationship Id="rId559" Type="http://schemas.openxmlformats.org/officeDocument/2006/relationships/hyperlink" Target="https://www.kaggle.com/datasets/andrewmvd/ocular-disease-recognition-odir5k" TargetMode="External"/><Relationship Id="rId550" Type="http://schemas.openxmlformats.org/officeDocument/2006/relationships/hyperlink" Target="https://github.com/miag-ull/rim-one-dl" TargetMode="External"/><Relationship Id="rId1140" Type="http://schemas.openxmlformats.org/officeDocument/2006/relationships/hyperlink" Target="https://www.sciencedirect.com/science/article/pii/S1361841520301857" TargetMode="External"/><Relationship Id="rId1141" Type="http://schemas.openxmlformats.org/officeDocument/2006/relationships/hyperlink" Target="https://github.com/neheller/kits19" TargetMode="External"/><Relationship Id="rId1142" Type="http://schemas.openxmlformats.org/officeDocument/2006/relationships/hyperlink" Target="https://chaos.grand-challenge.org/Combined_Healthy_Abdominal_Organ_Segmentation/" TargetMode="External"/><Relationship Id="rId554" Type="http://schemas.openxmlformats.org/officeDocument/2006/relationships/hyperlink" Target="https://github.com/AbdullahSarhan/ICPRVessels" TargetMode="External"/><Relationship Id="rId1143" Type="http://schemas.openxmlformats.org/officeDocument/2006/relationships/hyperlink" Target="https://linkinghub.elsevier.com/retrieve/pii/S1361841520303145" TargetMode="External"/><Relationship Id="rId553" Type="http://schemas.openxmlformats.org/officeDocument/2006/relationships/hyperlink" Target="https://github.com/AbdullahSarhan/ICPRVessels" TargetMode="External"/><Relationship Id="rId1144" Type="http://schemas.openxmlformats.org/officeDocument/2006/relationships/hyperlink" Target="https://zenodo.org/record/3431873" TargetMode="External"/><Relationship Id="rId552" Type="http://schemas.openxmlformats.org/officeDocument/2006/relationships/hyperlink" Target="https://arxiv.org/pdf/2012.09250.pdf" TargetMode="External"/><Relationship Id="rId1145" Type="http://schemas.openxmlformats.org/officeDocument/2006/relationships/hyperlink" Target="https://huggingface.co/datasets/ibrahimhamamci/CT-RATE" TargetMode="External"/><Relationship Id="rId551" Type="http://schemas.openxmlformats.org/officeDocument/2006/relationships/hyperlink" Target="https://github.com/AbdullahSarhan/ICPRVessels" TargetMode="External"/><Relationship Id="rId1146" Type="http://schemas.openxmlformats.org/officeDocument/2006/relationships/hyperlink" Target="https://www.aapm.org/GrandChallenge/CTVIE" TargetMode="External"/><Relationship Id="rId495" Type="http://schemas.openxmlformats.org/officeDocument/2006/relationships/hyperlink" Target="https://people.duke.edu/~sf59/Chiu_BOE_2013_dataset.htm" TargetMode="External"/><Relationship Id="rId494" Type="http://schemas.openxmlformats.org/officeDocument/2006/relationships/hyperlink" Target="https://people.duke.edu/~sf59/Chiu_BOE_2013_dataset.htm" TargetMode="External"/><Relationship Id="rId493" Type="http://schemas.openxmlformats.org/officeDocument/2006/relationships/hyperlink" Target="https://people.duke.edu/~sf59/Chiu_BOE_2013_dataset.htm" TargetMode="External"/><Relationship Id="rId492" Type="http://schemas.openxmlformats.org/officeDocument/2006/relationships/hyperlink" Target="https://www.adcis.net/en/third-party/messidor2/" TargetMode="External"/><Relationship Id="rId499" Type="http://schemas.openxmlformats.org/officeDocument/2006/relationships/hyperlink" Target="https://ieeexplore.ieee.org/document/6867807" TargetMode="External"/><Relationship Id="rId498" Type="http://schemas.openxmlformats.org/officeDocument/2006/relationships/hyperlink" Target="https://ieeexplore.ieee.org/stamp/stamp.jsp?tp=&amp;arnumber=6867807" TargetMode="External"/><Relationship Id="rId497" Type="http://schemas.openxmlformats.org/officeDocument/2006/relationships/hyperlink" Target="https://ieeexplore.ieee.org/document/6867807" TargetMode="External"/><Relationship Id="rId496" Type="http://schemas.openxmlformats.org/officeDocument/2006/relationships/hyperlink" Target="https://people.duke.edu/~sf59/Chiu_BOE_2013_dataset.htm" TargetMode="External"/><Relationship Id="rId1610" Type="http://schemas.openxmlformats.org/officeDocument/2006/relationships/hyperlink" Target="https://orcascore.grand-challenge.org" TargetMode="External"/><Relationship Id="rId1611" Type="http://schemas.openxmlformats.org/officeDocument/2006/relationships/hyperlink" Target="https://medicalimaging.ai/challenges/orcascore" TargetMode="External"/><Relationship Id="rId1612" Type="http://schemas.openxmlformats.org/officeDocument/2006/relationships/hyperlink" Target="https://orcascore.grand-challenge.org/Data/" TargetMode="External"/><Relationship Id="rId1613" Type="http://schemas.openxmlformats.org/officeDocument/2006/relationships/hyperlink" Target="https://www5.cs.fau.de/research/data/pascal" TargetMode="External"/><Relationship Id="rId1614" Type="http://schemas.openxmlformats.org/officeDocument/2006/relationships/hyperlink" Target="https://www5.cs.fau.de/forschung/data/pascal/" TargetMode="External"/><Relationship Id="rId1615" Type="http://schemas.openxmlformats.org/officeDocument/2006/relationships/hyperlink" Target="https://www5.cs.fau.de/forschung/data/pascal/" TargetMode="External"/><Relationship Id="rId1616" Type="http://schemas.openxmlformats.org/officeDocument/2006/relationships/hyperlink" Target="https://stanfordaimi.azurewebsites.net/datasets/3a7548a4-8f65-4ab7-85fa-3d68c9efc1bd" TargetMode="External"/><Relationship Id="rId907" Type="http://schemas.openxmlformats.org/officeDocument/2006/relationships/hyperlink" Target="https://www.ppmi-info.org" TargetMode="External"/><Relationship Id="rId1617" Type="http://schemas.openxmlformats.org/officeDocument/2006/relationships/hyperlink" Target="https://arxiv.org/abs/2111.11665" TargetMode="External"/><Relationship Id="rId906" Type="http://schemas.openxmlformats.org/officeDocument/2006/relationships/hyperlink" Target="https://www.ppmi-info.org" TargetMode="External"/><Relationship Id="rId1618" Type="http://schemas.openxmlformats.org/officeDocument/2006/relationships/hyperlink" Target="https://aimi.stanford.edu/datasets/radfusion-multimodal-pulmonary-embolism-dataset" TargetMode="External"/><Relationship Id="rId905" Type="http://schemas.openxmlformats.org/officeDocument/2006/relationships/hyperlink" Target="https://www.nitrc.org/projects/ping" TargetMode="External"/><Relationship Id="rId1619" Type="http://schemas.openxmlformats.org/officeDocument/2006/relationships/hyperlink" Target="https://rvsc.projets.litislab.fr" TargetMode="External"/><Relationship Id="rId904" Type="http://schemas.openxmlformats.org/officeDocument/2006/relationships/hyperlink" Target="https://www.nitrc.org/projects/ping" TargetMode="External"/><Relationship Id="rId909" Type="http://schemas.openxmlformats.org/officeDocument/2006/relationships/hyperlink" Target="https://f1000research.com/articles/6-93/v2" TargetMode="External"/><Relationship Id="rId908" Type="http://schemas.openxmlformats.org/officeDocument/2006/relationships/hyperlink" Target="https://f1000research.com/articles/6-93/v2" TargetMode="External"/><Relationship Id="rId903" Type="http://schemas.openxmlformats.org/officeDocument/2006/relationships/hyperlink" Target="https://zenodo.org/records/5749645" TargetMode="External"/><Relationship Id="rId902" Type="http://schemas.openxmlformats.org/officeDocument/2006/relationships/hyperlink" Target="https://zenodo.org/records/5749645" TargetMode="External"/><Relationship Id="rId901" Type="http://schemas.openxmlformats.org/officeDocument/2006/relationships/hyperlink" Target="http://fcon_1000.projects.nitrc.org/indi/retro/parkinsons.html" TargetMode="External"/><Relationship Id="rId900" Type="http://schemas.openxmlformats.org/officeDocument/2006/relationships/hyperlink" Target="http://fcon_1000.projects.nitrc.org/indi/retro/parkinsons.html" TargetMode="External"/><Relationship Id="rId1600" Type="http://schemas.openxmlformats.org/officeDocument/2006/relationships/hyperlink" Target="https://zmiclab.github.io/zxh/0/mscmrseg19/" TargetMode="External"/><Relationship Id="rId1601" Type="http://schemas.openxmlformats.org/officeDocument/2006/relationships/hyperlink" Target="http://zmiclab.github.io" TargetMode="External"/><Relationship Id="rId1602" Type="http://schemas.openxmlformats.org/officeDocument/2006/relationships/hyperlink" Target="https://zmiclab.github.io/zxh/0/mscmrseg19/" TargetMode="External"/><Relationship Id="rId1603" Type="http://schemas.openxmlformats.org/officeDocument/2006/relationships/hyperlink" Target="https://www.creatis.insa-lyon.fr/Challenge/myosaiq" TargetMode="External"/><Relationship Id="rId1604" Type="http://schemas.openxmlformats.org/officeDocument/2006/relationships/hyperlink" Target="https://codalab.lisn.upsaclay.fr/competitions/19109" TargetMode="External"/><Relationship Id="rId1605" Type="http://schemas.openxmlformats.org/officeDocument/2006/relationships/hyperlink" Target="https://codalab.lisn.upsaclay.fr/competitions/19109" TargetMode="External"/><Relationship Id="rId1606" Type="http://schemas.openxmlformats.org/officeDocument/2006/relationships/hyperlink" Target="https://www.ocmr.info" TargetMode="External"/><Relationship Id="rId1607" Type="http://schemas.openxmlformats.org/officeDocument/2006/relationships/hyperlink" Target="https://arxiv.org/abs/2008.03410" TargetMode="External"/><Relationship Id="rId1608" Type="http://schemas.openxmlformats.org/officeDocument/2006/relationships/hyperlink" Target="https://www.ocmr.info/instructions/" TargetMode="External"/><Relationship Id="rId1609" Type="http://schemas.openxmlformats.org/officeDocument/2006/relationships/hyperlink" Target="https://github.com/MRIOSU/OCMR" TargetMode="External"/><Relationship Id="rId1631" Type="http://schemas.openxmlformats.org/officeDocument/2006/relationships/hyperlink" Target="https://www.doc.ic.ac.uk/~rkarim/la_lv_framework/wall/index.html" TargetMode="External"/><Relationship Id="rId1632" Type="http://schemas.openxmlformats.org/officeDocument/2006/relationships/hyperlink" Target="https://www.doc.ic.ac.uk/~rkarim/la_lv_framework/wall/index.html" TargetMode="External"/><Relationship Id="rId1633" Type="http://schemas.openxmlformats.org/officeDocument/2006/relationships/hyperlink" Target="https://www.doc.ic.ac.uk/~rkarim/la_lv_framework/wall/index.html" TargetMode="External"/><Relationship Id="rId1634" Type="http://schemas.openxmlformats.org/officeDocument/2006/relationships/hyperlink" Target="https://www.kaggle.com/c/sai-vessel-segmentation2" TargetMode="External"/><Relationship Id="rId1635" Type="http://schemas.openxmlformats.org/officeDocument/2006/relationships/hyperlink" Target="https://www.kaggle.com/competitions/sai-vessel-segmentation2" TargetMode="External"/><Relationship Id="rId1636" Type="http://schemas.openxmlformats.org/officeDocument/2006/relationships/hyperlink" Target="https://www.kaggle.com/competitions/sai-vessel-segmentation2/data" TargetMode="External"/><Relationship Id="rId1637" Type="http://schemas.openxmlformats.org/officeDocument/2006/relationships/hyperlink" Target="https://medmnist.com/v2" TargetMode="External"/><Relationship Id="rId1638" Type="http://schemas.openxmlformats.org/officeDocument/2006/relationships/hyperlink" Target="https://www.cancerimagingarchive.net/collection/cptac-ccrcc/" TargetMode="External"/><Relationship Id="rId929" Type="http://schemas.openxmlformats.org/officeDocument/2006/relationships/hyperlink" Target="https://www.rsna.org/rsnai/ai-image-challenge/brain-tumor-ai-challenge-2021" TargetMode="External"/><Relationship Id="rId1639" Type="http://schemas.openxmlformats.org/officeDocument/2006/relationships/hyperlink" Target="https://www.cancerimagingarchive.net/collection/cptac-ccrcc/" TargetMode="External"/><Relationship Id="rId928" Type="http://schemas.openxmlformats.org/officeDocument/2006/relationships/hyperlink" Target="https://www.rsna.org/rsnai/ai-image-challenge/brain-tumor-ai-challenge-2021" TargetMode="External"/><Relationship Id="rId927" Type="http://schemas.openxmlformats.org/officeDocument/2006/relationships/hyperlink" Target="https://www.cancerimagingarchive.net/collection/rider-neuro-mri" TargetMode="External"/><Relationship Id="rId926" Type="http://schemas.openxmlformats.org/officeDocument/2006/relationships/hyperlink" Target="https://www.cancerimagingarchive.net/collection/rider-neuro-mri" TargetMode="External"/><Relationship Id="rId921" Type="http://schemas.openxmlformats.org/officeDocument/2006/relationships/hyperlink" Target="https://realnoisemri.grand-challenge.org" TargetMode="External"/><Relationship Id="rId920" Type="http://schemas.openxmlformats.org/officeDocument/2006/relationships/hyperlink" Target="https://realnoisemri.grand-challenge.org" TargetMode="External"/><Relationship Id="rId925" Type="http://schemas.openxmlformats.org/officeDocument/2006/relationships/hyperlink" Target="https://archive.norstore.no/pages/public/datasetDetail.jsf?id=10.11582/2017.00004" TargetMode="External"/><Relationship Id="rId924" Type="http://schemas.openxmlformats.org/officeDocument/2006/relationships/hyperlink" Target="https://archive.norstore.no/pages/public/datasetDetail.jsf?id=10.11582/2017.00004" TargetMode="External"/><Relationship Id="rId923" Type="http://schemas.openxmlformats.org/officeDocument/2006/relationships/hyperlink" Target="https://www.cancerimagingarchive.net/collection/rembrandt" TargetMode="External"/><Relationship Id="rId922" Type="http://schemas.openxmlformats.org/officeDocument/2006/relationships/hyperlink" Target="https://www.cancerimagingarchive.net/collection/rembrandt" TargetMode="External"/><Relationship Id="rId1630" Type="http://schemas.openxmlformats.org/officeDocument/2006/relationships/hyperlink" Target="https://www.kaggle.com/c/second-annual-data-science-bowl/data" TargetMode="External"/><Relationship Id="rId1620" Type="http://schemas.openxmlformats.org/officeDocument/2006/relationships/hyperlink" Target="https://projets.litislab.fr/rvsc/how-to-download-the-data/" TargetMode="External"/><Relationship Id="rId1621" Type="http://schemas.openxmlformats.org/officeDocument/2006/relationships/hyperlink" Target="https://projets.litislab.fr/rvsc/how-to-download-the-data/" TargetMode="External"/><Relationship Id="rId1622" Type="http://schemas.openxmlformats.org/officeDocument/2006/relationships/hyperlink" Target="https://www.cardiacatlas.org/sunnybrook-cardiac-data" TargetMode="External"/><Relationship Id="rId1623" Type="http://schemas.openxmlformats.org/officeDocument/2006/relationships/hyperlink" Target="https://www.cardiacatlas.org/sunnybrook-cardiac-data/" TargetMode="External"/><Relationship Id="rId1624" Type="http://schemas.openxmlformats.org/officeDocument/2006/relationships/hyperlink" Target="https://www.cardiacatlas.org/sunnybrook-cardiac-data/" TargetMode="External"/><Relationship Id="rId1625" Type="http://schemas.openxmlformats.org/officeDocument/2006/relationships/hyperlink" Target="https://www.cardiacatlas.org/scmr-consensus-contours" TargetMode="External"/><Relationship Id="rId1626" Type="http://schemas.openxmlformats.org/officeDocument/2006/relationships/hyperlink" Target="https://www.cardiacatlas.org/scmr-consensus-contours/" TargetMode="External"/><Relationship Id="rId1627" Type="http://schemas.openxmlformats.org/officeDocument/2006/relationships/hyperlink" Target="https://www.cardiacatlas.org/scmr-consensus-contours/" TargetMode="External"/><Relationship Id="rId918" Type="http://schemas.openxmlformats.org/officeDocument/2006/relationships/hyperlink" Target="http://fcon_1000.projects.nitrc.org/indi/pro/Quiron-Valencia.html" TargetMode="External"/><Relationship Id="rId1628" Type="http://schemas.openxmlformats.org/officeDocument/2006/relationships/hyperlink" Target="https://www.kaggle.com/competitions/second-annual-data-science-bowl" TargetMode="External"/><Relationship Id="rId917" Type="http://schemas.openxmlformats.org/officeDocument/2006/relationships/hyperlink" Target="https://www.cancerimagingarchive.net/collection/qin-gbm-treatment-response" TargetMode="External"/><Relationship Id="rId1629" Type="http://schemas.openxmlformats.org/officeDocument/2006/relationships/hyperlink" Target="https://www.kaggle.com/c/second-annual-data-science-bowl" TargetMode="External"/><Relationship Id="rId916" Type="http://schemas.openxmlformats.org/officeDocument/2006/relationships/hyperlink" Target="https://www.cancerimagingarchive.net/collection/qin-gbm-treatment-response" TargetMode="External"/><Relationship Id="rId915" Type="http://schemas.openxmlformats.org/officeDocument/2006/relationships/hyperlink" Target="http://fcon_1000.projects.nitrc.org/indi/indiPRIME.html" TargetMode="External"/><Relationship Id="rId919" Type="http://schemas.openxmlformats.org/officeDocument/2006/relationships/hyperlink" Target="http://fcon_1000.projects.nitrc.org/indi/pro/Quiron-Valencia.html" TargetMode="External"/><Relationship Id="rId910" Type="http://schemas.openxmlformats.org/officeDocument/2006/relationships/hyperlink" Target="https://portal.conp.ca/dataset?id=projects/preventad-open" TargetMode="External"/><Relationship Id="rId914" Type="http://schemas.openxmlformats.org/officeDocument/2006/relationships/hyperlink" Target="http://fcon_1000.projects.nitrc.org/indi/indiPRIME.html" TargetMode="External"/><Relationship Id="rId913" Type="http://schemas.openxmlformats.org/officeDocument/2006/relationships/hyperlink" Target="http://fcon_1000.projects.nitrc.org/indi/PRIMEdownloads.html" TargetMode="External"/><Relationship Id="rId912" Type="http://schemas.openxmlformats.org/officeDocument/2006/relationships/hyperlink" Target="https://openpreventad.loris.ca" TargetMode="External"/><Relationship Id="rId911" Type="http://schemas.openxmlformats.org/officeDocument/2006/relationships/hyperlink" Target="https://openpreventad.loris.ca" TargetMode="External"/><Relationship Id="rId1213" Type="http://schemas.openxmlformats.org/officeDocument/2006/relationships/hyperlink" Target="https://www.clinicalradiologyonline.net/article/S0009-9260(20)30048-9/" TargetMode="External"/><Relationship Id="rId1697" Type="http://schemas.openxmlformats.org/officeDocument/2006/relationships/hyperlink" Target="https://warwick.ac.uk/fac/cross_fac/tia/data/pannuke/" TargetMode="External"/><Relationship Id="rId1214" Type="http://schemas.openxmlformats.org/officeDocument/2006/relationships/hyperlink" Target="https://www.cancerimagingarchive.net/collection/adrenal-acc-ki67-seg/" TargetMode="External"/><Relationship Id="rId1698" Type="http://schemas.openxmlformats.org/officeDocument/2006/relationships/hyperlink" Target="https://arxiv.org/pdf/2003.10778v7" TargetMode="External"/><Relationship Id="rId1215" Type="http://schemas.openxmlformats.org/officeDocument/2006/relationships/hyperlink" Target="https://figshare.com/articles/dataset/BM-BronchoLC/24243670" TargetMode="External"/><Relationship Id="rId1699" Type="http://schemas.openxmlformats.org/officeDocument/2006/relationships/hyperlink" Target="https://warwick.ac.uk/fac/sci/dcs/research/tia/data/pannuke" TargetMode="External"/><Relationship Id="rId1216" Type="http://schemas.openxmlformats.org/officeDocument/2006/relationships/hyperlink" Target="https://www.nature.com/articles/s41597-024-03145-y" TargetMode="External"/><Relationship Id="rId1217" Type="http://schemas.openxmlformats.org/officeDocument/2006/relationships/hyperlink" Target="https://figshare.com/articles/dataset/BM-BronchoLC/24243670" TargetMode="External"/><Relationship Id="rId1218" Type="http://schemas.openxmlformats.org/officeDocument/2006/relationships/hyperlink" Target="https://github.com/MrGiovanni/AbdomenAtlas" TargetMode="External"/><Relationship Id="rId1219" Type="http://schemas.openxmlformats.org/officeDocument/2006/relationships/hyperlink" Target="https://www.cs.jhu.edu/~alanlab/Pubs23/qu2023abdomenatlas.pdf" TargetMode="External"/><Relationship Id="rId866" Type="http://schemas.openxmlformats.org/officeDocument/2006/relationships/hyperlink" Target="https://openneuro.org/datasets/ds000221" TargetMode="External"/><Relationship Id="rId865" Type="http://schemas.openxmlformats.org/officeDocument/2006/relationships/hyperlink" Target="http://fcon_1000.projects.nitrc.org/indi/retro/MPI_LEMON.html" TargetMode="External"/><Relationship Id="rId864" Type="http://schemas.openxmlformats.org/officeDocument/2006/relationships/hyperlink" Target="http://fcon_1000.projects.nitrc.org/indi/retro/MPI_LEMON.html" TargetMode="External"/><Relationship Id="rId863" Type="http://schemas.openxmlformats.org/officeDocument/2006/relationships/hyperlink" Target="http://fcon_1000.projects.nitrc.org/indi/retro/mni_hipposeg.html" TargetMode="External"/><Relationship Id="rId869" Type="http://schemas.openxmlformats.org/officeDocument/2006/relationships/hyperlink" Target="https://www.kaggle.com/datasets/jboysen/mri-and-alzheimers" TargetMode="External"/><Relationship Id="rId868" Type="http://schemas.openxmlformats.org/officeDocument/2006/relationships/hyperlink" Target="https://mrbrains18.isi.uu.nl/" TargetMode="External"/><Relationship Id="rId867" Type="http://schemas.openxmlformats.org/officeDocument/2006/relationships/hyperlink" Target="https://mrbrains18.isi.uu.nl/" TargetMode="External"/><Relationship Id="rId1690" Type="http://schemas.openxmlformats.org/officeDocument/2006/relationships/hyperlink" Target="https://hep2.unisa.it/index.html" TargetMode="External"/><Relationship Id="rId1691" Type="http://schemas.openxmlformats.org/officeDocument/2006/relationships/hyperlink" Target="https://www.heywhale.com/mw/dataset/5ec3c6883241a100378d5d4a" TargetMode="External"/><Relationship Id="rId1692" Type="http://schemas.openxmlformats.org/officeDocument/2006/relationships/hyperlink" Target="https://github.com/MahmudulAlam/Complete-Blood-Cell-Count-Dataset" TargetMode="External"/><Relationship Id="rId862" Type="http://schemas.openxmlformats.org/officeDocument/2006/relationships/hyperlink" Target="http://fcon_1000.projects.nitrc.org/indi/retro/mni_hipposeg.html" TargetMode="External"/><Relationship Id="rId1693" Type="http://schemas.openxmlformats.org/officeDocument/2006/relationships/hyperlink" Target="https://ietresearch.onlinelibrary.wiley.com/doi/10.1049/htl.2018.5098" TargetMode="External"/><Relationship Id="rId861" Type="http://schemas.openxmlformats.org/officeDocument/2006/relationships/hyperlink" Target="https://www.nitrc.org/projects/multimodal" TargetMode="External"/><Relationship Id="rId1210" Type="http://schemas.openxmlformats.org/officeDocument/2006/relationships/hyperlink" Target="https://www.kaggle.com/datasets/safurahajiheidari/kidney-stone-images" TargetMode="External"/><Relationship Id="rId1694" Type="http://schemas.openxmlformats.org/officeDocument/2006/relationships/hyperlink" Target="https://github.com/tampapath/lung_colon_image_set" TargetMode="External"/><Relationship Id="rId860" Type="http://schemas.openxmlformats.org/officeDocument/2006/relationships/hyperlink" Target="https://www.nitrc.org/projects/multimodal" TargetMode="External"/><Relationship Id="rId1211" Type="http://schemas.openxmlformats.org/officeDocument/2006/relationships/hyperlink" Target="https://www.kaggle.com/datasets/safurahajiheidari/kidney-stone-images?resource=download&amp;select=README.dataset.txt" TargetMode="External"/><Relationship Id="rId1695" Type="http://schemas.openxmlformats.org/officeDocument/2006/relationships/hyperlink" Target="https://arxiv.org/pdf/1912.12142v1.pdf" TargetMode="External"/><Relationship Id="rId1212" Type="http://schemas.openxmlformats.org/officeDocument/2006/relationships/hyperlink" Target="https://www.cancerimagingarchive.net/collection/adrenal-acc-ki67-seg/" TargetMode="External"/><Relationship Id="rId1696" Type="http://schemas.openxmlformats.org/officeDocument/2006/relationships/hyperlink" Target="https://github.com/tampapath/lung_colon_image_set" TargetMode="External"/><Relationship Id="rId1202" Type="http://schemas.openxmlformats.org/officeDocument/2006/relationships/hyperlink" Target="https://kits-challenge.org/kits23/" TargetMode="External"/><Relationship Id="rId1686" Type="http://schemas.openxmlformats.org/officeDocument/2006/relationships/hyperlink" Target="https://digestpath2019.grand-challenge.org/Dataset/" TargetMode="External"/><Relationship Id="rId1203" Type="http://schemas.openxmlformats.org/officeDocument/2006/relationships/hyperlink" Target="https://atlas-challenge.u-bourgogne.fr/" TargetMode="External"/><Relationship Id="rId1687" Type="http://schemas.openxmlformats.org/officeDocument/2006/relationships/hyperlink" Target="https://www.kaggle.com/datasets/andrewmvd/leukemia-classification" TargetMode="External"/><Relationship Id="rId1204" Type="http://schemas.openxmlformats.org/officeDocument/2006/relationships/hyperlink" Target="https://doi.org/10.3390/data8050079" TargetMode="External"/><Relationship Id="rId1688" Type="http://schemas.openxmlformats.org/officeDocument/2006/relationships/hyperlink" Target="https://link.springer.com/content/pdf/10.1007/978-981-15-0798-4.pdf" TargetMode="External"/><Relationship Id="rId1205" Type="http://schemas.openxmlformats.org/officeDocument/2006/relationships/hyperlink" Target="https://atlas-challenge.u-bourgogne.fr/dataset" TargetMode="External"/><Relationship Id="rId1689" Type="http://schemas.openxmlformats.org/officeDocument/2006/relationships/hyperlink" Target="https://tianchi.aliyun.com/dataset/90101" TargetMode="External"/><Relationship Id="rId1206" Type="http://schemas.openxmlformats.org/officeDocument/2006/relationships/hyperlink" Target="http://medicalood.dkfz.de/web/" TargetMode="External"/><Relationship Id="rId1207" Type="http://schemas.openxmlformats.org/officeDocument/2006/relationships/hyperlink" Target="http://medicalood.dkfz.de/BzlSoOiDmh/dd.html" TargetMode="External"/><Relationship Id="rId1208" Type="http://schemas.openxmlformats.org/officeDocument/2006/relationships/hyperlink" Target="https://ps-fh-aop-2023.grand-challenge.org/" TargetMode="External"/><Relationship Id="rId1209" Type="http://schemas.openxmlformats.org/officeDocument/2006/relationships/hyperlink" Target="https://zenodo.org/records/7861699" TargetMode="External"/><Relationship Id="rId855" Type="http://schemas.openxmlformats.org/officeDocument/2006/relationships/hyperlink" Target="http://miriad.drc.ion.ucl.ac.uk/atrophychallenge/data/projects/MIRIAD/resources/1682/files" TargetMode="External"/><Relationship Id="rId854" Type="http://schemas.openxmlformats.org/officeDocument/2006/relationships/hyperlink" Target="https://mindboggle.info/data.html" TargetMode="External"/><Relationship Id="rId853" Type="http://schemas.openxmlformats.org/officeDocument/2006/relationships/hyperlink" Target="https://mindboggle.info/data.html" TargetMode="External"/><Relationship Id="rId852" Type="http://schemas.openxmlformats.org/officeDocument/2006/relationships/hyperlink" Target="https://portal.conp.ca/dataset?id=projects/mica-mics" TargetMode="External"/><Relationship Id="rId859" Type="http://schemas.openxmlformats.org/officeDocument/2006/relationships/hyperlink" Target="https://lit.fe.uni-lj.si/en/research/resources/mm-brain-MR" TargetMode="External"/><Relationship Id="rId858" Type="http://schemas.openxmlformats.org/officeDocument/2006/relationships/hyperlink" Target="https://lit.fe.uni-lj.si/en/research/resources/mm-brain-MR" TargetMode="External"/><Relationship Id="rId857" Type="http://schemas.openxmlformats.org/officeDocument/2006/relationships/hyperlink" Target="https://www.ucl.ac.uk/drc/research-clinical-trials/minimal-interval-resonance-imaging-alzheimers-disease-miriad" TargetMode="External"/><Relationship Id="rId856" Type="http://schemas.openxmlformats.org/officeDocument/2006/relationships/hyperlink" Target="https://www.ucl.ac.uk/drc/research-clinical-trials/minimal-interval-resonance-imaging-alzheimers-disease-miriad" TargetMode="External"/><Relationship Id="rId1680" Type="http://schemas.openxmlformats.org/officeDocument/2006/relationships/hyperlink" Target="https://www.kaggle.com/datasets/truthisneverlinear/bach-breast-cancer-histology-images" TargetMode="External"/><Relationship Id="rId1681" Type="http://schemas.openxmlformats.org/officeDocument/2006/relationships/hyperlink" Target="https://imed.nimte.ac.cn/CORN.html" TargetMode="External"/><Relationship Id="rId851" Type="http://schemas.openxmlformats.org/officeDocument/2006/relationships/hyperlink" Target="https://portal.conp.ca/dataset?id=projects/mica-mics" TargetMode="External"/><Relationship Id="rId1682" Type="http://schemas.openxmlformats.org/officeDocument/2006/relationships/hyperlink" Target="https://www.sciencedirect.com/science/article/pii/S1361841520302383" TargetMode="External"/><Relationship Id="rId850" Type="http://schemas.openxmlformats.org/officeDocument/2006/relationships/hyperlink" Target="https://my.vanderbilt.edu/memento" TargetMode="External"/><Relationship Id="rId1683" Type="http://schemas.openxmlformats.org/officeDocument/2006/relationships/hyperlink" Target="https://imed.nimte.ac.cn/CORN.html" TargetMode="External"/><Relationship Id="rId1200" Type="http://schemas.openxmlformats.org/officeDocument/2006/relationships/hyperlink" Target="https://codalab.lisn.upsaclay.fr/competitions/12239" TargetMode="External"/><Relationship Id="rId1684" Type="http://schemas.openxmlformats.org/officeDocument/2006/relationships/hyperlink" Target="https://digestpath2019.grand-challenge.org/Home/" TargetMode="External"/><Relationship Id="rId1201" Type="http://schemas.openxmlformats.org/officeDocument/2006/relationships/hyperlink" Target="https://codalab.lisn.upsaclay.fr/competitions/12239" TargetMode="External"/><Relationship Id="rId1685" Type="http://schemas.openxmlformats.org/officeDocument/2006/relationships/hyperlink" Target="https://doi.org/10.1016/j.media.2022.102485" TargetMode="External"/><Relationship Id="rId1235" Type="http://schemas.openxmlformats.org/officeDocument/2006/relationships/hyperlink" Target="https://www.sciencedirect.com/science/article/abs/pii/S0895611115000567" TargetMode="External"/><Relationship Id="rId1236" Type="http://schemas.openxmlformats.org/officeDocument/2006/relationships/hyperlink" Target="https://polyp.grand-challenge.org/CVCClinicDB/" TargetMode="External"/><Relationship Id="rId1237" Type="http://schemas.openxmlformats.org/officeDocument/2006/relationships/hyperlink" Target="https://isbi-aida.grand-challenge.org/" TargetMode="External"/><Relationship Id="rId1238" Type="http://schemas.openxmlformats.org/officeDocument/2006/relationships/hyperlink" Target="https://isbi-aida.grand-challenge.org/" TargetMode="External"/><Relationship Id="rId1239" Type="http://schemas.openxmlformats.org/officeDocument/2006/relationships/hyperlink" Target="https://www.depeca.uah.es/colonoscopy_dataset/" TargetMode="External"/><Relationship Id="rId409" Type="http://schemas.openxmlformats.org/officeDocument/2006/relationships/hyperlink" Target="https://zenodo.org/records/4662239" TargetMode="External"/><Relationship Id="rId404" Type="http://schemas.openxmlformats.org/officeDocument/2006/relationships/hyperlink" Target="https://segrap2023.grand-challenge.org/" TargetMode="External"/><Relationship Id="rId888" Type="http://schemas.openxmlformats.org/officeDocument/2006/relationships/hyperlink" Target="http://fcon_1000.projects.nitrc.org/indi/retro/NEO2012.html" TargetMode="External"/><Relationship Id="rId403" Type="http://schemas.openxmlformats.org/officeDocument/2006/relationships/hyperlink" Target="https://arxiv.org/abs/2312.09576" TargetMode="External"/><Relationship Id="rId887" Type="http://schemas.openxmlformats.org/officeDocument/2006/relationships/hyperlink" Target="https://ncanda.org" TargetMode="External"/><Relationship Id="rId402" Type="http://schemas.openxmlformats.org/officeDocument/2006/relationships/hyperlink" Target="https://segrap2023.grand-challenge.org/" TargetMode="External"/><Relationship Id="rId886" Type="http://schemas.openxmlformats.org/officeDocument/2006/relationships/hyperlink" Target="https://ncanda.org" TargetMode="External"/><Relationship Id="rId401" Type="http://schemas.openxmlformats.org/officeDocument/2006/relationships/hyperlink" Target="https://ditto.ing.unimore.it/toothfairy/" TargetMode="External"/><Relationship Id="rId885" Type="http://schemas.openxmlformats.org/officeDocument/2006/relationships/hyperlink" Target="http://fcon_1000.projects.nitrc.org/indi/retro/nat_view.html" TargetMode="External"/><Relationship Id="rId408" Type="http://schemas.openxmlformats.org/officeDocument/2006/relationships/hyperlink" Target="https://codalab.lisn.upsaclay.fr/competitions/9804" TargetMode="External"/><Relationship Id="rId407" Type="http://schemas.openxmlformats.org/officeDocument/2006/relationships/hyperlink" Target="https://www.sciencedirect.com/science/article/pii/S1361841522002560" TargetMode="External"/><Relationship Id="rId406" Type="http://schemas.openxmlformats.org/officeDocument/2006/relationships/hyperlink" Target="https://crossmoda-challenge.ml/" TargetMode="External"/><Relationship Id="rId405" Type="http://schemas.openxmlformats.org/officeDocument/2006/relationships/hyperlink" Target="https://segrap2023.grand-challenge.org/dataset/" TargetMode="External"/><Relationship Id="rId889" Type="http://schemas.openxmlformats.org/officeDocument/2006/relationships/hyperlink" Target="http://fcon_1000.projects.nitrc.org/indi/retro/NEO2012.html" TargetMode="External"/><Relationship Id="rId880" Type="http://schemas.openxmlformats.org/officeDocument/2006/relationships/hyperlink" Target="http://fcon_1000.projects.nitrc.org/indi/pro/wchsu_li_index.html" TargetMode="External"/><Relationship Id="rId1230" Type="http://schemas.openxmlformats.org/officeDocument/2006/relationships/hyperlink" Target="https://link.springer.com/chapter/10.1007/978-3-031-43996-4_30" TargetMode="External"/><Relationship Id="rId400" Type="http://schemas.openxmlformats.org/officeDocument/2006/relationships/hyperlink" Target="https://toothfairy.grand-challenge.org/toothfairy/" TargetMode="External"/><Relationship Id="rId884" Type="http://schemas.openxmlformats.org/officeDocument/2006/relationships/hyperlink" Target="http://fcon_1000.projects.nitrc.org/indi/retro/nat_view.html" TargetMode="External"/><Relationship Id="rId1231" Type="http://schemas.openxmlformats.org/officeDocument/2006/relationships/hyperlink" Target="https://pengwin.grand-challenge.org/data/" TargetMode="External"/><Relationship Id="rId883" Type="http://schemas.openxmlformats.org/officeDocument/2006/relationships/hyperlink" Target="http://fcon_1000.projects.nitrc.org/indi/retro/Narratives.html" TargetMode="External"/><Relationship Id="rId1232" Type="http://schemas.openxmlformats.org/officeDocument/2006/relationships/hyperlink" Target="https://hamlyn.doc.ic.ac.uk/vision/" TargetMode="External"/><Relationship Id="rId882" Type="http://schemas.openxmlformats.org/officeDocument/2006/relationships/hyperlink" Target="http://fcon_1000.projects.nitrc.org/indi/retro/Narratives.html" TargetMode="External"/><Relationship Id="rId1233" Type="http://schemas.openxmlformats.org/officeDocument/2006/relationships/hyperlink" Target="https://hamlyn.doc.ic.ac.uk/vision/" TargetMode="External"/><Relationship Id="rId881" Type="http://schemas.openxmlformats.org/officeDocument/2006/relationships/hyperlink" Target="http://fcon_1000.projects.nitrc.org/indi/pro/wchsu_li_index.html" TargetMode="External"/><Relationship Id="rId1234" Type="http://schemas.openxmlformats.org/officeDocument/2006/relationships/hyperlink" Target="https://polyp.grand-challenge.org/CVCClinicDB/" TargetMode="External"/><Relationship Id="rId1224" Type="http://schemas.openxmlformats.org/officeDocument/2006/relationships/hyperlink" Target="https://www.codabench.org/competitions/2296/" TargetMode="External"/><Relationship Id="rId1225" Type="http://schemas.openxmlformats.org/officeDocument/2006/relationships/hyperlink" Target="http://zmic.org.cn/care_2024/track3/" TargetMode="External"/><Relationship Id="rId1226" Type="http://schemas.openxmlformats.org/officeDocument/2006/relationships/hyperlink" Target="https://www.synapse.org/Synapse:syn53137385/wiki/625370" TargetMode="External"/><Relationship Id="rId1227" Type="http://schemas.openxmlformats.org/officeDocument/2006/relationships/hyperlink" Target="https://acouslic-ai.grand-challenge.org/overview-and-goals/" TargetMode="External"/><Relationship Id="rId1228" Type="http://schemas.openxmlformats.org/officeDocument/2006/relationships/hyperlink" Target="https://acouslic-ai.grand-challenge.org/datasets/" TargetMode="External"/><Relationship Id="rId1229" Type="http://schemas.openxmlformats.org/officeDocument/2006/relationships/hyperlink" Target="https://pengwin.grand-challenge.org/pengwin/" TargetMode="External"/><Relationship Id="rId877" Type="http://schemas.openxmlformats.org/officeDocument/2006/relationships/hyperlink" Target="https://www.smir.ch/MTOP/Start2016" TargetMode="External"/><Relationship Id="rId876" Type="http://schemas.openxmlformats.org/officeDocument/2006/relationships/hyperlink" Target="https://www.smir.ch/MTOP/Start2016" TargetMode="External"/><Relationship Id="rId875" Type="http://schemas.openxmlformats.org/officeDocument/2006/relationships/hyperlink" Target="https://tbichallenge.wordpress.com/data/" TargetMode="External"/><Relationship Id="rId874" Type="http://schemas.openxmlformats.org/officeDocument/2006/relationships/hyperlink" Target="https://portal.fli-iam.irisa.fr/msseg-challenge" TargetMode="External"/><Relationship Id="rId879" Type="http://schemas.openxmlformats.org/officeDocument/2006/relationships/hyperlink" Target="https://figshare.com/articles/dataset/Multicenter_dataset_of_multishell_diffusion_magnetic_resonance_imaging_in_healthy_traveling_adults_with_identical_setting/8851955" TargetMode="External"/><Relationship Id="rId878" Type="http://schemas.openxmlformats.org/officeDocument/2006/relationships/hyperlink" Target="https://figshare.com/articles/dataset/Multicenter_dataset_of_multishell_diffusion_magnetic_resonance_imaging_in_healthy_traveling_adults_with_identical_setting/8851955" TargetMode="External"/><Relationship Id="rId873" Type="http://schemas.openxmlformats.org/officeDocument/2006/relationships/hyperlink" Target="https://portal.fli-iam.irisa.fr/msseg-challenge" TargetMode="External"/><Relationship Id="rId1220" Type="http://schemas.openxmlformats.org/officeDocument/2006/relationships/hyperlink" Target="https://huggingface.co/datasets/AbdomenAtlas/AbdomenAtlas_1.0_Mini" TargetMode="External"/><Relationship Id="rId872" Type="http://schemas.openxmlformats.org/officeDocument/2006/relationships/hyperlink" Target="https://www.nitrc.org/projects/msseg" TargetMode="External"/><Relationship Id="rId1221" Type="http://schemas.openxmlformats.org/officeDocument/2006/relationships/hyperlink" Target="https://www.codabench.org/competitions/2319" TargetMode="External"/><Relationship Id="rId871" Type="http://schemas.openxmlformats.org/officeDocument/2006/relationships/hyperlink" Target="https://www.nitrc.org/projects/msseg" TargetMode="External"/><Relationship Id="rId1222" Type="http://schemas.openxmlformats.org/officeDocument/2006/relationships/hyperlink" Target="https://www.codabench.org/competitions/2319" TargetMode="External"/><Relationship Id="rId870" Type="http://schemas.openxmlformats.org/officeDocument/2006/relationships/hyperlink" Target="https://www.kaggle.com/datasets/jboysen/mri-and-alzheimers" TargetMode="External"/><Relationship Id="rId1223" Type="http://schemas.openxmlformats.org/officeDocument/2006/relationships/hyperlink" Target="https://www.codabench.org/competitions/2296/" TargetMode="External"/><Relationship Id="rId1653" Type="http://schemas.openxmlformats.org/officeDocument/2006/relationships/hyperlink" Target="https://ieeexplore.ieee.org/document/7386573" TargetMode="External"/><Relationship Id="rId1654" Type="http://schemas.openxmlformats.org/officeDocument/2006/relationships/hyperlink" Target="https://cs.adelaide.edu.au/~carneiro/isbi14_challenge/index.html" TargetMode="External"/><Relationship Id="rId1655" Type="http://schemas.openxmlformats.org/officeDocument/2006/relationships/hyperlink" Target="https://figshare.com/s/d6fb591f1beb4f8efa6f" TargetMode="External"/><Relationship Id="rId1656" Type="http://schemas.openxmlformats.org/officeDocument/2006/relationships/hyperlink" Target="https://journals.plos.org/plosone/article/file?id=10.1371/journal.pone.0149399&amp;type=printable" TargetMode="External"/><Relationship Id="rId1657" Type="http://schemas.openxmlformats.org/officeDocument/2006/relationships/hyperlink" Target="https://figshare.com/ndownloader/articles/2070109?private_link=d6fb591f1beb4f8efa6f" TargetMode="External"/><Relationship Id="rId1658" Type="http://schemas.openxmlformats.org/officeDocument/2006/relationships/hyperlink" Target="https://www.kaggle.com/datasets/sani84/glasmiccai2015-gland-segmentation" TargetMode="External"/><Relationship Id="rId1659" Type="http://schemas.openxmlformats.org/officeDocument/2006/relationships/hyperlink" Target="https://www.sciencedirect.com/science/article/pii/S1361841516301542" TargetMode="External"/><Relationship Id="rId829" Type="http://schemas.openxmlformats.org/officeDocument/2006/relationships/hyperlink" Target="http://www.humanconnectomeproject.org" TargetMode="External"/><Relationship Id="rId828" Type="http://schemas.openxmlformats.org/officeDocument/2006/relationships/hyperlink" Target="http://fcon_1000.projects.nitrc.org/indi/hbn_ssi" TargetMode="External"/><Relationship Id="rId827" Type="http://schemas.openxmlformats.org/officeDocument/2006/relationships/hyperlink" Target="http://fcon_1000.projects.nitrc.org/indi/hbn_ssi" TargetMode="External"/><Relationship Id="rId822" Type="http://schemas.openxmlformats.org/officeDocument/2006/relationships/hyperlink" Target="http://hardi.epfl.ch/static/events/2012_ISBI" TargetMode="External"/><Relationship Id="rId821" Type="http://schemas.openxmlformats.org/officeDocument/2006/relationships/hyperlink" Target="https://www.neuroinfo.org/gsp" TargetMode="External"/><Relationship Id="rId820" Type="http://schemas.openxmlformats.org/officeDocument/2006/relationships/hyperlink" Target="https://www.neuroinfo.org/gsp" TargetMode="External"/><Relationship Id="rId826" Type="http://schemas.openxmlformats.org/officeDocument/2006/relationships/hyperlink" Target="http://hardi.epfl.ch/static/events/2013_ISBI" TargetMode="External"/><Relationship Id="rId825" Type="http://schemas.openxmlformats.org/officeDocument/2006/relationships/hyperlink" Target="http://hardi.epfl.ch/static/events/2013_ISBI" TargetMode="External"/><Relationship Id="rId824" Type="http://schemas.openxmlformats.org/officeDocument/2006/relationships/hyperlink" Target="https://hardi.epfl.ch/static/events/2013_ISBI/" TargetMode="External"/><Relationship Id="rId823" Type="http://schemas.openxmlformats.org/officeDocument/2006/relationships/hyperlink" Target="http://hardi.epfl.ch/static/events/2012_ISBI" TargetMode="External"/><Relationship Id="rId1650" Type="http://schemas.openxmlformats.org/officeDocument/2006/relationships/hyperlink" Target="https://iovs.arvojournals.org/article.aspx?articleid=2187659" TargetMode="External"/><Relationship Id="rId1651" Type="http://schemas.openxmlformats.org/officeDocument/2006/relationships/hyperlink" Target="http://bioimlab.dei.unipd.it/Corneal%20Nerve%20Tortuosity%20Data%20Set.htm" TargetMode="External"/><Relationship Id="rId1652" Type="http://schemas.openxmlformats.org/officeDocument/2006/relationships/hyperlink" Target="https://cs.adelaide.edu.au/~carneiro/isbi14_challenge/index.html" TargetMode="External"/><Relationship Id="rId1642" Type="http://schemas.openxmlformats.org/officeDocument/2006/relationships/hyperlink" Target="https://mde-lab.aegean.gr/index.php/downloads/" TargetMode="External"/><Relationship Id="rId1643" Type="http://schemas.openxmlformats.org/officeDocument/2006/relationships/hyperlink" Target="https://imed.nimte.ac.cn/CORN.html" TargetMode="External"/><Relationship Id="rId1644" Type="http://schemas.openxmlformats.org/officeDocument/2006/relationships/hyperlink" Target="https://iovs.arvojournals.org/article.aspx?articleid=2125558" TargetMode="External"/><Relationship Id="rId1645" Type="http://schemas.openxmlformats.org/officeDocument/2006/relationships/hyperlink" Target="http://bioimlab.dei.unipd.it/Corneal%20Nerve%20Data%20Set.htm" TargetMode="External"/><Relationship Id="rId1646" Type="http://schemas.openxmlformats.org/officeDocument/2006/relationships/hyperlink" Target="https://www.kaggle.com/datasets/andrewmvd/malignant-lymphoma-classification" TargetMode="External"/><Relationship Id="rId1647" Type="http://schemas.openxmlformats.org/officeDocument/2006/relationships/hyperlink" Target="https://ieeexplore.ieee.org/document/5505922" TargetMode="External"/><Relationship Id="rId1648" Type="http://schemas.openxmlformats.org/officeDocument/2006/relationships/hyperlink" Target="https://www.kaggle.com/datasets/andrewmvd/malignant-lymphoma-classification/download?datasetVersionNumber=1" TargetMode="External"/><Relationship Id="rId1649" Type="http://schemas.openxmlformats.org/officeDocument/2006/relationships/hyperlink" Target="http://bioimlab.dei.unipd.it/Corneal%20Nerve%20Tortuosity%20Data%20Set.htm" TargetMode="External"/><Relationship Id="rId819" Type="http://schemas.openxmlformats.org/officeDocument/2006/relationships/hyperlink" Target="https://zenodo.org/records/1206163" TargetMode="External"/><Relationship Id="rId818" Type="http://schemas.openxmlformats.org/officeDocument/2006/relationships/hyperlink" Target="https://zenodo.org/records/1206163" TargetMode="External"/><Relationship Id="rId817" Type="http://schemas.openxmlformats.org/officeDocument/2006/relationships/hyperlink" Target="http://niftyweb.cs.ucl.ac.uk/program.php?p=CHALLENGE" TargetMode="External"/><Relationship Id="rId816" Type="http://schemas.openxmlformats.org/officeDocument/2006/relationships/hyperlink" Target="http://niftyweb.cs.ucl.ac.uk/program.php?p=CHALLENGE" TargetMode="External"/><Relationship Id="rId811" Type="http://schemas.openxmlformats.org/officeDocument/2006/relationships/hyperlink" Target="https://www.synapse.org/Synapse:syn54079892/wiki" TargetMode="External"/><Relationship Id="rId810" Type="http://schemas.openxmlformats.org/officeDocument/2006/relationships/hyperlink" Target="https://www.synapse.org/Synapse:syn28546456/wiki/617093" TargetMode="External"/><Relationship Id="rId815" Type="http://schemas.openxmlformats.org/officeDocument/2006/relationships/hyperlink" Target="http://fcon_1000.projects.nitrc.org/indi/retro/find_stanford.html" TargetMode="External"/><Relationship Id="rId814" Type="http://schemas.openxmlformats.org/officeDocument/2006/relationships/hyperlink" Target="http://fcon_1000.projects.nitrc.org/indi/retro/find_stanford.html" TargetMode="External"/><Relationship Id="rId813" Type="http://schemas.openxmlformats.org/officeDocument/2006/relationships/hyperlink" Target="http://fcon_1000.projects.nitrc.org/indi/retro/find_stanford.html" TargetMode="External"/><Relationship Id="rId812" Type="http://schemas.openxmlformats.org/officeDocument/2006/relationships/hyperlink" Target="https://www.synapse.org/Synapse:syn54079892/wiki" TargetMode="External"/><Relationship Id="rId1640" Type="http://schemas.openxmlformats.org/officeDocument/2006/relationships/hyperlink" Target="https://mde-lab.aegean.gr/index.php/downloads/" TargetMode="External"/><Relationship Id="rId1641" Type="http://schemas.openxmlformats.org/officeDocument/2006/relationships/hyperlink" Target="https://www.researchgate.net/profile/Jan-Jantzen/publication/282157686_The_Pap_Smear_Benchmark/links/582ae2fe08ae102f071ff4bb/The-Pap-Smear-Benchmark.pdf" TargetMode="External"/><Relationship Id="rId1675" Type="http://schemas.openxmlformats.org/officeDocument/2006/relationships/hyperlink" Target="https://iciar2018-challenge.grand-challenge.org/Download/" TargetMode="External"/><Relationship Id="rId1676" Type="http://schemas.openxmlformats.org/officeDocument/2006/relationships/hyperlink" Target="https://www.kaggle.com/datasets/truthisneverlinear/bach-breast-cancer-histology-images" TargetMode="External"/><Relationship Id="rId1677" Type="http://schemas.openxmlformats.org/officeDocument/2006/relationships/hyperlink" Target="https://iciar2018-challenge.grand-challenge.org/Dataset/" TargetMode="External"/><Relationship Id="rId1678" Type="http://schemas.openxmlformats.org/officeDocument/2006/relationships/hyperlink" Target="https://arxiv.org/pdf/1808.04277.pdf" TargetMode="External"/><Relationship Id="rId1679" Type="http://schemas.openxmlformats.org/officeDocument/2006/relationships/hyperlink" Target="https://iciar2018-challenge.grand-challenge.org/Download/" TargetMode="External"/><Relationship Id="rId849" Type="http://schemas.openxmlformats.org/officeDocument/2006/relationships/hyperlink" Target="https://my.vanderbilt.edu/memento" TargetMode="External"/><Relationship Id="rId844" Type="http://schemas.openxmlformats.org/officeDocument/2006/relationships/hyperlink" Target="https://lit.fe.uni-lj.si/en/research/resources/long-MR-MS" TargetMode="External"/><Relationship Id="rId843" Type="http://schemas.openxmlformats.org/officeDocument/2006/relationships/hyperlink" Target="https://lit.fe.uni-lj.si/en/research/resources/long-MR-MS" TargetMode="External"/><Relationship Id="rId842" Type="http://schemas.openxmlformats.org/officeDocument/2006/relationships/hyperlink" Target="https://www.cancerimagingarchive.net/collection/lgg-1p19qdeletion" TargetMode="External"/><Relationship Id="rId841" Type="http://schemas.openxmlformats.org/officeDocument/2006/relationships/hyperlink" Target="https://www.cancerimagingarchive.net/collection/lgg-1p19qdeletion" TargetMode="External"/><Relationship Id="rId848" Type="http://schemas.openxmlformats.org/officeDocument/2006/relationships/hyperlink" Target="https://www.massive-data.org/massive-data" TargetMode="External"/><Relationship Id="rId847" Type="http://schemas.openxmlformats.org/officeDocument/2006/relationships/hyperlink" Target="https://www.massive-data.org/massive-data" TargetMode="External"/><Relationship Id="rId846" Type="http://schemas.openxmlformats.org/officeDocument/2006/relationships/hyperlink" Target="https://zenodo.org/records/7523691" TargetMode="External"/><Relationship Id="rId845" Type="http://schemas.openxmlformats.org/officeDocument/2006/relationships/hyperlink" Target="https://zenodo.org/records/7523691" TargetMode="External"/><Relationship Id="rId1670" Type="http://schemas.openxmlformats.org/officeDocument/2006/relationships/hyperlink" Target="https://patchcamelyon.grand-challenge.org/" TargetMode="External"/><Relationship Id="rId840" Type="http://schemas.openxmlformats.org/officeDocument/2006/relationships/hyperlink" Target="https://brain-development.org/ixi-dataset" TargetMode="External"/><Relationship Id="rId1671" Type="http://schemas.openxmlformats.org/officeDocument/2006/relationships/hyperlink" Target="https://arxiv.org/abs/1806.03962" TargetMode="External"/><Relationship Id="rId1672" Type="http://schemas.openxmlformats.org/officeDocument/2006/relationships/hyperlink" Target="https://github.com/basveeling/pcam" TargetMode="External"/><Relationship Id="rId1673" Type="http://schemas.openxmlformats.org/officeDocument/2006/relationships/hyperlink" Target="https://iciar2018-challenge.grand-challenge.org/Dataset/" TargetMode="External"/><Relationship Id="rId1674" Type="http://schemas.openxmlformats.org/officeDocument/2006/relationships/hyperlink" Target="https://arxiv.org/pdf/1808.04277.pdf" TargetMode="External"/><Relationship Id="rId1664" Type="http://schemas.openxmlformats.org/officeDocument/2006/relationships/hyperlink" Target="https://monuseg.grand-challenge.org/Home/" TargetMode="External"/><Relationship Id="rId1665" Type="http://schemas.openxmlformats.org/officeDocument/2006/relationships/hyperlink" Target="https://ieeexplore.ieee.org/abstract/document/7872382" TargetMode="External"/><Relationship Id="rId1666" Type="http://schemas.openxmlformats.org/officeDocument/2006/relationships/hyperlink" Target="https://monuseg.grand-challenge.org/Data/" TargetMode="External"/><Relationship Id="rId1667" Type="http://schemas.openxmlformats.org/officeDocument/2006/relationships/hyperlink" Target="https://github.com/parham-ap/cytology_dataset" TargetMode="External"/><Relationship Id="rId1668" Type="http://schemas.openxmlformats.org/officeDocument/2006/relationships/hyperlink" Target="https://arxiv.org/pdf/1811.09651" TargetMode="External"/><Relationship Id="rId1669" Type="http://schemas.openxmlformats.org/officeDocument/2006/relationships/hyperlink" Target="https://github.com/parham-ap/cytology_dataset" TargetMode="External"/><Relationship Id="rId839" Type="http://schemas.openxmlformats.org/officeDocument/2006/relationships/hyperlink" Target="https://brain-development.org/ixi-dataset" TargetMode="External"/><Relationship Id="rId838" Type="http://schemas.openxmlformats.org/officeDocument/2006/relationships/hyperlink" Target="https://www.nitrc.org/projects/ibsr/" TargetMode="External"/><Relationship Id="rId833" Type="http://schemas.openxmlformats.org/officeDocument/2006/relationships/hyperlink" Target="http://fcon_1000.projects.nitrc.org/indi/retro/hnu_liu_short_tr_index.html" TargetMode="External"/><Relationship Id="rId832" Type="http://schemas.openxmlformats.org/officeDocument/2006/relationships/hyperlink" Target="https://www.kaggle.com/datasets/andrewmvd/hippocampus-segmentation-in-mri-images" TargetMode="External"/><Relationship Id="rId831" Type="http://schemas.openxmlformats.org/officeDocument/2006/relationships/hyperlink" Target="https://www.kaggle.com/datasets/andrewmvd/hippocampus-segmentation-in-mri-images" TargetMode="External"/><Relationship Id="rId830" Type="http://schemas.openxmlformats.org/officeDocument/2006/relationships/hyperlink" Target="http://www.humanconnectomeproject.org" TargetMode="External"/><Relationship Id="rId837" Type="http://schemas.openxmlformats.org/officeDocument/2006/relationships/hyperlink" Target="https://www.nitrc.org/projects/ibsr/" TargetMode="External"/><Relationship Id="rId836" Type="http://schemas.openxmlformats.org/officeDocument/2006/relationships/hyperlink" Target="https://codalab.lisn.upsaclay.fr/competitions/7583" TargetMode="External"/><Relationship Id="rId835" Type="http://schemas.openxmlformats.org/officeDocument/2006/relationships/hyperlink" Target="https://codalab.lisn.upsaclay.fr/competitions/7583" TargetMode="External"/><Relationship Id="rId834" Type="http://schemas.openxmlformats.org/officeDocument/2006/relationships/hyperlink" Target="http://fcon_1000.projects.nitrc.org/indi/retro/hnu_liu_short_tr_index.html" TargetMode="External"/><Relationship Id="rId1660" Type="http://schemas.openxmlformats.org/officeDocument/2006/relationships/hyperlink" Target="https://www.kaggle.com/datasets/sani84/glasmiccai2015-gland-segmentation" TargetMode="External"/><Relationship Id="rId1661" Type="http://schemas.openxmlformats.org/officeDocument/2006/relationships/hyperlink" Target="https://data.mendeley.com/datasets/tt3yj2pf38/3" TargetMode="External"/><Relationship Id="rId1662" Type="http://schemas.openxmlformats.org/officeDocument/2006/relationships/hyperlink" Target="https://www.sciencedirect.com/science/article/pii/S0010482517303293?via%3Dihub" TargetMode="External"/><Relationship Id="rId1663" Type="http://schemas.openxmlformats.org/officeDocument/2006/relationships/hyperlink" Target="https://opendatalab.com/OpenDataLab/HuSHeM/tree/main" TargetMode="External"/><Relationship Id="rId469" Type="http://schemas.openxmlformats.org/officeDocument/2006/relationships/hyperlink" Target="https://blogs.kingston.ac.uk/retinal/chasedb1/" TargetMode="External"/><Relationship Id="rId468" Type="http://schemas.openxmlformats.org/officeDocument/2006/relationships/hyperlink" Target="https://www.ahajournals.org/doi/10.1161/ATVBAHA.111.225219" TargetMode="External"/><Relationship Id="rId467" Type="http://schemas.openxmlformats.org/officeDocument/2006/relationships/hyperlink" Target="https://blogs.kingston.ac.uk/retinal/chasedb1/" TargetMode="External"/><Relationship Id="rId1290" Type="http://schemas.openxmlformats.org/officeDocument/2006/relationships/hyperlink" Target="https://weiss-develop.cs.ucl.ac.uk/fetreg/" TargetMode="External"/><Relationship Id="rId1291" Type="http://schemas.openxmlformats.org/officeDocument/2006/relationships/hyperlink" Target="https://github.com/dashishi/LDPolypVideo-Benchmark" TargetMode="External"/><Relationship Id="rId1292" Type="http://schemas.openxmlformats.org/officeDocument/2006/relationships/hyperlink" Target="https://link.springer.com/chapter/10.1007/978-3-030-87240-3_37" TargetMode="External"/><Relationship Id="rId462" Type="http://schemas.openxmlformats.org/officeDocument/2006/relationships/hyperlink" Target="https://cecas.clemson.edu/~ahoover/stare/probing/index.html" TargetMode="External"/><Relationship Id="rId1293" Type="http://schemas.openxmlformats.org/officeDocument/2006/relationships/hyperlink" Target="https://github.com/dashishi/LDPolypVideo-Benchmark" TargetMode="External"/><Relationship Id="rId461" Type="http://schemas.openxmlformats.org/officeDocument/2006/relationships/hyperlink" Target="https://cecas.clemson.edu/~ahoover/stare/" TargetMode="External"/><Relationship Id="rId1294" Type="http://schemas.openxmlformats.org/officeDocument/2006/relationships/hyperlink" Target="https://www.synapse.org/" TargetMode="External"/><Relationship Id="rId460" Type="http://schemas.openxmlformats.org/officeDocument/2006/relationships/hyperlink" Target="https://ieeexplore.ieee.org/document/845178" TargetMode="External"/><Relationship Id="rId1295" Type="http://schemas.openxmlformats.org/officeDocument/2006/relationships/hyperlink" Target="https://arxiv.org/abs/2204.14240" TargetMode="External"/><Relationship Id="rId1296" Type="http://schemas.openxmlformats.org/officeDocument/2006/relationships/hyperlink" Target="https://www.synapse.org/" TargetMode="External"/><Relationship Id="rId466" Type="http://schemas.openxmlformats.org/officeDocument/2006/relationships/hyperlink" Target="https://drive.grand-challenge.org/Download/" TargetMode="External"/><Relationship Id="rId1297" Type="http://schemas.openxmlformats.org/officeDocument/2006/relationships/hyperlink" Target="https://github.com/CAMMA-public/cholect45" TargetMode="External"/><Relationship Id="rId465" Type="http://schemas.openxmlformats.org/officeDocument/2006/relationships/hyperlink" Target="https://drive.grand-challenge.org/" TargetMode="External"/><Relationship Id="rId1298" Type="http://schemas.openxmlformats.org/officeDocument/2006/relationships/hyperlink" Target="https://arxiv.org/abs/2204.05235" TargetMode="External"/><Relationship Id="rId464" Type="http://schemas.openxmlformats.org/officeDocument/2006/relationships/hyperlink" Target="https://ieeexplore.ieee.org/document/1282003" TargetMode="External"/><Relationship Id="rId1299" Type="http://schemas.openxmlformats.org/officeDocument/2006/relationships/hyperlink" Target="https://github.com/CAMMA-public/cholect45" TargetMode="External"/><Relationship Id="rId463" Type="http://schemas.openxmlformats.org/officeDocument/2006/relationships/hyperlink" Target="https://drive.grand-challenge.org/" TargetMode="External"/><Relationship Id="rId459" Type="http://schemas.openxmlformats.org/officeDocument/2006/relationships/hyperlink" Target="https://cecas.clemson.edu/~ahoover/stare/" TargetMode="External"/><Relationship Id="rId458" Type="http://schemas.openxmlformats.org/officeDocument/2006/relationships/hyperlink" Target="https://mmis2024.com/" TargetMode="External"/><Relationship Id="rId457" Type="http://schemas.openxmlformats.org/officeDocument/2006/relationships/hyperlink" Target="https://mmis2024.com/" TargetMode="External"/><Relationship Id="rId456" Type="http://schemas.openxmlformats.org/officeDocument/2006/relationships/hyperlink" Target="https://mmis2024.com/" TargetMode="External"/><Relationship Id="rId1280" Type="http://schemas.openxmlformats.org/officeDocument/2006/relationships/hyperlink" Target="https://arxiv.org/abs/2012.12453" TargetMode="External"/><Relationship Id="rId1281" Type="http://schemas.openxmlformats.org/officeDocument/2006/relationships/hyperlink" Target="https://www.kaggle.com/datasets/newslab/cholecseg8k" TargetMode="External"/><Relationship Id="rId451" Type="http://schemas.openxmlformats.org/officeDocument/2006/relationships/hyperlink" Target="https://hntsmrg24.grand-challenge.org/overview/" TargetMode="External"/><Relationship Id="rId1282" Type="http://schemas.openxmlformats.org/officeDocument/2006/relationships/hyperlink" Target="https://www.ucl.ac.uk/interventional-surgical-sciences/weiss-open-research/weiss-open-data-server/serv-ct" TargetMode="External"/><Relationship Id="rId450" Type="http://schemas.openxmlformats.org/officeDocument/2006/relationships/hyperlink" Target="https://hntsmrg24.grand-challenge.org/overview/" TargetMode="External"/><Relationship Id="rId1283" Type="http://schemas.openxmlformats.org/officeDocument/2006/relationships/hyperlink" Target="https://www.sciencedirect.com/science/article/pii/S1361841521003479" TargetMode="External"/><Relationship Id="rId1284" Type="http://schemas.openxmlformats.org/officeDocument/2006/relationships/hyperlink" Target="https://rdr.ucl.ac.uk/articles/dataset/SERV-CT_A_disparity_dataset_from_cone-beam_CT_for_validation_of_endoscopic_3D_reconstruction/26352199" TargetMode="External"/><Relationship Id="rId1285" Type="http://schemas.openxmlformats.org/officeDocument/2006/relationships/hyperlink" Target="https://datasets.simula.no/kvasir-capsule/" TargetMode="External"/><Relationship Id="rId455" Type="http://schemas.openxmlformats.org/officeDocument/2006/relationships/hyperlink" Target="https://hntsmrg24.grand-challenge.org/dataset/" TargetMode="External"/><Relationship Id="rId1286" Type="http://schemas.openxmlformats.org/officeDocument/2006/relationships/hyperlink" Target="https://www.nature.com/articles/s41597-021-00920-z" TargetMode="External"/><Relationship Id="rId454" Type="http://schemas.openxmlformats.org/officeDocument/2006/relationships/hyperlink" Target="https://hntsmrg24.grand-challenge.org/overview/" TargetMode="External"/><Relationship Id="rId1287" Type="http://schemas.openxmlformats.org/officeDocument/2006/relationships/hyperlink" Target="https://datasets.simula.no/kvasir-capsule/" TargetMode="External"/><Relationship Id="rId453" Type="http://schemas.openxmlformats.org/officeDocument/2006/relationships/hyperlink" Target="https://hntsmrg24.grand-challenge.org/overview/" TargetMode="External"/><Relationship Id="rId1288" Type="http://schemas.openxmlformats.org/officeDocument/2006/relationships/hyperlink" Target="https://www.synapse.org/" TargetMode="External"/><Relationship Id="rId452" Type="http://schemas.openxmlformats.org/officeDocument/2006/relationships/hyperlink" Target="https://hntsmrg24.grand-challenge.org/dataset/" TargetMode="External"/><Relationship Id="rId1289" Type="http://schemas.openxmlformats.org/officeDocument/2006/relationships/hyperlink" Target="https://arxiv.org/pdf/2106.05923.pdf" TargetMode="External"/><Relationship Id="rId491" Type="http://schemas.openxmlformats.org/officeDocument/2006/relationships/hyperlink" Target="https://www.adcis.net/en/third-party/messidor2/" TargetMode="External"/><Relationship Id="rId490" Type="http://schemas.openxmlformats.org/officeDocument/2006/relationships/hyperlink" Target="https://www.adcis.net/en/third-party/messidor2/" TargetMode="External"/><Relationship Id="rId489" Type="http://schemas.openxmlformats.org/officeDocument/2006/relationships/hyperlink" Target="https://www.ias-iss.org/ojs/IAS/article/view/1155" TargetMode="External"/><Relationship Id="rId484" Type="http://schemas.openxmlformats.org/officeDocument/2006/relationships/hyperlink" Target="https://medicine.uiowa.edu/eye/rite-dataset" TargetMode="External"/><Relationship Id="rId483" Type="http://schemas.openxmlformats.org/officeDocument/2006/relationships/hyperlink" Target="https://ipg.fer.hr/ipg/resources/image_database" TargetMode="External"/><Relationship Id="rId482" Type="http://schemas.openxmlformats.org/officeDocument/2006/relationships/hyperlink" Target="https://ipg.fer.hr/ipg/resources/image_database" TargetMode="External"/><Relationship Id="rId481" Type="http://schemas.openxmlformats.org/officeDocument/2006/relationships/hyperlink" Target="https://ieeexplore.ieee.org/document/6703830" TargetMode="External"/><Relationship Id="rId488" Type="http://schemas.openxmlformats.org/officeDocument/2006/relationships/hyperlink" Target="https://www.adcis.net/en/third-party/messidor2/" TargetMode="External"/><Relationship Id="rId487" Type="http://schemas.openxmlformats.org/officeDocument/2006/relationships/hyperlink" Target="https://uiowa.qualtrics.com/jfe/form/SV_a3mc5H4SG2B3e2p?Q_JFE=qdg" TargetMode="External"/><Relationship Id="rId486" Type="http://schemas.openxmlformats.org/officeDocument/2006/relationships/hyperlink" Target="https://medicine.uiowa.edu/eye/rite-dataset" TargetMode="External"/><Relationship Id="rId485" Type="http://schemas.openxmlformats.org/officeDocument/2006/relationships/hyperlink" Target="https://iacl.ece.jhu.edu/proceedings/miccai2013/papers/8150/81500436.pdf" TargetMode="External"/><Relationship Id="rId480" Type="http://schemas.openxmlformats.org/officeDocument/2006/relationships/hyperlink" Target="https://ipg.fer.hr/ipg/resources/image_database" TargetMode="External"/><Relationship Id="rId479" Type="http://schemas.openxmlformats.org/officeDocument/2006/relationships/hyperlink" Target="https://www5.cs.fau.de/research/data/fundus-images/" TargetMode="External"/><Relationship Id="rId478" Type="http://schemas.openxmlformats.org/officeDocument/2006/relationships/hyperlink" Target="https://www5.cs.fau.de/research/data/fundus-images/" TargetMode="External"/><Relationship Id="rId473" Type="http://schemas.openxmlformats.org/officeDocument/2006/relationships/hyperlink" Target="https://www5.cs.fau.de/research/data/fundus-images/" TargetMode="External"/><Relationship Id="rId472" Type="http://schemas.openxmlformats.org/officeDocument/2006/relationships/hyperlink" Target="https://www.hindawi.com/journals/ijbi/2013/154860/" TargetMode="External"/><Relationship Id="rId471" Type="http://schemas.openxmlformats.org/officeDocument/2006/relationships/hyperlink" Target="https://www5.cs.fau.de/research/data/fundus-images/" TargetMode="External"/><Relationship Id="rId470" Type="http://schemas.openxmlformats.org/officeDocument/2006/relationships/hyperlink" Target="https://blogs.kingston.ac.uk/retinal/chasedb1/" TargetMode="External"/><Relationship Id="rId477" Type="http://schemas.openxmlformats.org/officeDocument/2006/relationships/hyperlink" Target="https://ieeexplore.ieee.org/stamp/stamp.jsp?tp=&amp;arnumber=6627771" TargetMode="External"/><Relationship Id="rId476" Type="http://schemas.openxmlformats.org/officeDocument/2006/relationships/hyperlink" Target="https://www5.cs.fau.de/research/data/fundus-images/" TargetMode="External"/><Relationship Id="rId475" Type="http://schemas.openxmlformats.org/officeDocument/2006/relationships/hyperlink" Target="https://www5.cs.fau.de/fileadmin/research/datasets/fundus-images/all.zip" TargetMode="External"/><Relationship Id="rId474" Type="http://schemas.openxmlformats.org/officeDocument/2006/relationships/hyperlink" Target="https://www5.cs.fau.de/research/data/fundus-images/" TargetMode="External"/><Relationship Id="rId1257" Type="http://schemas.openxmlformats.org/officeDocument/2006/relationships/hyperlink" Target="https://saras-esad.grand-challenge.org" TargetMode="External"/><Relationship Id="rId1258" Type="http://schemas.openxmlformats.org/officeDocument/2006/relationships/hyperlink" Target="https://arxiv.org/abs/2104.03178" TargetMode="External"/><Relationship Id="rId1259" Type="http://schemas.openxmlformats.org/officeDocument/2006/relationships/hyperlink" Target="https://saras-esad.grand-challenge.org" TargetMode="External"/><Relationship Id="rId426" Type="http://schemas.openxmlformats.org/officeDocument/2006/relationships/hyperlink" Target="https://arxiv.org/pdf/2305.07642.pdf" TargetMode="External"/><Relationship Id="rId425" Type="http://schemas.openxmlformats.org/officeDocument/2006/relationships/hyperlink" Target="https://www.synapse.org/" TargetMode="External"/><Relationship Id="rId424" Type="http://schemas.openxmlformats.org/officeDocument/2006/relationships/hyperlink" Target="https://www.synapse.org/" TargetMode="External"/><Relationship Id="rId423" Type="http://schemas.openxmlformats.org/officeDocument/2006/relationships/hyperlink" Target="https://www.synapse.org/" TargetMode="External"/><Relationship Id="rId429" Type="http://schemas.openxmlformats.org/officeDocument/2006/relationships/hyperlink" Target="https://www.synapse.org/" TargetMode="External"/><Relationship Id="rId428" Type="http://schemas.openxmlformats.org/officeDocument/2006/relationships/hyperlink" Target="https://www.synapse.org/" TargetMode="External"/><Relationship Id="rId427" Type="http://schemas.openxmlformats.org/officeDocument/2006/relationships/hyperlink" Target="https://www.synapse.org/" TargetMode="External"/><Relationship Id="rId1250" Type="http://schemas.openxmlformats.org/officeDocument/2006/relationships/hyperlink" Target="https://endovissub2019-scared.grand-challenge.org/Home/" TargetMode="External"/><Relationship Id="rId1251" Type="http://schemas.openxmlformats.org/officeDocument/2006/relationships/hyperlink" Target="https://arxiv.org/abs/2101.01133" TargetMode="External"/><Relationship Id="rId1252" Type="http://schemas.openxmlformats.org/officeDocument/2006/relationships/hyperlink" Target="https://ead2019.grand-challenge.org/EAD2019/" TargetMode="External"/><Relationship Id="rId422" Type="http://schemas.openxmlformats.org/officeDocument/2006/relationships/hyperlink" Target="https://arxiv.org/abs/2305.19369" TargetMode="External"/><Relationship Id="rId1253" Type="http://schemas.openxmlformats.org/officeDocument/2006/relationships/hyperlink" Target="https://arxiv.org/abs/1905.03209" TargetMode="External"/><Relationship Id="rId421" Type="http://schemas.openxmlformats.org/officeDocument/2006/relationships/hyperlink" Target="https://www.synapse.org/" TargetMode="External"/><Relationship Id="rId1254" Type="http://schemas.openxmlformats.org/officeDocument/2006/relationships/hyperlink" Target="https://github.com/sharib-vision/EAD2019/tree/master" TargetMode="External"/><Relationship Id="rId420" Type="http://schemas.openxmlformats.org/officeDocument/2006/relationships/hyperlink" Target="https://www.cancerimagingarchive.net/analysis-result/ivygap-radiomics/" TargetMode="External"/><Relationship Id="rId1255" Type="http://schemas.openxmlformats.org/officeDocument/2006/relationships/hyperlink" Target="https://link.springer.com/chapter/10.1007/978-3-030-37734-2_37" TargetMode="External"/><Relationship Id="rId1256" Type="http://schemas.openxmlformats.org/officeDocument/2006/relationships/hyperlink" Target="https://datasets.simula.no/downloads/kvasir-sessile.zip" TargetMode="External"/><Relationship Id="rId1246" Type="http://schemas.openxmlformats.org/officeDocument/2006/relationships/hyperlink" Target="https://datasets.simula.no/nerthus/" TargetMode="External"/><Relationship Id="rId1247" Type="http://schemas.openxmlformats.org/officeDocument/2006/relationships/hyperlink" Target="https://endovissub2017-roboticinstrumentsegmentation.grand-challenge.org/" TargetMode="External"/><Relationship Id="rId1248" Type="http://schemas.openxmlformats.org/officeDocument/2006/relationships/hyperlink" Target="https://arxiv.org/pdf/1902.06426" TargetMode="External"/><Relationship Id="rId1249" Type="http://schemas.openxmlformats.org/officeDocument/2006/relationships/hyperlink" Target="https://endovissub2017-roboticinstrumentsegmentation.grand-challenge.org/" TargetMode="External"/><Relationship Id="rId415" Type="http://schemas.openxmlformats.org/officeDocument/2006/relationships/hyperlink" Target="https://www.cancerimagingarchive.net/collection/ucsf-pdgm/" TargetMode="External"/><Relationship Id="rId899" Type="http://schemas.openxmlformats.org/officeDocument/2006/relationships/hyperlink" Target="http://fcon_1000.projects.nitrc.org/indi/pro/nyu.html" TargetMode="External"/><Relationship Id="rId414" Type="http://schemas.openxmlformats.org/officeDocument/2006/relationships/hyperlink" Target="https://arxiv.org/abs/2109.00356" TargetMode="External"/><Relationship Id="rId898" Type="http://schemas.openxmlformats.org/officeDocument/2006/relationships/hyperlink" Target="http://fcon_1000.projects.nitrc.org/indi/pro/nyu.html" TargetMode="External"/><Relationship Id="rId413" Type="http://schemas.openxmlformats.org/officeDocument/2006/relationships/hyperlink" Target="https://www.cancerimagingarchive.net/collection/ucsf-pdgm/" TargetMode="External"/><Relationship Id="rId897" Type="http://schemas.openxmlformats.org/officeDocument/2006/relationships/hyperlink" Target="http://www.naturalscenesdataset.org" TargetMode="External"/><Relationship Id="rId412" Type="http://schemas.openxmlformats.org/officeDocument/2006/relationships/hyperlink" Target="https://codalab.lisn.upsaclay.fr/competitions/9804" TargetMode="External"/><Relationship Id="rId896" Type="http://schemas.openxmlformats.org/officeDocument/2006/relationships/hyperlink" Target="http://www.naturalscenesdataset.org" TargetMode="External"/><Relationship Id="rId419" Type="http://schemas.openxmlformats.org/officeDocument/2006/relationships/hyperlink" Target="https://www.cancerimagingarchive.net/analysis-result/ivygap-radiomics/" TargetMode="External"/><Relationship Id="rId418" Type="http://schemas.openxmlformats.org/officeDocument/2006/relationships/hyperlink" Target="https://www.ncbi.nlm.nih.gov/pmc/articles/PMC8382093/" TargetMode="External"/><Relationship Id="rId417" Type="http://schemas.openxmlformats.org/officeDocument/2006/relationships/hyperlink" Target="https://www.cancerimagingarchive.net/analysis-result/ivygap-radiomics/" TargetMode="External"/><Relationship Id="rId416" Type="http://schemas.openxmlformats.org/officeDocument/2006/relationships/hyperlink" Target="https://www.cancerimagingarchive.net/collection/ucsf-pdgm/" TargetMode="External"/><Relationship Id="rId891" Type="http://schemas.openxmlformats.org/officeDocument/2006/relationships/hyperlink" Target="http://www.neuromorphometrics.com/?page_id=23" TargetMode="External"/><Relationship Id="rId890" Type="http://schemas.openxmlformats.org/officeDocument/2006/relationships/hyperlink" Target="http://www.neuromorphometrics.com/?page_id=23" TargetMode="External"/><Relationship Id="rId1240" Type="http://schemas.openxmlformats.org/officeDocument/2006/relationships/hyperlink" Target="https://ieeexplore.ieee.org/abstract/document/7442848" TargetMode="External"/><Relationship Id="rId1241" Type="http://schemas.openxmlformats.org/officeDocument/2006/relationships/hyperlink" Target="https://www.depeca.uah.es/colonoscopy_dataset/" TargetMode="External"/><Relationship Id="rId411" Type="http://schemas.openxmlformats.org/officeDocument/2006/relationships/hyperlink" Target="https://crossmoda-challenge.ml/" TargetMode="External"/><Relationship Id="rId895" Type="http://schemas.openxmlformats.org/officeDocument/2006/relationships/hyperlink" Target="http://fcon_1000.projects.nitrc.org/indi/retro/NorthShoreLIJ.html" TargetMode="External"/><Relationship Id="rId1242" Type="http://schemas.openxmlformats.org/officeDocument/2006/relationships/hyperlink" Target="https://kaggle.com/competitions/intel-mobileodt-cervical-cancer-screening" TargetMode="External"/><Relationship Id="rId410" Type="http://schemas.openxmlformats.org/officeDocument/2006/relationships/hyperlink" Target="https://codalab.lisn.upsaclay.fr/competitions/9804" TargetMode="External"/><Relationship Id="rId894" Type="http://schemas.openxmlformats.org/officeDocument/2006/relationships/hyperlink" Target="http://fcon_1000.projects.nitrc.org/indi/retro/NorthShoreLIJ.html" TargetMode="External"/><Relationship Id="rId1243" Type="http://schemas.openxmlformats.org/officeDocument/2006/relationships/hyperlink" Target="https://kaggle.com/competitions/intel-mobileodt-cervical-cancer-screening" TargetMode="External"/><Relationship Id="rId893" Type="http://schemas.openxmlformats.org/officeDocument/2006/relationships/hyperlink" Target="http://fcon_1000.projects.nitrc.org/indi/retro/Power2012.html" TargetMode="External"/><Relationship Id="rId1244" Type="http://schemas.openxmlformats.org/officeDocument/2006/relationships/hyperlink" Target="https://datasets.simula.no/nerthus/" TargetMode="External"/><Relationship Id="rId892" Type="http://schemas.openxmlformats.org/officeDocument/2006/relationships/hyperlink" Target="http://fcon_1000.projects.nitrc.org/indi/retro/Power2012.html" TargetMode="External"/><Relationship Id="rId1245" Type="http://schemas.openxmlformats.org/officeDocument/2006/relationships/hyperlink" Target="https://dl.acm.org/doi/10.1145/3083187.3083216" TargetMode="External"/><Relationship Id="rId1279" Type="http://schemas.openxmlformats.org/officeDocument/2006/relationships/hyperlink" Target="https://www.kaggle.com/datasets/newslab/cholecseg8k" TargetMode="External"/><Relationship Id="rId448" Type="http://schemas.openxmlformats.org/officeDocument/2006/relationships/hyperlink" Target="https://www.synapse.org/Synapse:syn55249552/wiki/" TargetMode="External"/><Relationship Id="rId447" Type="http://schemas.openxmlformats.org/officeDocument/2006/relationships/hyperlink" Target="https://www.synapse.org/Synapse:syn55249552/wiki/" TargetMode="External"/><Relationship Id="rId446" Type="http://schemas.openxmlformats.org/officeDocument/2006/relationships/hyperlink" Target="https://www.synapse.org/Synapse:syn54100278/wiki/626542" TargetMode="External"/><Relationship Id="rId445" Type="http://schemas.openxmlformats.org/officeDocument/2006/relationships/hyperlink" Target="https://www.synapse.org/Synapse:syn54100278/wiki/626542" TargetMode="External"/><Relationship Id="rId449" Type="http://schemas.openxmlformats.org/officeDocument/2006/relationships/hyperlink" Target="https://www.synapse.org/Synapse:syn55249552/wiki/627179" TargetMode="External"/><Relationship Id="rId1270" Type="http://schemas.openxmlformats.org/officeDocument/2006/relationships/hyperlink" Target="https://digital.lib.washington.edu/researchworks/handle/1773/45396" TargetMode="External"/><Relationship Id="rId440" Type="http://schemas.openxmlformats.org/officeDocument/2006/relationships/hyperlink" Target="https://www.cancerimagingarchive.net/collection/rhuh-gbm/" TargetMode="External"/><Relationship Id="rId1271" Type="http://schemas.openxmlformats.org/officeDocument/2006/relationships/hyperlink" Target="https://github.com/CapsuleEndoscope/EndoSLAM" TargetMode="External"/><Relationship Id="rId1272" Type="http://schemas.openxmlformats.org/officeDocument/2006/relationships/hyperlink" Target="https://arxiv.org/pdf/2001.11190" TargetMode="External"/><Relationship Id="rId1273" Type="http://schemas.openxmlformats.org/officeDocument/2006/relationships/hyperlink" Target="https://drive.google.com/drive/folders/12p0f1nW2rhNIcyZrmeU7GxjcBTdHIqSM" TargetMode="External"/><Relationship Id="rId1274" Type="http://schemas.openxmlformats.org/officeDocument/2006/relationships/hyperlink" Target="https://arxiv.org/abs/2006.16670" TargetMode="External"/><Relationship Id="rId444" Type="http://schemas.openxmlformats.org/officeDocument/2006/relationships/hyperlink" Target="https://www.synapse.org/Synapse:syn54100278/wiki/626542" TargetMode="External"/><Relationship Id="rId1275" Type="http://schemas.openxmlformats.org/officeDocument/2006/relationships/hyperlink" Target="https://github.com/CapsuleEndoscope/EndoSLAM" TargetMode="External"/><Relationship Id="rId443" Type="http://schemas.openxmlformats.org/officeDocument/2006/relationships/hyperlink" Target="https://www.codabench.org/competitions/2139/" TargetMode="External"/><Relationship Id="rId1276" Type="http://schemas.openxmlformats.org/officeDocument/2006/relationships/hyperlink" Target="https://www.kaggle.com/datasets/salmanmaq/m2caiseg" TargetMode="External"/><Relationship Id="rId442" Type="http://schemas.openxmlformats.org/officeDocument/2006/relationships/hyperlink" Target="https://www.codabench.org/competitions/2139/" TargetMode="External"/><Relationship Id="rId1277" Type="http://schemas.openxmlformats.org/officeDocument/2006/relationships/hyperlink" Target="https://arxiv.org/abs/2008.10134" TargetMode="External"/><Relationship Id="rId441" Type="http://schemas.openxmlformats.org/officeDocument/2006/relationships/hyperlink" Target="https://www.codabench.org/competitions/2139/" TargetMode="External"/><Relationship Id="rId1278" Type="http://schemas.openxmlformats.org/officeDocument/2006/relationships/hyperlink" Target="https://www.kaggle.com/datasets/salmanmaq/m2caiseg/download?datasetVersionNumber=1" TargetMode="External"/><Relationship Id="rId1268" Type="http://schemas.openxmlformats.org/officeDocument/2006/relationships/hyperlink" Target="https://github.com/SURA23/Sinus-Surgery-Endoscopic-Image-Datasets?tab=readme-ov-file" TargetMode="External"/><Relationship Id="rId1269" Type="http://schemas.openxmlformats.org/officeDocument/2006/relationships/hyperlink" Target="https://ieeexplore.ieee.org/document/9341556" TargetMode="External"/><Relationship Id="rId437" Type="http://schemas.openxmlformats.org/officeDocument/2006/relationships/hyperlink" Target="https://www.cancerimagingarchive.net/collection/rhuh-gbm/" TargetMode="External"/><Relationship Id="rId436" Type="http://schemas.openxmlformats.org/officeDocument/2006/relationships/hyperlink" Target="https://www.synapse.org/" TargetMode="External"/><Relationship Id="rId435" Type="http://schemas.openxmlformats.org/officeDocument/2006/relationships/hyperlink" Target="https://www.synapse.org/" TargetMode="External"/><Relationship Id="rId434" Type="http://schemas.openxmlformats.org/officeDocument/2006/relationships/hyperlink" Target="https://arxiv.org/abs/2306.00838" TargetMode="External"/><Relationship Id="rId439" Type="http://schemas.openxmlformats.org/officeDocument/2006/relationships/hyperlink" Target="https://www.cancerimagingarchive.net/collection/rhuh-gbm/" TargetMode="External"/><Relationship Id="rId438" Type="http://schemas.openxmlformats.org/officeDocument/2006/relationships/hyperlink" Target="https://www.sciencedirect.com/science/article/pii/S2352340923007023" TargetMode="External"/><Relationship Id="rId1260" Type="http://schemas.openxmlformats.org/officeDocument/2006/relationships/hyperlink" Target="http://amed8k.sundatabase.org/" TargetMode="External"/><Relationship Id="rId1261" Type="http://schemas.openxmlformats.org/officeDocument/2006/relationships/hyperlink" Target="https://www.giejournal.org/article/S0016-5107(20)34655-1/fulltext" TargetMode="External"/><Relationship Id="rId1262" Type="http://schemas.openxmlformats.org/officeDocument/2006/relationships/hyperlink" Target="http://amed8k.sundatabase.org/" TargetMode="External"/><Relationship Id="rId1263" Type="http://schemas.openxmlformats.org/officeDocument/2006/relationships/hyperlink" Target="https://www.ucl.ac.uk/interventional-surgical-sciences/weiss-open-research/weiss-open-data-server/fetoscopy-placenta-data" TargetMode="External"/><Relationship Id="rId433" Type="http://schemas.openxmlformats.org/officeDocument/2006/relationships/hyperlink" Target="https://www.synapse.org/" TargetMode="External"/><Relationship Id="rId1264" Type="http://schemas.openxmlformats.org/officeDocument/2006/relationships/hyperlink" Target="https://arxiv.org/pdf/2007.04349" TargetMode="External"/><Relationship Id="rId432" Type="http://schemas.openxmlformats.org/officeDocument/2006/relationships/hyperlink" Target="https://www.synapse.org/" TargetMode="External"/><Relationship Id="rId1265" Type="http://schemas.openxmlformats.org/officeDocument/2006/relationships/hyperlink" Target="https://www.ucl.ac.uk/interventional-surgical-sciences/weiss-open-research/weiss-open-data-server/fetoscopy-placenta-data" TargetMode="External"/><Relationship Id="rId431" Type="http://schemas.openxmlformats.org/officeDocument/2006/relationships/hyperlink" Target="https://www.synapse.org/" TargetMode="External"/><Relationship Id="rId1266" Type="http://schemas.openxmlformats.org/officeDocument/2006/relationships/hyperlink" Target="https://link.springer.com/article/10.1186/s12880-020-00482-3" TargetMode="External"/><Relationship Id="rId430" Type="http://schemas.openxmlformats.org/officeDocument/2006/relationships/hyperlink" Target="https://arxiv.org/abs/2305.17033" TargetMode="External"/><Relationship Id="rId1267" Type="http://schemas.openxmlformats.org/officeDocument/2006/relationships/hyperlink" Target="https://www.kaggle.com/datasets/mahdieh002/colonoscopy-cp-child?resource=downloa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xxxx" TargetMode="External"/><Relationship Id="rId2" Type="http://schemas.openxmlformats.org/officeDocument/2006/relationships/hyperlink" Target="https://github.com/wkentaro/gdown" TargetMode="External"/><Relationship Id="rId3" Type="http://schemas.openxmlformats.org/officeDocument/2006/relationships/hyperlink" Target="https://drive.google.com/drive/folders/xxxx" TargetMode="External"/><Relationship Id="rId4" Type="http://schemas.openxmlformats.org/officeDocument/2006/relationships/hyperlink" Target="https://www.kaggle.com/docs/api" TargetMode="External"/><Relationship Id="rId9" Type="http://schemas.openxmlformats.org/officeDocument/2006/relationships/hyperlink" Target="https://curl.se/docs/manpage.html" TargetMode="External"/><Relationship Id="rId5" Type="http://schemas.openxmlformats.org/officeDocument/2006/relationships/hyperlink" Target="https://github.com/dvolgyes/zenodo_get" TargetMode="External"/><Relationship Id="rId6" Type="http://schemas.openxmlformats.org/officeDocument/2006/relationships/hyperlink" Target="https://github.com/Azure/azure-storage-azcopy/releases/download/v10.30.1/azcopy_linux_amd64_10.30.1.tar.gz" TargetMode="External"/><Relationship Id="rId7" Type="http://schemas.openxmlformats.org/officeDocument/2006/relationships/hyperlink" Target="https://learn.microsoft.com/en-us/azure/storage/common/storage-use-azcopy-v10" TargetMode="External"/><Relationship Id="rId8" Type="http://schemas.openxmlformats.org/officeDocument/2006/relationships/hyperlink" Target="https://www.gnu.org/software/wget/manual/wget.html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github.com/kirbyju/TCIA_Notebooks/blob/main/Accessing_TCIA_Public_DICOM_data_in_IDC.ipynb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3" width="10.88"/>
    <col customWidth="1" min="4" max="4" width="10.88"/>
    <col customWidth="1" min="5" max="5" width="24.13"/>
    <col customWidth="1" min="6" max="7" width="10.88"/>
    <col customWidth="1" min="8" max="8" width="11.38"/>
    <col customWidth="1" min="9" max="9" width="27.0"/>
    <col customWidth="1" min="10" max="10" width="29.38"/>
    <col customWidth="1" min="12" max="12" width="28.5"/>
    <col customWidth="1" min="13" max="13" width="16.0"/>
    <col hidden="1" min="14" max="20" width="12.63"/>
    <col customWidth="1" hidden="1" min="21" max="21" width="11.63"/>
    <col customWidth="1" hidden="1" min="22" max="22" width="17.13"/>
    <col hidden="1" min="23" max="23" width="12.63"/>
    <col customWidth="1" hidden="1" min="24" max="24" width="9.5"/>
    <col customWidth="1" hidden="1" min="25" max="25" width="8.0"/>
    <col customWidth="1" min="27" max="27" width="51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13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>
      <c r="M2" s="3" t="str">
        <f>COUNTIF(M:M, "US")</f>
        <v>#REF!</v>
      </c>
    </row>
    <row r="3">
      <c r="D3" s="2" t="b">
        <v>1</v>
      </c>
      <c r="E3" s="2" t="s">
        <v>30</v>
      </c>
      <c r="F3" s="2" t="b">
        <v>0</v>
      </c>
      <c r="G3" s="2" t="b">
        <v>0</v>
      </c>
      <c r="H3" s="2" t="b">
        <v>0</v>
      </c>
      <c r="J3" s="2" t="s">
        <v>31</v>
      </c>
      <c r="K3" s="2" t="s">
        <v>32</v>
      </c>
      <c r="L3" s="2" t="s">
        <v>32</v>
      </c>
      <c r="M3" s="2" t="s">
        <v>33</v>
      </c>
      <c r="N3" s="4" t="s">
        <v>34</v>
      </c>
      <c r="O3" s="2" t="s">
        <v>35</v>
      </c>
      <c r="P3" s="2" t="s">
        <v>36</v>
      </c>
      <c r="Q3" s="2"/>
      <c r="R3" s="2" t="s">
        <v>37</v>
      </c>
      <c r="S3" s="2" t="s">
        <v>38</v>
      </c>
      <c r="T3" s="2">
        <v>42.0</v>
      </c>
      <c r="U3" s="2"/>
      <c r="V3" s="2"/>
      <c r="W3" s="2"/>
      <c r="X3" s="2"/>
      <c r="Y3" s="2"/>
      <c r="Z3" s="2"/>
      <c r="AA3" s="5" t="s">
        <v>39</v>
      </c>
      <c r="AD3" s="5" t="s">
        <v>40</v>
      </c>
    </row>
    <row r="4">
      <c r="A4" s="6"/>
      <c r="B4" s="6"/>
      <c r="C4" s="6"/>
      <c r="D4" s="7" t="b">
        <v>1</v>
      </c>
      <c r="E4" s="7" t="s">
        <v>41</v>
      </c>
      <c r="F4" s="7" t="b">
        <v>0</v>
      </c>
      <c r="G4" s="7" t="b">
        <v>0</v>
      </c>
      <c r="H4" s="7" t="b">
        <v>0</v>
      </c>
      <c r="I4" s="6"/>
      <c r="J4" s="8" t="s">
        <v>42</v>
      </c>
      <c r="K4" s="7" t="s">
        <v>32</v>
      </c>
      <c r="L4" s="7" t="s">
        <v>32</v>
      </c>
      <c r="M4" s="7" t="s">
        <v>33</v>
      </c>
      <c r="N4" s="9" t="s">
        <v>34</v>
      </c>
      <c r="O4" s="7" t="s">
        <v>43</v>
      </c>
      <c r="P4" s="7" t="s">
        <v>44</v>
      </c>
      <c r="Q4" s="7"/>
      <c r="R4" s="7" t="s">
        <v>45</v>
      </c>
      <c r="S4" s="6"/>
      <c r="T4" s="7">
        <v>50.0</v>
      </c>
      <c r="U4" s="7"/>
      <c r="V4" s="7"/>
      <c r="W4" s="6"/>
      <c r="X4" s="6"/>
      <c r="Y4" s="6"/>
      <c r="Z4" s="7"/>
      <c r="AA4" s="10" t="s">
        <v>46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>
      <c r="A5" s="11"/>
      <c r="B5" s="11"/>
      <c r="C5" s="11"/>
      <c r="D5" s="12" t="b">
        <v>1</v>
      </c>
      <c r="E5" s="12" t="s">
        <v>47</v>
      </c>
      <c r="F5" s="12" t="b">
        <v>0</v>
      </c>
      <c r="G5" s="12" t="b">
        <v>0</v>
      </c>
      <c r="H5" s="12" t="b">
        <v>0</v>
      </c>
      <c r="I5" s="11"/>
      <c r="J5" s="12" t="s">
        <v>48</v>
      </c>
      <c r="K5" s="12" t="s">
        <v>32</v>
      </c>
      <c r="L5" s="12" t="s">
        <v>32</v>
      </c>
      <c r="M5" s="12" t="s">
        <v>33</v>
      </c>
      <c r="N5" s="13" t="s">
        <v>34</v>
      </c>
      <c r="O5" s="12" t="s">
        <v>49</v>
      </c>
      <c r="P5" s="12" t="s">
        <v>50</v>
      </c>
      <c r="Q5" s="12"/>
      <c r="R5" s="12" t="s">
        <v>45</v>
      </c>
      <c r="S5" s="11"/>
      <c r="T5" s="12">
        <v>473.0</v>
      </c>
      <c r="U5" s="12"/>
      <c r="V5" s="12"/>
      <c r="W5" s="12"/>
      <c r="X5" s="12"/>
      <c r="Y5" s="12"/>
      <c r="Z5" s="12"/>
      <c r="AA5" s="14" t="s">
        <v>51</v>
      </c>
      <c r="AB5" s="11"/>
      <c r="AC5" s="11"/>
      <c r="AD5" s="12" t="s">
        <v>52</v>
      </c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</row>
    <row r="6">
      <c r="A6" s="11"/>
      <c r="B6" s="11"/>
      <c r="C6" s="11"/>
      <c r="D6" s="12" t="b">
        <v>1</v>
      </c>
      <c r="E6" s="12" t="s">
        <v>53</v>
      </c>
      <c r="F6" s="12" t="b">
        <v>0</v>
      </c>
      <c r="G6" s="12" t="b">
        <v>0</v>
      </c>
      <c r="H6" s="12" t="b">
        <v>0</v>
      </c>
      <c r="I6" s="12"/>
      <c r="J6" s="12" t="s">
        <v>54</v>
      </c>
      <c r="K6" s="12" t="s">
        <v>32</v>
      </c>
      <c r="L6" s="12" t="s">
        <v>32</v>
      </c>
      <c r="M6" s="12" t="s">
        <v>33</v>
      </c>
      <c r="N6" s="13" t="s">
        <v>34</v>
      </c>
      <c r="O6" s="12" t="s">
        <v>49</v>
      </c>
      <c r="P6" s="12" t="s">
        <v>55</v>
      </c>
      <c r="Q6" s="12"/>
      <c r="R6" s="12" t="s">
        <v>37</v>
      </c>
      <c r="S6" s="11"/>
      <c r="T6" s="12">
        <v>1024.0</v>
      </c>
      <c r="U6" s="12"/>
      <c r="V6" s="12"/>
      <c r="W6" s="12"/>
      <c r="X6" s="12"/>
      <c r="Y6" s="12"/>
      <c r="Z6" s="12"/>
      <c r="AA6" s="14" t="s">
        <v>56</v>
      </c>
      <c r="AB6" s="11"/>
      <c r="AC6" s="11"/>
      <c r="AD6" s="14" t="s">
        <v>57</v>
      </c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</row>
    <row r="7">
      <c r="D7" s="2" t="b">
        <v>1</v>
      </c>
      <c r="E7" s="2" t="s">
        <v>58</v>
      </c>
      <c r="F7" s="2" t="b">
        <v>0</v>
      </c>
      <c r="G7" s="2" t="b">
        <v>0</v>
      </c>
      <c r="H7" s="2" t="b">
        <v>0</v>
      </c>
      <c r="J7" s="2" t="s">
        <v>58</v>
      </c>
      <c r="K7" s="2" t="s">
        <v>32</v>
      </c>
      <c r="L7" s="2" t="s">
        <v>59</v>
      </c>
      <c r="M7" s="2" t="s">
        <v>60</v>
      </c>
      <c r="N7" s="4" t="s">
        <v>61</v>
      </c>
      <c r="O7" s="2" t="s">
        <v>62</v>
      </c>
      <c r="P7" s="2">
        <v>1018.0</v>
      </c>
      <c r="Q7" s="2"/>
      <c r="R7" s="2" t="s">
        <v>63</v>
      </c>
      <c r="S7" s="2" t="s">
        <v>64</v>
      </c>
      <c r="T7" s="2">
        <v>124.34</v>
      </c>
      <c r="U7" s="2"/>
      <c r="V7" s="2"/>
      <c r="W7" s="2">
        <v>2018.0</v>
      </c>
      <c r="X7" s="2">
        <v>3.0</v>
      </c>
      <c r="Y7" s="2"/>
      <c r="Z7" s="2"/>
      <c r="AA7" s="15" t="s">
        <v>65</v>
      </c>
      <c r="AC7" s="2" t="s">
        <v>66</v>
      </c>
      <c r="AD7" s="15" t="s">
        <v>65</v>
      </c>
    </row>
    <row r="8">
      <c r="D8" s="2" t="b">
        <v>1</v>
      </c>
      <c r="E8" s="2" t="s">
        <v>67</v>
      </c>
      <c r="F8" s="2" t="b">
        <v>0</v>
      </c>
      <c r="G8" s="2" t="b">
        <v>0</v>
      </c>
      <c r="H8" s="2" t="b">
        <v>0</v>
      </c>
      <c r="J8" s="2" t="s">
        <v>68</v>
      </c>
      <c r="K8" s="2" t="s">
        <v>32</v>
      </c>
      <c r="L8" s="2" t="s">
        <v>59</v>
      </c>
      <c r="M8" s="2" t="s">
        <v>60</v>
      </c>
      <c r="N8" s="4" t="s">
        <v>61</v>
      </c>
      <c r="O8" s="2" t="s">
        <v>62</v>
      </c>
      <c r="P8" s="2">
        <v>888.0</v>
      </c>
      <c r="Q8" s="2"/>
      <c r="R8" s="2" t="s">
        <v>69</v>
      </c>
      <c r="S8" s="16" t="s">
        <v>70</v>
      </c>
      <c r="T8" s="2">
        <v>70.0</v>
      </c>
      <c r="U8" s="2"/>
      <c r="V8" s="2"/>
      <c r="W8" s="2">
        <v>2016.0</v>
      </c>
      <c r="X8" s="2">
        <v>3.0</v>
      </c>
      <c r="Y8" s="2"/>
      <c r="Z8" s="2"/>
      <c r="AA8" s="15" t="s">
        <v>71</v>
      </c>
      <c r="AC8" s="2" t="s">
        <v>72</v>
      </c>
    </row>
    <row r="9">
      <c r="A9" s="17"/>
      <c r="B9" s="17"/>
      <c r="C9" s="17"/>
      <c r="D9" s="18" t="b">
        <v>1</v>
      </c>
      <c r="E9" s="18" t="s">
        <v>73</v>
      </c>
      <c r="F9" s="18" t="b">
        <v>0</v>
      </c>
      <c r="G9" s="18" t="b">
        <v>0</v>
      </c>
      <c r="H9" s="18" t="b">
        <v>0</v>
      </c>
      <c r="I9" s="17"/>
      <c r="J9" s="18" t="s">
        <v>74</v>
      </c>
      <c r="K9" s="18" t="s">
        <v>32</v>
      </c>
      <c r="L9" s="18" t="s">
        <v>32</v>
      </c>
      <c r="M9" s="18" t="s">
        <v>75</v>
      </c>
      <c r="N9" s="19" t="s">
        <v>76</v>
      </c>
      <c r="O9" s="18" t="s">
        <v>77</v>
      </c>
      <c r="P9" s="18" t="s">
        <v>78</v>
      </c>
      <c r="Q9" s="18"/>
      <c r="R9" s="18" t="s">
        <v>79</v>
      </c>
      <c r="S9" s="17"/>
      <c r="T9" s="18">
        <v>23.6</v>
      </c>
      <c r="U9" s="18"/>
      <c r="V9" s="18"/>
      <c r="W9" s="18"/>
      <c r="X9" s="18"/>
      <c r="Y9" s="18"/>
      <c r="Z9" s="18"/>
      <c r="AA9" s="20" t="s">
        <v>80</v>
      </c>
      <c r="AB9" s="20" t="s">
        <v>81</v>
      </c>
      <c r="AC9" s="17"/>
      <c r="AD9" s="18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</row>
    <row r="10">
      <c r="D10" s="2" t="b">
        <v>1</v>
      </c>
      <c r="E10" s="2" t="s">
        <v>82</v>
      </c>
      <c r="F10" s="2" t="b">
        <v>0</v>
      </c>
      <c r="G10" s="2" t="b">
        <v>0</v>
      </c>
      <c r="H10" s="2" t="b">
        <v>0</v>
      </c>
      <c r="I10" s="2" t="s">
        <v>83</v>
      </c>
      <c r="J10" s="2" t="s">
        <v>84</v>
      </c>
      <c r="K10" s="2" t="s">
        <v>32</v>
      </c>
      <c r="L10" s="16" t="s">
        <v>32</v>
      </c>
      <c r="M10" s="2" t="s">
        <v>33</v>
      </c>
      <c r="N10" s="4" t="s">
        <v>85</v>
      </c>
      <c r="O10" s="2" t="s">
        <v>86</v>
      </c>
      <c r="P10" s="2" t="s">
        <v>87</v>
      </c>
      <c r="Q10" s="2"/>
      <c r="R10" s="2" t="s">
        <v>37</v>
      </c>
      <c r="S10" s="2" t="s">
        <v>88</v>
      </c>
      <c r="T10" s="2">
        <v>0.02</v>
      </c>
      <c r="U10" s="2"/>
      <c r="V10" s="2"/>
      <c r="W10" s="2">
        <v>2000.0</v>
      </c>
      <c r="X10" s="2">
        <v>2.0</v>
      </c>
      <c r="Y10" s="2"/>
      <c r="Z10" s="2"/>
      <c r="AA10" s="15" t="s">
        <v>89</v>
      </c>
      <c r="AB10" s="2"/>
      <c r="AD10" s="2"/>
    </row>
    <row r="11">
      <c r="D11" s="2" t="b">
        <v>1</v>
      </c>
      <c r="E11" s="2" t="s">
        <v>90</v>
      </c>
      <c r="F11" s="2" t="b">
        <v>0</v>
      </c>
      <c r="G11" s="2" t="b">
        <v>0</v>
      </c>
      <c r="H11" s="2" t="b">
        <v>0</v>
      </c>
      <c r="J11" s="2" t="s">
        <v>91</v>
      </c>
      <c r="K11" s="2" t="s">
        <v>32</v>
      </c>
      <c r="L11" s="16" t="s">
        <v>92</v>
      </c>
      <c r="M11" s="2" t="s">
        <v>33</v>
      </c>
      <c r="N11" s="4" t="s">
        <v>76</v>
      </c>
      <c r="O11" s="2" t="s">
        <v>77</v>
      </c>
      <c r="P11" s="2">
        <v>284.0</v>
      </c>
      <c r="Q11" s="2"/>
      <c r="R11" s="2" t="s">
        <v>69</v>
      </c>
      <c r="S11" s="2" t="s">
        <v>93</v>
      </c>
      <c r="T11" s="2"/>
      <c r="U11" s="2"/>
      <c r="V11" s="2"/>
      <c r="W11" s="2">
        <v>2012.0</v>
      </c>
      <c r="X11" s="2">
        <v>2.0</v>
      </c>
      <c r="Y11" s="2"/>
      <c r="Z11" s="21"/>
      <c r="AA11" s="5" t="s">
        <v>94</v>
      </c>
      <c r="AB11" s="2"/>
      <c r="AD11" s="2"/>
    </row>
    <row r="12">
      <c r="A12" s="22"/>
      <c r="B12" s="22"/>
      <c r="C12" s="22"/>
      <c r="D12" s="23" t="b">
        <v>1</v>
      </c>
      <c r="E12" s="23" t="s">
        <v>95</v>
      </c>
      <c r="F12" s="23" t="b">
        <v>0</v>
      </c>
      <c r="G12" s="23" t="b">
        <v>0</v>
      </c>
      <c r="H12" s="23" t="b">
        <v>0</v>
      </c>
      <c r="I12" s="23" t="s">
        <v>96</v>
      </c>
      <c r="J12" s="23" t="s">
        <v>95</v>
      </c>
      <c r="K12" s="23" t="s">
        <v>32</v>
      </c>
      <c r="L12" s="24" t="s">
        <v>59</v>
      </c>
      <c r="M12" s="23" t="s">
        <v>60</v>
      </c>
      <c r="N12" s="25" t="s">
        <v>76</v>
      </c>
      <c r="O12" s="23" t="s">
        <v>77</v>
      </c>
      <c r="P12" s="23">
        <v>323.0</v>
      </c>
      <c r="Q12" s="23">
        <v>1508.0</v>
      </c>
      <c r="R12" s="23" t="s">
        <v>63</v>
      </c>
      <c r="S12" s="23" t="s">
        <v>97</v>
      </c>
      <c r="T12" s="23">
        <v>0.358</v>
      </c>
      <c r="U12" s="23"/>
      <c r="V12" s="23"/>
      <c r="W12" s="23">
        <v>2015.0</v>
      </c>
      <c r="X12" s="23">
        <v>3.0</v>
      </c>
      <c r="Y12" s="23"/>
      <c r="Z12" s="26"/>
      <c r="AA12" s="27" t="s">
        <v>98</v>
      </c>
      <c r="AB12" s="23"/>
      <c r="AC12" s="23" t="s">
        <v>66</v>
      </c>
      <c r="AD12" s="23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</row>
    <row r="13">
      <c r="D13" s="2" t="b">
        <v>1</v>
      </c>
      <c r="E13" s="2" t="s">
        <v>99</v>
      </c>
      <c r="F13" s="2" t="b">
        <v>0</v>
      </c>
      <c r="G13" s="2" t="b">
        <v>0</v>
      </c>
      <c r="H13" s="2" t="b">
        <v>0</v>
      </c>
      <c r="J13" s="2" t="s">
        <v>100</v>
      </c>
      <c r="K13" s="2" t="s">
        <v>32</v>
      </c>
      <c r="L13" s="2" t="s">
        <v>59</v>
      </c>
      <c r="M13" s="2" t="s">
        <v>33</v>
      </c>
      <c r="N13" s="4" t="s">
        <v>85</v>
      </c>
      <c r="O13" s="2" t="s">
        <v>101</v>
      </c>
      <c r="P13" s="2">
        <v>566.0</v>
      </c>
      <c r="Q13" s="2"/>
      <c r="R13" s="2" t="s">
        <v>37</v>
      </c>
      <c r="S13" s="16" t="s">
        <v>102</v>
      </c>
      <c r="T13" s="2">
        <v>3.77</v>
      </c>
      <c r="U13" s="2"/>
      <c r="V13" s="2"/>
      <c r="W13" s="2">
        <v>2018.0</v>
      </c>
      <c r="X13" s="2">
        <v>2.0</v>
      </c>
      <c r="Y13" s="2"/>
      <c r="Z13" s="21"/>
      <c r="AA13" s="5" t="s">
        <v>103</v>
      </c>
      <c r="AB13" s="15" t="s">
        <v>104</v>
      </c>
      <c r="AC13" s="2" t="s">
        <v>105</v>
      </c>
      <c r="AD13" s="2"/>
    </row>
    <row r="14">
      <c r="A14" s="22"/>
      <c r="B14" s="22"/>
      <c r="C14" s="22"/>
      <c r="D14" s="23" t="b">
        <v>0</v>
      </c>
      <c r="E14" s="22"/>
      <c r="F14" s="23" t="b">
        <v>1</v>
      </c>
      <c r="G14" s="23" t="b">
        <v>0</v>
      </c>
      <c r="H14" s="23" t="b">
        <v>0</v>
      </c>
      <c r="I14" s="23" t="s">
        <v>106</v>
      </c>
      <c r="J14" s="23" t="s">
        <v>107</v>
      </c>
      <c r="K14" s="23" t="s">
        <v>32</v>
      </c>
      <c r="L14" s="23" t="s">
        <v>32</v>
      </c>
      <c r="M14" s="23" t="s">
        <v>108</v>
      </c>
      <c r="N14" s="25" t="s">
        <v>76</v>
      </c>
      <c r="O14" s="23" t="s">
        <v>77</v>
      </c>
      <c r="P14" s="23">
        <v>163.0</v>
      </c>
      <c r="Q14" s="23">
        <v>163.0</v>
      </c>
      <c r="R14" s="23" t="s">
        <v>37</v>
      </c>
      <c r="S14" s="24" t="s">
        <v>109</v>
      </c>
      <c r="T14" s="23">
        <v>0.077</v>
      </c>
      <c r="U14" s="23"/>
      <c r="V14" s="23"/>
      <c r="W14" s="23">
        <v>2018.0</v>
      </c>
      <c r="X14" s="23">
        <v>2.0</v>
      </c>
      <c r="Y14" s="23"/>
      <c r="Z14" s="26"/>
      <c r="AA14" s="27" t="s">
        <v>110</v>
      </c>
      <c r="AB14" s="28" t="s">
        <v>111</v>
      </c>
      <c r="AC14" s="22"/>
      <c r="AD14" s="23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</row>
    <row r="15">
      <c r="D15" s="2" t="b">
        <v>1</v>
      </c>
      <c r="E15" s="2" t="s">
        <v>112</v>
      </c>
      <c r="F15" s="2" t="b">
        <v>0</v>
      </c>
      <c r="G15" s="2" t="b">
        <v>0</v>
      </c>
      <c r="H15" s="2" t="b">
        <v>0</v>
      </c>
      <c r="J15" s="2" t="s">
        <v>113</v>
      </c>
      <c r="K15" s="2" t="s">
        <v>32</v>
      </c>
      <c r="L15" s="2" t="s">
        <v>59</v>
      </c>
      <c r="M15" s="2" t="s">
        <v>60</v>
      </c>
      <c r="N15" s="4" t="s">
        <v>76</v>
      </c>
      <c r="O15" s="2" t="s">
        <v>77</v>
      </c>
      <c r="P15" s="2">
        <v>35.0</v>
      </c>
      <c r="Q15" s="2"/>
      <c r="R15" s="2" t="s">
        <v>63</v>
      </c>
      <c r="S15" s="16" t="s">
        <v>114</v>
      </c>
      <c r="T15" s="2">
        <v>4.63</v>
      </c>
      <c r="U15" s="2"/>
      <c r="V15" s="2"/>
      <c r="W15" s="2">
        <v>2018.0</v>
      </c>
      <c r="X15" s="2">
        <v>3.0</v>
      </c>
      <c r="Y15" s="2"/>
      <c r="Z15" s="2"/>
      <c r="AA15" s="15" t="s">
        <v>115</v>
      </c>
      <c r="AB15" s="15" t="s">
        <v>116</v>
      </c>
      <c r="AC15" s="2" t="s">
        <v>105</v>
      </c>
      <c r="AD15" s="5" t="s">
        <v>117</v>
      </c>
    </row>
    <row r="16">
      <c r="D16" s="2" t="b">
        <v>1</v>
      </c>
      <c r="E16" s="2" t="s">
        <v>118</v>
      </c>
      <c r="F16" s="2" t="b">
        <v>0</v>
      </c>
      <c r="G16" s="2" t="b">
        <v>0</v>
      </c>
      <c r="H16" s="2" t="b">
        <v>0</v>
      </c>
      <c r="I16" s="2" t="s">
        <v>119</v>
      </c>
      <c r="J16" s="2" t="s">
        <v>118</v>
      </c>
      <c r="K16" s="2" t="s">
        <v>32</v>
      </c>
      <c r="L16" s="2" t="s">
        <v>59</v>
      </c>
      <c r="M16" s="2" t="s">
        <v>60</v>
      </c>
      <c r="N16" s="4" t="s">
        <v>76</v>
      </c>
      <c r="O16" s="2" t="s">
        <v>77</v>
      </c>
      <c r="P16" s="2">
        <v>31.0</v>
      </c>
      <c r="Q16" s="2"/>
      <c r="R16" s="2" t="s">
        <v>63</v>
      </c>
      <c r="S16" s="16" t="s">
        <v>120</v>
      </c>
      <c r="T16" s="2">
        <v>6.42</v>
      </c>
      <c r="U16" s="2"/>
      <c r="V16" s="2"/>
      <c r="W16" s="2">
        <v>2018.0</v>
      </c>
      <c r="X16" s="2">
        <v>3.0</v>
      </c>
      <c r="Y16" s="2"/>
      <c r="Z16" s="21"/>
      <c r="AA16" s="5" t="s">
        <v>121</v>
      </c>
      <c r="AB16" s="15" t="s">
        <v>122</v>
      </c>
      <c r="AC16" s="2" t="s">
        <v>66</v>
      </c>
      <c r="AD16" s="15" t="s">
        <v>121</v>
      </c>
    </row>
    <row r="17">
      <c r="A17" s="22"/>
      <c r="B17" s="22"/>
      <c r="C17" s="22"/>
      <c r="D17" s="23" t="b">
        <v>0</v>
      </c>
      <c r="E17" s="22"/>
      <c r="F17" s="23" t="b">
        <v>0</v>
      </c>
      <c r="G17" s="23" t="b">
        <v>1</v>
      </c>
      <c r="H17" s="23" t="b">
        <v>0</v>
      </c>
      <c r="I17" s="23" t="s">
        <v>123</v>
      </c>
      <c r="J17" s="23" t="s">
        <v>124</v>
      </c>
      <c r="K17" s="23" t="s">
        <v>32</v>
      </c>
      <c r="L17" s="23" t="s">
        <v>32</v>
      </c>
      <c r="M17" s="23" t="s">
        <v>60</v>
      </c>
      <c r="N17" s="25" t="s">
        <v>76</v>
      </c>
      <c r="O17" s="23" t="s">
        <v>77</v>
      </c>
      <c r="P17" s="23">
        <v>50.0</v>
      </c>
      <c r="Q17" s="23"/>
      <c r="R17" s="23" t="s">
        <v>79</v>
      </c>
      <c r="S17" s="24" t="s">
        <v>125</v>
      </c>
      <c r="T17" s="23"/>
      <c r="U17" s="23"/>
      <c r="V17" s="23"/>
      <c r="W17" s="23">
        <v>2019.0</v>
      </c>
      <c r="X17" s="23">
        <v>3.0</v>
      </c>
      <c r="Y17" s="23"/>
      <c r="Z17" s="26"/>
      <c r="AA17" s="27" t="s">
        <v>126</v>
      </c>
      <c r="AB17" s="23"/>
      <c r="AC17" s="23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</row>
    <row r="18">
      <c r="D18" s="2" t="b">
        <v>1</v>
      </c>
      <c r="E18" s="2" t="s">
        <v>127</v>
      </c>
      <c r="F18" s="2" t="b">
        <v>0</v>
      </c>
      <c r="G18" s="2" t="b">
        <v>0</v>
      </c>
      <c r="H18" s="2" t="b">
        <v>0</v>
      </c>
      <c r="J18" s="2" t="s">
        <v>128</v>
      </c>
      <c r="K18" s="2" t="s">
        <v>32</v>
      </c>
      <c r="L18" s="2" t="s">
        <v>59</v>
      </c>
      <c r="M18" s="2" t="s">
        <v>33</v>
      </c>
      <c r="N18" s="4" t="s">
        <v>85</v>
      </c>
      <c r="O18" s="2" t="s">
        <v>101</v>
      </c>
      <c r="P18" s="2">
        <v>12047.0</v>
      </c>
      <c r="Q18" s="2">
        <v>12047.0</v>
      </c>
      <c r="R18" s="2" t="s">
        <v>37</v>
      </c>
      <c r="S18" s="16" t="s">
        <v>38</v>
      </c>
      <c r="T18" s="2">
        <v>4.89</v>
      </c>
      <c r="U18" s="2"/>
      <c r="V18" s="2"/>
      <c r="W18" s="2">
        <v>2019.0</v>
      </c>
      <c r="X18" s="2">
        <v>2.0</v>
      </c>
      <c r="Y18" s="2"/>
      <c r="Z18" s="21"/>
      <c r="AA18" s="5" t="s">
        <v>129</v>
      </c>
      <c r="AB18" s="2"/>
      <c r="AC18" s="2" t="s">
        <v>105</v>
      </c>
      <c r="AD18" s="5" t="s">
        <v>129</v>
      </c>
    </row>
    <row r="19">
      <c r="A19" s="22"/>
      <c r="B19" s="22"/>
      <c r="C19" s="22"/>
      <c r="D19" s="23" t="b">
        <v>0</v>
      </c>
      <c r="E19" s="22"/>
      <c r="F19" s="23" t="b">
        <v>0</v>
      </c>
      <c r="G19" s="23" t="b">
        <v>1</v>
      </c>
      <c r="H19" s="23" t="b">
        <v>0</v>
      </c>
      <c r="I19" s="23" t="s">
        <v>123</v>
      </c>
      <c r="J19" s="23" t="s">
        <v>130</v>
      </c>
      <c r="K19" s="23" t="s">
        <v>32</v>
      </c>
      <c r="L19" s="23" t="s">
        <v>32</v>
      </c>
      <c r="M19" s="23" t="s">
        <v>60</v>
      </c>
      <c r="N19" s="25" t="s">
        <v>76</v>
      </c>
      <c r="O19" s="23" t="s">
        <v>77</v>
      </c>
      <c r="P19" s="23">
        <v>50.0</v>
      </c>
      <c r="Q19" s="23"/>
      <c r="R19" s="23" t="s">
        <v>79</v>
      </c>
      <c r="S19" s="24" t="s">
        <v>125</v>
      </c>
      <c r="T19" s="23"/>
      <c r="U19" s="23"/>
      <c r="V19" s="23"/>
      <c r="W19" s="23">
        <v>2019.0</v>
      </c>
      <c r="X19" s="23">
        <v>3.0</v>
      </c>
      <c r="Y19" s="23"/>
      <c r="Z19" s="26"/>
      <c r="AA19" s="27" t="s">
        <v>126</v>
      </c>
      <c r="AB19" s="23"/>
      <c r="AC19" s="23"/>
      <c r="AD19" s="26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</row>
    <row r="20">
      <c r="A20" s="22"/>
      <c r="B20" s="22"/>
      <c r="C20" s="22"/>
      <c r="D20" s="23" t="b">
        <v>0</v>
      </c>
      <c r="E20" s="22"/>
      <c r="F20" s="23" t="b">
        <v>0</v>
      </c>
      <c r="G20" s="23" t="b">
        <v>1</v>
      </c>
      <c r="H20" s="23" t="b">
        <v>0</v>
      </c>
      <c r="I20" s="23" t="s">
        <v>131</v>
      </c>
      <c r="J20" s="23" t="s">
        <v>132</v>
      </c>
      <c r="K20" s="23" t="s">
        <v>32</v>
      </c>
      <c r="L20" s="23" t="s">
        <v>32</v>
      </c>
      <c r="M20" s="23" t="s">
        <v>60</v>
      </c>
      <c r="N20" s="25" t="s">
        <v>76</v>
      </c>
      <c r="O20" s="23" t="s">
        <v>77</v>
      </c>
      <c r="P20" s="23">
        <v>60.0</v>
      </c>
      <c r="Q20" s="23"/>
      <c r="R20" s="23" t="s">
        <v>79</v>
      </c>
      <c r="S20" s="24" t="s">
        <v>133</v>
      </c>
      <c r="T20" s="23"/>
      <c r="U20" s="23"/>
      <c r="V20" s="23"/>
      <c r="W20" s="23">
        <v>2019.0</v>
      </c>
      <c r="X20" s="23">
        <v>3.0</v>
      </c>
      <c r="Y20" s="23"/>
      <c r="Z20" s="26"/>
      <c r="AA20" s="27" t="s">
        <v>134</v>
      </c>
      <c r="AB20" s="28" t="s">
        <v>135</v>
      </c>
      <c r="AC20" s="23"/>
      <c r="AD20" s="26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</row>
    <row r="21">
      <c r="A21" s="22"/>
      <c r="B21" s="22"/>
      <c r="C21" s="22"/>
      <c r="D21" s="23" t="b">
        <v>1</v>
      </c>
      <c r="E21" s="23" t="s">
        <v>136</v>
      </c>
      <c r="F21" s="23" t="b">
        <v>0</v>
      </c>
      <c r="G21" s="23" t="b">
        <v>0</v>
      </c>
      <c r="H21" s="23" t="b">
        <v>0</v>
      </c>
      <c r="I21" s="22"/>
      <c r="J21" s="24" t="s">
        <v>137</v>
      </c>
      <c r="K21" s="23" t="s">
        <v>32</v>
      </c>
      <c r="L21" s="24" t="s">
        <v>32</v>
      </c>
      <c r="M21" s="24" t="s">
        <v>60</v>
      </c>
      <c r="N21" s="24" t="s">
        <v>76</v>
      </c>
      <c r="O21" s="23" t="s">
        <v>77</v>
      </c>
      <c r="P21" s="29">
        <v>96.0</v>
      </c>
      <c r="Q21" s="24"/>
      <c r="R21" s="24" t="s">
        <v>138</v>
      </c>
      <c r="S21" s="24" t="s">
        <v>139</v>
      </c>
      <c r="T21" s="23"/>
      <c r="U21" s="23"/>
      <c r="V21" s="23"/>
      <c r="W21" s="29">
        <v>2019.0</v>
      </c>
      <c r="X21" s="29">
        <v>3.0</v>
      </c>
      <c r="Y21" s="29"/>
      <c r="Z21" s="30"/>
      <c r="AA21" s="30" t="s">
        <v>140</v>
      </c>
      <c r="AB21" s="24" t="s">
        <v>141</v>
      </c>
      <c r="AC21" s="24"/>
      <c r="AD21" s="30" t="s">
        <v>142</v>
      </c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2"/>
      <c r="AP21" s="22"/>
      <c r="AQ21" s="22"/>
      <c r="AR21" s="22"/>
      <c r="AS21" s="22"/>
      <c r="AT21" s="22"/>
      <c r="AU21" s="22"/>
      <c r="AV21" s="22"/>
    </row>
    <row r="22">
      <c r="D22" s="2" t="b">
        <v>1</v>
      </c>
      <c r="F22" s="2" t="b">
        <v>0</v>
      </c>
      <c r="G22" s="2" t="b">
        <v>0</v>
      </c>
      <c r="H22" s="2" t="b">
        <v>0</v>
      </c>
      <c r="J22" s="16" t="s">
        <v>143</v>
      </c>
      <c r="K22" s="2" t="s">
        <v>32</v>
      </c>
      <c r="L22" s="16" t="s">
        <v>32</v>
      </c>
      <c r="M22" s="16" t="s">
        <v>60</v>
      </c>
      <c r="N22" s="16" t="s">
        <v>76</v>
      </c>
      <c r="O22" s="2" t="s">
        <v>77</v>
      </c>
      <c r="P22" s="16" t="s">
        <v>144</v>
      </c>
      <c r="Q22" s="16"/>
      <c r="R22" s="16" t="s">
        <v>138</v>
      </c>
      <c r="S22" s="16" t="s">
        <v>145</v>
      </c>
      <c r="T22" s="2">
        <v>67.9</v>
      </c>
      <c r="U22" s="2"/>
      <c r="V22" s="2"/>
      <c r="W22" s="31">
        <v>2019.0</v>
      </c>
      <c r="X22" s="31">
        <v>3.0</v>
      </c>
      <c r="Y22" s="31"/>
      <c r="Z22" s="32"/>
      <c r="AA22" s="32" t="s">
        <v>146</v>
      </c>
      <c r="AB22" s="32" t="s">
        <v>147</v>
      </c>
      <c r="AC22" s="16"/>
      <c r="AD22" s="32" t="s">
        <v>148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>
      <c r="D23" s="2" t="b">
        <v>1</v>
      </c>
      <c r="E23" s="2" t="s">
        <v>149</v>
      </c>
      <c r="F23" s="2" t="b">
        <v>0</v>
      </c>
      <c r="G23" s="2" t="b">
        <v>0</v>
      </c>
      <c r="H23" s="2" t="b">
        <v>0</v>
      </c>
      <c r="J23" s="16" t="s">
        <v>150</v>
      </c>
      <c r="K23" s="2" t="s">
        <v>32</v>
      </c>
      <c r="L23" s="16" t="s">
        <v>32</v>
      </c>
      <c r="M23" s="16" t="s">
        <v>108</v>
      </c>
      <c r="N23" s="4" t="s">
        <v>85</v>
      </c>
      <c r="O23" s="2" t="s">
        <v>101</v>
      </c>
      <c r="P23" s="31">
        <v>780.0</v>
      </c>
      <c r="Q23" s="16"/>
      <c r="R23" s="16" t="s">
        <v>37</v>
      </c>
      <c r="S23" s="16" t="s">
        <v>151</v>
      </c>
      <c r="T23" s="2">
        <v>0.027</v>
      </c>
      <c r="U23" s="2"/>
      <c r="V23" s="2"/>
      <c r="W23" s="31">
        <v>2019.0</v>
      </c>
      <c r="X23" s="31">
        <v>2.0</v>
      </c>
      <c r="Y23" s="31"/>
      <c r="Z23" s="32"/>
      <c r="AA23" s="33" t="s">
        <v>152</v>
      </c>
      <c r="AB23" s="32" t="s">
        <v>153</v>
      </c>
      <c r="AC23" s="16"/>
      <c r="AD23" s="32" t="s">
        <v>152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>
      <c r="A24" s="22"/>
      <c r="B24" s="22"/>
      <c r="C24" s="22"/>
      <c r="D24" s="23" t="b">
        <v>1</v>
      </c>
      <c r="E24" s="23" t="s">
        <v>154</v>
      </c>
      <c r="F24" s="23" t="b">
        <v>0</v>
      </c>
      <c r="G24" s="23" t="b">
        <v>0</v>
      </c>
      <c r="H24" s="23" t="b">
        <v>0</v>
      </c>
      <c r="I24" s="23" t="s">
        <v>155</v>
      </c>
      <c r="J24" s="24" t="s">
        <v>154</v>
      </c>
      <c r="K24" s="23" t="s">
        <v>32</v>
      </c>
      <c r="L24" s="24" t="s">
        <v>59</v>
      </c>
      <c r="M24" s="24" t="s">
        <v>60</v>
      </c>
      <c r="N24" s="24" t="s">
        <v>76</v>
      </c>
      <c r="O24" s="23" t="s">
        <v>77</v>
      </c>
      <c r="P24" s="29">
        <v>59.0</v>
      </c>
      <c r="Q24" s="24"/>
      <c r="R24" s="24" t="s">
        <v>63</v>
      </c>
      <c r="S24" s="24" t="s">
        <v>156</v>
      </c>
      <c r="T24" s="23">
        <v>10.37</v>
      </c>
      <c r="U24" s="23"/>
      <c r="V24" s="23"/>
      <c r="W24" s="29">
        <v>2020.0</v>
      </c>
      <c r="X24" s="29">
        <v>3.0</v>
      </c>
      <c r="Y24" s="29"/>
      <c r="Z24" s="30"/>
      <c r="AA24" s="30" t="s">
        <v>157</v>
      </c>
      <c r="AB24" s="30" t="s">
        <v>158</v>
      </c>
      <c r="AC24" s="24"/>
      <c r="AD24" s="30" t="s">
        <v>157</v>
      </c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2"/>
      <c r="AP24" s="22"/>
      <c r="AQ24" s="22"/>
      <c r="AR24" s="22"/>
      <c r="AS24" s="22"/>
      <c r="AT24" s="22"/>
      <c r="AU24" s="22"/>
      <c r="AV24" s="22"/>
    </row>
    <row r="25">
      <c r="D25" s="2" t="b">
        <v>1</v>
      </c>
      <c r="E25" s="2" t="s">
        <v>159</v>
      </c>
      <c r="F25" s="2" t="b">
        <v>0</v>
      </c>
      <c r="G25" s="2" t="b">
        <v>0</v>
      </c>
      <c r="H25" s="2" t="b">
        <v>0</v>
      </c>
      <c r="J25" s="16" t="s">
        <v>159</v>
      </c>
      <c r="K25" s="2" t="s">
        <v>32</v>
      </c>
      <c r="L25" s="16" t="s">
        <v>160</v>
      </c>
      <c r="M25" s="16" t="s">
        <v>60</v>
      </c>
      <c r="N25" s="16" t="s">
        <v>76</v>
      </c>
      <c r="O25" s="2" t="s">
        <v>77</v>
      </c>
      <c r="P25" s="31">
        <v>402.0</v>
      </c>
      <c r="Q25" s="16"/>
      <c r="R25" s="16" t="s">
        <v>161</v>
      </c>
      <c r="S25" s="16" t="s">
        <v>162</v>
      </c>
      <c r="T25" s="2">
        <v>39.36</v>
      </c>
      <c r="U25" s="2"/>
      <c r="V25" s="2"/>
      <c r="W25" s="31">
        <v>2020.0</v>
      </c>
      <c r="X25" s="31">
        <v>3.0</v>
      </c>
      <c r="Y25" s="31"/>
      <c r="Z25" s="32"/>
      <c r="AA25" s="32" t="s">
        <v>163</v>
      </c>
      <c r="AB25" s="32" t="s">
        <v>164</v>
      </c>
      <c r="AC25" s="16"/>
      <c r="AD25" s="32" t="s">
        <v>163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>
      <c r="D26" s="2" t="b">
        <v>1</v>
      </c>
      <c r="E26" s="2" t="s">
        <v>165</v>
      </c>
      <c r="F26" s="2" t="b">
        <v>0</v>
      </c>
      <c r="G26" s="2" t="b">
        <v>0</v>
      </c>
      <c r="H26" s="2" t="b">
        <v>0</v>
      </c>
      <c r="J26" s="16" t="s">
        <v>166</v>
      </c>
      <c r="K26" s="2" t="s">
        <v>32</v>
      </c>
      <c r="L26" s="16" t="s">
        <v>32</v>
      </c>
      <c r="M26" s="16" t="s">
        <v>60</v>
      </c>
      <c r="N26" s="16" t="s">
        <v>34</v>
      </c>
      <c r="O26" s="4" t="s">
        <v>167</v>
      </c>
      <c r="P26" s="31">
        <v>2482.0</v>
      </c>
      <c r="Q26" s="16"/>
      <c r="R26" s="16" t="s">
        <v>37</v>
      </c>
      <c r="S26" s="16" t="s">
        <v>168</v>
      </c>
      <c r="T26" s="2">
        <v>0.106</v>
      </c>
      <c r="U26" s="2"/>
      <c r="V26" s="2"/>
      <c r="W26" s="31">
        <v>2020.0</v>
      </c>
      <c r="X26" s="31">
        <v>2.0</v>
      </c>
      <c r="Y26" s="31"/>
      <c r="Z26" s="32"/>
      <c r="AA26" s="32" t="s">
        <v>169</v>
      </c>
      <c r="AB26" s="32" t="s">
        <v>170</v>
      </c>
      <c r="AC26" s="16"/>
      <c r="AD26" s="32" t="s">
        <v>169</v>
      </c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>
      <c r="D27" s="2" t="b">
        <v>1</v>
      </c>
      <c r="E27" s="2" t="s">
        <v>171</v>
      </c>
      <c r="F27" s="2" t="b">
        <v>0</v>
      </c>
      <c r="G27" s="2" t="b">
        <v>0</v>
      </c>
      <c r="H27" s="2" t="b">
        <v>0</v>
      </c>
      <c r="J27" s="16" t="s">
        <v>172</v>
      </c>
      <c r="K27" s="2" t="s">
        <v>32</v>
      </c>
      <c r="L27" s="16" t="s">
        <v>32</v>
      </c>
      <c r="M27" s="16" t="s">
        <v>60</v>
      </c>
      <c r="N27" s="16" t="s">
        <v>34</v>
      </c>
      <c r="O27" s="4" t="s">
        <v>167</v>
      </c>
      <c r="P27" s="31">
        <v>746.0</v>
      </c>
      <c r="Q27" s="16"/>
      <c r="R27" s="16" t="s">
        <v>173</v>
      </c>
      <c r="S27" s="16" t="s">
        <v>174</v>
      </c>
      <c r="T27" s="2"/>
      <c r="U27" s="2"/>
      <c r="V27" s="2"/>
      <c r="W27" s="31">
        <v>2020.0</v>
      </c>
      <c r="X27" s="31">
        <v>2.0</v>
      </c>
      <c r="Y27" s="31"/>
      <c r="Z27" s="32"/>
      <c r="AA27" s="32" t="s">
        <v>175</v>
      </c>
      <c r="AB27" s="32" t="s">
        <v>176</v>
      </c>
      <c r="AC27" s="16"/>
      <c r="AD27" s="32" t="s">
        <v>175</v>
      </c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>
      <c r="D28" s="2" t="b">
        <v>1</v>
      </c>
      <c r="E28" s="2" t="s">
        <v>177</v>
      </c>
      <c r="F28" s="2" t="b">
        <v>0</v>
      </c>
      <c r="G28" s="2" t="b">
        <v>0</v>
      </c>
      <c r="H28" s="2" t="b">
        <v>0</v>
      </c>
      <c r="J28" s="16" t="s">
        <v>178</v>
      </c>
      <c r="K28" s="2" t="s">
        <v>32</v>
      </c>
      <c r="L28" s="16" t="s">
        <v>32</v>
      </c>
      <c r="M28" s="16" t="s">
        <v>179</v>
      </c>
      <c r="N28" s="4" t="s">
        <v>85</v>
      </c>
      <c r="O28" s="2" t="s">
        <v>101</v>
      </c>
      <c r="P28" s="31">
        <v>5910.0</v>
      </c>
      <c r="Q28" s="16"/>
      <c r="R28" s="16" t="s">
        <v>37</v>
      </c>
      <c r="S28" s="16" t="s">
        <v>180</v>
      </c>
      <c r="T28" s="2">
        <v>1.13</v>
      </c>
      <c r="U28" s="2"/>
      <c r="V28" s="2"/>
      <c r="W28" s="31">
        <v>2020.0</v>
      </c>
      <c r="X28" s="31">
        <v>2.0</v>
      </c>
      <c r="Y28" s="31"/>
      <c r="Z28" s="32"/>
      <c r="AA28" s="32" t="s">
        <v>181</v>
      </c>
      <c r="AB28" s="32" t="s">
        <v>182</v>
      </c>
      <c r="AC28" s="16"/>
      <c r="AD28" s="32" t="s">
        <v>181</v>
      </c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>
      <c r="D29" s="2" t="b">
        <v>1</v>
      </c>
      <c r="E29" s="2" t="s">
        <v>183</v>
      </c>
      <c r="F29" s="2" t="b">
        <v>0</v>
      </c>
      <c r="G29" s="2" t="b">
        <v>0</v>
      </c>
      <c r="H29" s="2" t="b">
        <v>0</v>
      </c>
      <c r="J29" s="16" t="s">
        <v>184</v>
      </c>
      <c r="K29" s="2" t="s">
        <v>32</v>
      </c>
      <c r="L29" s="16" t="s">
        <v>32</v>
      </c>
      <c r="M29" s="16" t="s">
        <v>33</v>
      </c>
      <c r="N29" s="16" t="s">
        <v>34</v>
      </c>
      <c r="O29" s="4" t="s">
        <v>167</v>
      </c>
      <c r="P29" s="31">
        <v>852.0</v>
      </c>
      <c r="Q29" s="16"/>
      <c r="R29" s="16" t="s">
        <v>45</v>
      </c>
      <c r="S29" s="16" t="s">
        <v>185</v>
      </c>
      <c r="T29" s="2"/>
      <c r="U29" s="2"/>
      <c r="V29" s="2"/>
      <c r="W29" s="31">
        <v>2020.0</v>
      </c>
      <c r="X29" s="31">
        <v>2.0</v>
      </c>
      <c r="Y29" s="31"/>
      <c r="Z29" s="32"/>
      <c r="AA29" s="32" t="s">
        <v>186</v>
      </c>
      <c r="AB29" s="32" t="s">
        <v>187</v>
      </c>
      <c r="AC29" s="16"/>
      <c r="AD29" s="16" t="s">
        <v>188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>
      <c r="D30" s="2" t="b">
        <v>1</v>
      </c>
      <c r="E30" s="2" t="s">
        <v>189</v>
      </c>
      <c r="F30" s="2" t="b">
        <v>0</v>
      </c>
      <c r="G30" s="2" t="b">
        <v>0</v>
      </c>
      <c r="H30" s="2" t="b">
        <v>0</v>
      </c>
      <c r="J30" s="16" t="s">
        <v>189</v>
      </c>
      <c r="K30" s="2" t="s">
        <v>32</v>
      </c>
      <c r="L30" s="16" t="s">
        <v>32</v>
      </c>
      <c r="M30" s="16" t="s">
        <v>33</v>
      </c>
      <c r="N30" s="16" t="s">
        <v>34</v>
      </c>
      <c r="O30" s="4" t="s">
        <v>167</v>
      </c>
      <c r="P30" s="31">
        <v>5334.0</v>
      </c>
      <c r="Q30" s="16"/>
      <c r="R30" s="16" t="s">
        <v>37</v>
      </c>
      <c r="S30" s="16" t="s">
        <v>190</v>
      </c>
      <c r="T30" s="2">
        <v>36.05</v>
      </c>
      <c r="U30" s="2"/>
      <c r="V30" s="2"/>
      <c r="W30" s="31">
        <v>2021.0</v>
      </c>
      <c r="X30" s="31">
        <v>2.0</v>
      </c>
      <c r="Y30" s="31"/>
      <c r="Z30" s="32"/>
      <c r="AA30" s="32" t="s">
        <v>191</v>
      </c>
      <c r="AB30" s="32" t="s">
        <v>192</v>
      </c>
      <c r="AC30" s="16"/>
      <c r="AD30" s="32" t="s">
        <v>191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>
      <c r="D31" s="2" t="b">
        <v>1</v>
      </c>
      <c r="E31" s="2" t="s">
        <v>193</v>
      </c>
      <c r="F31" s="2" t="b">
        <v>0</v>
      </c>
      <c r="G31" s="2" t="b">
        <v>0</v>
      </c>
      <c r="H31" s="2" t="b">
        <v>0</v>
      </c>
      <c r="J31" s="16" t="s">
        <v>194</v>
      </c>
      <c r="K31" s="2" t="s">
        <v>32</v>
      </c>
      <c r="L31" s="16" t="s">
        <v>32</v>
      </c>
      <c r="M31" s="16" t="s">
        <v>33</v>
      </c>
      <c r="N31" s="16" t="s">
        <v>34</v>
      </c>
      <c r="O31" s="4" t="s">
        <v>167</v>
      </c>
      <c r="P31" s="31">
        <v>7597.0</v>
      </c>
      <c r="Q31" s="16"/>
      <c r="R31" s="16" t="s">
        <v>195</v>
      </c>
      <c r="S31" s="16" t="s">
        <v>196</v>
      </c>
      <c r="T31" s="2">
        <v>330.0</v>
      </c>
      <c r="U31" s="2"/>
      <c r="V31" s="2"/>
      <c r="W31" s="31">
        <v>2021.0</v>
      </c>
      <c r="X31" s="31">
        <v>2.0</v>
      </c>
      <c r="Y31" s="31"/>
      <c r="Z31" s="34"/>
      <c r="AA31" s="33" t="s">
        <v>197</v>
      </c>
      <c r="AB31" s="32" t="s">
        <v>198</v>
      </c>
      <c r="AC31" s="16"/>
      <c r="AD31" s="32" t="s">
        <v>197</v>
      </c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>
      <c r="D32" s="2" t="b">
        <v>1</v>
      </c>
      <c r="E32" s="2" t="s">
        <v>199</v>
      </c>
      <c r="F32" s="2" t="b">
        <v>0</v>
      </c>
      <c r="G32" s="2" t="b">
        <v>0</v>
      </c>
      <c r="H32" s="2" t="b">
        <v>0</v>
      </c>
      <c r="J32" s="16" t="s">
        <v>199</v>
      </c>
      <c r="K32" s="2" t="s">
        <v>32</v>
      </c>
      <c r="L32" s="16" t="s">
        <v>59</v>
      </c>
      <c r="M32" s="16" t="s">
        <v>200</v>
      </c>
      <c r="N32" s="16" t="s">
        <v>76</v>
      </c>
      <c r="O32" s="2" t="s">
        <v>77</v>
      </c>
      <c r="P32" s="31">
        <v>10211.0</v>
      </c>
      <c r="Q32" s="16"/>
      <c r="R32" s="16" t="s">
        <v>37</v>
      </c>
      <c r="S32" s="16" t="s">
        <v>201</v>
      </c>
      <c r="T32" s="2"/>
      <c r="U32" s="2"/>
      <c r="V32" s="2"/>
      <c r="W32" s="31">
        <v>2021.0</v>
      </c>
      <c r="X32" s="31">
        <v>2.0</v>
      </c>
      <c r="Y32" s="31"/>
      <c r="Z32" s="32"/>
      <c r="AA32" s="32" t="s">
        <v>202</v>
      </c>
      <c r="AB32" s="32" t="s">
        <v>203</v>
      </c>
      <c r="AC32" s="16"/>
      <c r="AD32" s="32" t="s">
        <v>204</v>
      </c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>
      <c r="D33" s="2" t="b">
        <v>1</v>
      </c>
      <c r="E33" s="2" t="s">
        <v>205</v>
      </c>
      <c r="F33" s="2" t="b">
        <v>0</v>
      </c>
      <c r="G33" s="2" t="b">
        <v>0</v>
      </c>
      <c r="H33" s="2" t="b">
        <v>0</v>
      </c>
      <c r="J33" s="16" t="s">
        <v>206</v>
      </c>
      <c r="K33" s="2" t="s">
        <v>32</v>
      </c>
      <c r="L33" s="16" t="s">
        <v>32</v>
      </c>
      <c r="M33" s="16" t="s">
        <v>33</v>
      </c>
      <c r="N33" s="16" t="s">
        <v>34</v>
      </c>
      <c r="O33" s="4" t="s">
        <v>167</v>
      </c>
      <c r="P33" s="31">
        <v>3886.0</v>
      </c>
      <c r="Q33" s="16"/>
      <c r="R33" s="16" t="s">
        <v>37</v>
      </c>
      <c r="S33" s="16" t="s">
        <v>207</v>
      </c>
      <c r="T33" s="2">
        <v>1.16</v>
      </c>
      <c r="U33" s="2"/>
      <c r="V33" s="2"/>
      <c r="W33" s="31">
        <v>2021.0</v>
      </c>
      <c r="X33" s="31">
        <v>2.0</v>
      </c>
      <c r="Y33" s="31"/>
      <c r="Z33" s="32"/>
      <c r="AA33" s="32" t="s">
        <v>208</v>
      </c>
      <c r="AB33" s="32" t="s">
        <v>209</v>
      </c>
      <c r="AC33" s="16"/>
      <c r="AD33" s="32" t="s">
        <v>210</v>
      </c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>
      <c r="D34" s="2" t="b">
        <v>1</v>
      </c>
      <c r="E34" s="2" t="s">
        <v>211</v>
      </c>
      <c r="F34" s="2" t="b">
        <v>0</v>
      </c>
      <c r="G34" s="2" t="b">
        <v>0</v>
      </c>
      <c r="H34" s="2" t="b">
        <v>0</v>
      </c>
      <c r="J34" s="16" t="s">
        <v>212</v>
      </c>
      <c r="K34" s="2" t="s">
        <v>32</v>
      </c>
      <c r="L34" s="16" t="s">
        <v>32</v>
      </c>
      <c r="M34" s="16" t="s">
        <v>60</v>
      </c>
      <c r="N34" s="16" t="s">
        <v>34</v>
      </c>
      <c r="O34" s="4" t="s">
        <v>167</v>
      </c>
      <c r="P34" s="31">
        <v>1000.0</v>
      </c>
      <c r="Q34" s="16"/>
      <c r="R34" s="16" t="s">
        <v>173</v>
      </c>
      <c r="S34" s="16" t="s">
        <v>213</v>
      </c>
      <c r="T34" s="2"/>
      <c r="U34" s="2"/>
      <c r="V34" s="2"/>
      <c r="W34" s="31">
        <v>2021.0</v>
      </c>
      <c r="X34" s="31">
        <v>2.0</v>
      </c>
      <c r="Y34" s="31"/>
      <c r="Z34" s="32"/>
      <c r="AA34" s="32" t="s">
        <v>214</v>
      </c>
      <c r="AB34" s="16" t="s">
        <v>215</v>
      </c>
      <c r="AC34" s="16"/>
      <c r="AD34" s="32" t="s">
        <v>214</v>
      </c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>
      <c r="D35" s="2" t="b">
        <v>1</v>
      </c>
      <c r="E35" s="2" t="s">
        <v>216</v>
      </c>
      <c r="F35" s="2" t="b">
        <v>0</v>
      </c>
      <c r="G35" s="2" t="b">
        <v>0</v>
      </c>
      <c r="H35" s="2" t="b">
        <v>0</v>
      </c>
      <c r="J35" s="16" t="s">
        <v>217</v>
      </c>
      <c r="K35" s="2" t="s">
        <v>32</v>
      </c>
      <c r="L35" s="16" t="s">
        <v>32</v>
      </c>
      <c r="M35" s="16" t="s">
        <v>60</v>
      </c>
      <c r="N35" s="16" t="s">
        <v>34</v>
      </c>
      <c r="O35" s="4" t="s">
        <v>167</v>
      </c>
      <c r="P35" s="31">
        <v>1400.0</v>
      </c>
      <c r="Q35" s="16"/>
      <c r="R35" s="16" t="s">
        <v>218</v>
      </c>
      <c r="S35" s="16" t="s">
        <v>219</v>
      </c>
      <c r="T35" s="2"/>
      <c r="U35" s="2"/>
      <c r="V35" s="2"/>
      <c r="W35" s="31">
        <v>2021.0</v>
      </c>
      <c r="X35" s="31">
        <v>2.0</v>
      </c>
      <c r="Y35" s="31"/>
      <c r="Z35" s="34"/>
      <c r="AA35" s="33" t="s">
        <v>220</v>
      </c>
      <c r="AB35" s="16" t="s">
        <v>221</v>
      </c>
      <c r="AC35" s="16"/>
      <c r="AD35" s="32" t="s">
        <v>220</v>
      </c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>
      <c r="D36" s="2" t="b">
        <v>1</v>
      </c>
      <c r="E36" s="2" t="s">
        <v>222</v>
      </c>
      <c r="F36" s="2" t="b">
        <v>0</v>
      </c>
      <c r="G36" s="2" t="b">
        <v>0</v>
      </c>
      <c r="H36" s="2" t="b">
        <v>0</v>
      </c>
      <c r="J36" s="16" t="s">
        <v>223</v>
      </c>
      <c r="K36" s="2" t="s">
        <v>32</v>
      </c>
      <c r="L36" s="16" t="s">
        <v>32</v>
      </c>
      <c r="M36" s="16" t="s">
        <v>33</v>
      </c>
      <c r="N36" s="16" t="s">
        <v>34</v>
      </c>
      <c r="O36" s="4" t="s">
        <v>167</v>
      </c>
      <c r="P36" s="31">
        <v>4575.0</v>
      </c>
      <c r="Q36" s="16"/>
      <c r="R36" s="16" t="s">
        <v>173</v>
      </c>
      <c r="S36" s="16" t="s">
        <v>224</v>
      </c>
      <c r="T36" s="2">
        <v>1.15</v>
      </c>
      <c r="U36" s="2"/>
      <c r="V36" s="2"/>
      <c r="W36" s="31">
        <v>2021.0</v>
      </c>
      <c r="X36" s="31">
        <v>2.0</v>
      </c>
      <c r="Y36" s="31"/>
      <c r="Z36" s="34"/>
      <c r="AA36" s="33" t="s">
        <v>225</v>
      </c>
      <c r="AB36" s="32" t="s">
        <v>225</v>
      </c>
      <c r="AC36" s="16"/>
      <c r="AD36" s="32" t="s">
        <v>226</v>
      </c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>
      <c r="A37" s="11"/>
      <c r="B37" s="11"/>
      <c r="C37" s="11"/>
      <c r="D37" s="12" t="b">
        <v>1</v>
      </c>
      <c r="E37" s="12" t="s">
        <v>227</v>
      </c>
      <c r="F37" s="12" t="b">
        <v>0</v>
      </c>
      <c r="G37" s="12" t="b">
        <v>0</v>
      </c>
      <c r="H37" s="12" t="b">
        <v>0</v>
      </c>
      <c r="I37" s="11"/>
      <c r="J37" s="35" t="s">
        <v>228</v>
      </c>
      <c r="K37" s="12" t="s">
        <v>32</v>
      </c>
      <c r="L37" s="35"/>
      <c r="M37" s="35"/>
      <c r="N37" s="35"/>
      <c r="O37" s="35"/>
      <c r="P37" s="35"/>
      <c r="Q37" s="35"/>
      <c r="R37" s="35"/>
      <c r="S37" s="35" t="s">
        <v>229</v>
      </c>
      <c r="T37" s="12">
        <v>3.53</v>
      </c>
      <c r="U37" s="12"/>
      <c r="V37" s="12"/>
      <c r="W37" s="36">
        <v>2021.0</v>
      </c>
      <c r="X37" s="35"/>
      <c r="Y37" s="35"/>
      <c r="Z37" s="37"/>
      <c r="AA37" s="37" t="s">
        <v>230</v>
      </c>
      <c r="AB37" s="37" t="s">
        <v>231</v>
      </c>
      <c r="AC37" s="35"/>
      <c r="AD37" s="37" t="s">
        <v>232</v>
      </c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11"/>
      <c r="AP37" s="11"/>
      <c r="AQ37" s="11"/>
      <c r="AR37" s="11"/>
      <c r="AS37" s="11"/>
      <c r="AT37" s="11"/>
      <c r="AU37" s="11"/>
      <c r="AV37" s="11"/>
    </row>
    <row r="38">
      <c r="A38" s="11"/>
      <c r="B38" s="11"/>
      <c r="C38" s="11"/>
      <c r="D38" s="12" t="b">
        <v>1</v>
      </c>
      <c r="E38" s="12" t="s">
        <v>233</v>
      </c>
      <c r="F38" s="12" t="b">
        <v>0</v>
      </c>
      <c r="G38" s="12" t="b">
        <v>0</v>
      </c>
      <c r="H38" s="12" t="b">
        <v>0</v>
      </c>
      <c r="I38" s="12"/>
      <c r="J38" s="35" t="s">
        <v>234</v>
      </c>
      <c r="K38" s="12" t="s">
        <v>32</v>
      </c>
      <c r="L38" s="35" t="s">
        <v>32</v>
      </c>
      <c r="M38" s="35" t="s">
        <v>235</v>
      </c>
      <c r="N38" s="35" t="s">
        <v>76</v>
      </c>
      <c r="O38" s="12" t="s">
        <v>77</v>
      </c>
      <c r="P38" s="36">
        <v>483.0</v>
      </c>
      <c r="Q38" s="35"/>
      <c r="R38" s="35" t="s">
        <v>138</v>
      </c>
      <c r="S38" s="35" t="s">
        <v>236</v>
      </c>
      <c r="T38" s="12">
        <v>2.66</v>
      </c>
      <c r="U38" s="12"/>
      <c r="V38" s="12"/>
      <c r="W38" s="36">
        <v>2022.0</v>
      </c>
      <c r="X38" s="36">
        <v>3.0</v>
      </c>
      <c r="Y38" s="36"/>
      <c r="Z38" s="37"/>
      <c r="AA38" s="37" t="s">
        <v>237</v>
      </c>
      <c r="AB38" s="35"/>
      <c r="AC38" s="35"/>
      <c r="AD38" s="37" t="s">
        <v>237</v>
      </c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11"/>
      <c r="AP38" s="11"/>
      <c r="AQ38" s="11"/>
      <c r="AR38" s="11"/>
      <c r="AS38" s="11"/>
      <c r="AT38" s="11"/>
      <c r="AU38" s="11"/>
      <c r="AV38" s="11"/>
    </row>
    <row r="39">
      <c r="A39" s="22"/>
      <c r="B39" s="22"/>
      <c r="C39" s="22"/>
      <c r="D39" s="23" t="b">
        <v>0</v>
      </c>
      <c r="E39" s="22"/>
      <c r="F39" s="23" t="b">
        <v>0</v>
      </c>
      <c r="G39" s="23" t="b">
        <v>0</v>
      </c>
      <c r="H39" s="23" t="b">
        <v>0</v>
      </c>
      <c r="I39" s="23" t="s">
        <v>238</v>
      </c>
      <c r="J39" s="24" t="s">
        <v>239</v>
      </c>
      <c r="K39" s="23" t="s">
        <v>32</v>
      </c>
      <c r="L39" s="24" t="s">
        <v>32</v>
      </c>
      <c r="M39" s="24" t="s">
        <v>33</v>
      </c>
      <c r="N39" s="24" t="s">
        <v>34</v>
      </c>
      <c r="O39" s="25" t="s">
        <v>167</v>
      </c>
      <c r="P39" s="29">
        <v>5856.0</v>
      </c>
      <c r="Q39" s="24"/>
      <c r="R39" s="24" t="s">
        <v>240</v>
      </c>
      <c r="S39" s="24" t="s">
        <v>241</v>
      </c>
      <c r="T39" s="23"/>
      <c r="U39" s="23"/>
      <c r="V39" s="23"/>
      <c r="W39" s="29">
        <v>2022.0</v>
      </c>
      <c r="X39" s="29">
        <v>2.0</v>
      </c>
      <c r="Y39" s="29"/>
      <c r="Z39" s="30"/>
      <c r="AA39" s="30" t="s">
        <v>242</v>
      </c>
      <c r="AB39" s="24" t="s">
        <v>243</v>
      </c>
      <c r="AC39" s="24"/>
      <c r="AD39" s="30" t="s">
        <v>244</v>
      </c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2"/>
      <c r="AP39" s="22"/>
      <c r="AQ39" s="22"/>
      <c r="AR39" s="22"/>
      <c r="AS39" s="22"/>
      <c r="AT39" s="22"/>
      <c r="AU39" s="22"/>
      <c r="AV39" s="22"/>
    </row>
    <row r="40">
      <c r="A40" s="22"/>
      <c r="B40" s="22"/>
      <c r="C40" s="22"/>
      <c r="D40" s="23" t="b">
        <v>0</v>
      </c>
      <c r="E40" s="22"/>
      <c r="F40" s="23" t="b">
        <v>1</v>
      </c>
      <c r="G40" s="23" t="b">
        <v>0</v>
      </c>
      <c r="H40" s="23" t="b">
        <v>0</v>
      </c>
      <c r="I40" s="23" t="s">
        <v>245</v>
      </c>
      <c r="J40" s="24" t="s">
        <v>246</v>
      </c>
      <c r="K40" s="23" t="s">
        <v>32</v>
      </c>
      <c r="L40" s="24" t="s">
        <v>32</v>
      </c>
      <c r="M40" s="24" t="s">
        <v>60</v>
      </c>
      <c r="N40" s="24" t="s">
        <v>76</v>
      </c>
      <c r="O40" s="23" t="s">
        <v>77</v>
      </c>
      <c r="P40" s="24" t="s">
        <v>247</v>
      </c>
      <c r="Q40" s="24"/>
      <c r="R40" s="24" t="s">
        <v>138</v>
      </c>
      <c r="S40" s="24" t="s">
        <v>248</v>
      </c>
      <c r="T40" s="23"/>
      <c r="U40" s="23"/>
      <c r="V40" s="23"/>
      <c r="W40" s="29">
        <v>2022.0</v>
      </c>
      <c r="X40" s="29">
        <v>3.0</v>
      </c>
      <c r="Y40" s="29"/>
      <c r="Z40" s="30"/>
      <c r="AA40" s="30" t="s">
        <v>249</v>
      </c>
      <c r="AB40" s="30" t="s">
        <v>250</v>
      </c>
      <c r="AC40" s="24"/>
      <c r="AD40" s="30" t="s">
        <v>251</v>
      </c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2"/>
      <c r="AP40" s="22"/>
      <c r="AQ40" s="22"/>
      <c r="AR40" s="22"/>
      <c r="AS40" s="22"/>
      <c r="AT40" s="22"/>
      <c r="AU40" s="22"/>
      <c r="AV40" s="22"/>
    </row>
    <row r="41">
      <c r="A41" s="22"/>
      <c r="B41" s="22"/>
      <c r="C41" s="22"/>
      <c r="D41" s="23" t="b">
        <v>0</v>
      </c>
      <c r="E41" s="22"/>
      <c r="F41" s="23" t="b">
        <v>1</v>
      </c>
      <c r="G41" s="23" t="b">
        <v>0</v>
      </c>
      <c r="H41" s="23" t="b">
        <v>0</v>
      </c>
      <c r="I41" s="23" t="s">
        <v>106</v>
      </c>
      <c r="J41" s="24" t="s">
        <v>252</v>
      </c>
      <c r="K41" s="23" t="s">
        <v>32</v>
      </c>
      <c r="L41" s="24" t="s">
        <v>32</v>
      </c>
      <c r="M41" s="24" t="s">
        <v>60</v>
      </c>
      <c r="N41" s="24" t="s">
        <v>76</v>
      </c>
      <c r="O41" s="23" t="s">
        <v>77</v>
      </c>
      <c r="P41" s="24" t="s">
        <v>253</v>
      </c>
      <c r="Q41" s="24"/>
      <c r="R41" s="24" t="s">
        <v>138</v>
      </c>
      <c r="S41" s="24" t="s">
        <v>254</v>
      </c>
      <c r="T41" s="23"/>
      <c r="U41" s="23"/>
      <c r="V41" s="23"/>
      <c r="W41" s="29">
        <v>2022.0</v>
      </c>
      <c r="X41" s="29">
        <v>3.0</v>
      </c>
      <c r="Y41" s="29"/>
      <c r="Z41" s="30"/>
      <c r="AA41" s="30" t="s">
        <v>255</v>
      </c>
      <c r="AB41" s="30" t="s">
        <v>256</v>
      </c>
      <c r="AC41" s="24"/>
      <c r="AD41" s="30" t="s">
        <v>255</v>
      </c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2"/>
      <c r="AP41" s="22"/>
      <c r="AQ41" s="22"/>
      <c r="AR41" s="22"/>
      <c r="AS41" s="22"/>
      <c r="AT41" s="22"/>
      <c r="AU41" s="22"/>
      <c r="AV41" s="22"/>
    </row>
    <row r="42">
      <c r="A42" s="22"/>
      <c r="B42" s="22"/>
      <c r="C42" s="22"/>
      <c r="D42" s="23" t="b">
        <v>0</v>
      </c>
      <c r="E42" s="22"/>
      <c r="F42" s="23" t="b">
        <v>0</v>
      </c>
      <c r="G42" s="23" t="b">
        <v>0</v>
      </c>
      <c r="H42" s="23" t="b">
        <v>0</v>
      </c>
      <c r="I42" s="23" t="s">
        <v>257</v>
      </c>
      <c r="J42" s="24" t="s">
        <v>258</v>
      </c>
      <c r="K42" s="23" t="s">
        <v>32</v>
      </c>
      <c r="L42" s="24"/>
      <c r="M42" s="24" t="s">
        <v>33</v>
      </c>
      <c r="N42" s="25" t="s">
        <v>34</v>
      </c>
      <c r="O42" s="25" t="s">
        <v>167</v>
      </c>
      <c r="P42" s="24" t="s">
        <v>259</v>
      </c>
      <c r="Q42" s="24"/>
      <c r="R42" s="24" t="s">
        <v>260</v>
      </c>
      <c r="S42" s="24" t="s">
        <v>261</v>
      </c>
      <c r="T42" s="23">
        <v>105.0</v>
      </c>
      <c r="U42" s="23"/>
      <c r="V42" s="23"/>
      <c r="W42" s="29">
        <v>2022.0</v>
      </c>
      <c r="X42" s="29">
        <v>2.0</v>
      </c>
      <c r="Y42" s="29"/>
      <c r="Z42" s="30"/>
      <c r="AA42" s="30" t="s">
        <v>262</v>
      </c>
      <c r="AB42" s="30" t="s">
        <v>262</v>
      </c>
      <c r="AC42" s="24"/>
      <c r="AD42" s="30" t="s">
        <v>262</v>
      </c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2"/>
      <c r="AP42" s="22"/>
      <c r="AQ42" s="22"/>
      <c r="AR42" s="22"/>
      <c r="AS42" s="22"/>
      <c r="AT42" s="22"/>
      <c r="AU42" s="22"/>
      <c r="AV42" s="22"/>
    </row>
    <row r="43">
      <c r="D43" s="2" t="b">
        <v>1</v>
      </c>
      <c r="E43" s="2" t="s">
        <v>263</v>
      </c>
      <c r="F43" s="2" t="b">
        <v>0</v>
      </c>
      <c r="G43" s="2" t="b">
        <v>0</v>
      </c>
      <c r="H43" s="2" t="b">
        <v>0</v>
      </c>
      <c r="J43" s="16" t="s">
        <v>264</v>
      </c>
      <c r="K43" s="2" t="s">
        <v>32</v>
      </c>
      <c r="L43" s="16" t="s">
        <v>32</v>
      </c>
      <c r="M43" s="16" t="s">
        <v>265</v>
      </c>
      <c r="N43" s="16" t="s">
        <v>76</v>
      </c>
      <c r="O43" s="2" t="s">
        <v>77</v>
      </c>
      <c r="P43" s="16" t="s">
        <v>266</v>
      </c>
      <c r="Q43" s="16"/>
      <c r="R43" s="16" t="s">
        <v>138</v>
      </c>
      <c r="S43" s="16" t="s">
        <v>267</v>
      </c>
      <c r="T43" s="2"/>
      <c r="U43" s="2"/>
      <c r="V43" s="2"/>
      <c r="W43" s="31">
        <v>2023.0</v>
      </c>
      <c r="X43" s="31">
        <v>3.0</v>
      </c>
      <c r="Y43" s="31"/>
      <c r="Z43" s="32"/>
      <c r="AA43" s="32" t="s">
        <v>268</v>
      </c>
      <c r="AB43" s="32" t="s">
        <v>269</v>
      </c>
      <c r="AC43" s="16"/>
      <c r="AD43" s="32" t="s">
        <v>268</v>
      </c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>
      <c r="A44" s="11"/>
      <c r="B44" s="11"/>
      <c r="C44" s="11"/>
      <c r="D44" s="12" t="b">
        <v>0</v>
      </c>
      <c r="E44" s="11"/>
      <c r="F44" s="12" t="b">
        <v>0</v>
      </c>
      <c r="G44" s="12" t="b">
        <v>1</v>
      </c>
      <c r="H44" s="12" t="b">
        <v>0</v>
      </c>
      <c r="I44" s="12" t="s">
        <v>270</v>
      </c>
      <c r="J44" s="35" t="s">
        <v>271</v>
      </c>
      <c r="K44" s="12" t="s">
        <v>32</v>
      </c>
      <c r="L44" s="35" t="s">
        <v>272</v>
      </c>
      <c r="M44" s="35" t="s">
        <v>108</v>
      </c>
      <c r="N44" s="35" t="s">
        <v>76</v>
      </c>
      <c r="O44" s="12" t="s">
        <v>77</v>
      </c>
      <c r="P44" s="35" t="s">
        <v>247</v>
      </c>
      <c r="Q44" s="35"/>
      <c r="R44" s="35" t="s">
        <v>273</v>
      </c>
      <c r="S44" s="35"/>
      <c r="T44" s="12"/>
      <c r="U44" s="12"/>
      <c r="V44" s="12"/>
      <c r="W44" s="36">
        <v>2023.0</v>
      </c>
      <c r="X44" s="36">
        <v>3.0</v>
      </c>
      <c r="Y44" s="36"/>
      <c r="Z44" s="37"/>
      <c r="AA44" s="37" t="s">
        <v>274</v>
      </c>
      <c r="AB44" s="35" t="s">
        <v>275</v>
      </c>
      <c r="AC44" s="35"/>
      <c r="AD44" s="37" t="s">
        <v>276</v>
      </c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11"/>
      <c r="AP44" s="11"/>
      <c r="AQ44" s="11"/>
      <c r="AR44" s="11"/>
      <c r="AS44" s="11"/>
      <c r="AT44" s="11"/>
      <c r="AU44" s="11"/>
      <c r="AV44" s="11"/>
    </row>
    <row r="45">
      <c r="D45" s="2" t="b">
        <v>1</v>
      </c>
      <c r="E45" s="16" t="s">
        <v>277</v>
      </c>
      <c r="F45" s="2" t="b">
        <v>0</v>
      </c>
      <c r="G45" s="2" t="b">
        <v>0</v>
      </c>
      <c r="H45" s="2" t="b">
        <v>0</v>
      </c>
      <c r="J45" s="16" t="s">
        <v>277</v>
      </c>
      <c r="K45" s="2" t="s">
        <v>32</v>
      </c>
      <c r="L45" s="16" t="s">
        <v>32</v>
      </c>
      <c r="M45" s="16" t="s">
        <v>60</v>
      </c>
      <c r="N45" s="16" t="s">
        <v>76</v>
      </c>
      <c r="O45" s="2" t="s">
        <v>77</v>
      </c>
      <c r="P45" s="16" t="s">
        <v>278</v>
      </c>
      <c r="Q45" s="16"/>
      <c r="R45" s="16" t="s">
        <v>138</v>
      </c>
      <c r="S45" s="16" t="s">
        <v>279</v>
      </c>
      <c r="T45" s="2"/>
      <c r="U45" s="2"/>
      <c r="V45" s="2"/>
      <c r="W45" s="31">
        <v>2023.0</v>
      </c>
      <c r="X45" s="31">
        <v>3.0</v>
      </c>
      <c r="Y45" s="31"/>
      <c r="Z45" s="32"/>
      <c r="AA45" s="32" t="s">
        <v>280</v>
      </c>
      <c r="AB45" s="16" t="s">
        <v>215</v>
      </c>
      <c r="AC45" s="16"/>
      <c r="AD45" s="32" t="s">
        <v>281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>
      <c r="A46" s="22"/>
      <c r="B46" s="22"/>
      <c r="C46" s="22"/>
      <c r="D46" s="23" t="b">
        <v>0</v>
      </c>
      <c r="E46" s="22"/>
      <c r="F46" s="23" t="b">
        <v>0</v>
      </c>
      <c r="G46" s="23" t="b">
        <v>0</v>
      </c>
      <c r="H46" s="23" t="b">
        <v>0</v>
      </c>
      <c r="I46" s="22"/>
      <c r="J46" s="24" t="s">
        <v>282</v>
      </c>
      <c r="K46" s="23" t="s">
        <v>32</v>
      </c>
      <c r="L46" s="24" t="s">
        <v>272</v>
      </c>
      <c r="M46" s="24" t="s">
        <v>283</v>
      </c>
      <c r="N46" s="24" t="s">
        <v>76</v>
      </c>
      <c r="O46" s="23" t="s">
        <v>77</v>
      </c>
      <c r="P46" s="29">
        <v>56.0</v>
      </c>
      <c r="Q46" s="24"/>
      <c r="R46" s="24" t="s">
        <v>273</v>
      </c>
      <c r="S46" s="24" t="s">
        <v>284</v>
      </c>
      <c r="T46" s="23"/>
      <c r="U46" s="23"/>
      <c r="V46" s="23"/>
      <c r="W46" s="29">
        <v>2023.0</v>
      </c>
      <c r="X46" s="29">
        <v>3.0</v>
      </c>
      <c r="Y46" s="29"/>
      <c r="Z46" s="30"/>
      <c r="AA46" s="30" t="s">
        <v>285</v>
      </c>
      <c r="AB46" s="30" t="s">
        <v>286</v>
      </c>
      <c r="AC46" s="24"/>
      <c r="AD46" s="30" t="s">
        <v>287</v>
      </c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2"/>
      <c r="AP46" s="22"/>
      <c r="AQ46" s="22"/>
      <c r="AR46" s="22"/>
      <c r="AS46" s="22"/>
      <c r="AT46" s="22"/>
      <c r="AU46" s="22"/>
      <c r="AV46" s="22"/>
    </row>
    <row r="47">
      <c r="D47" s="2" t="b">
        <v>1</v>
      </c>
      <c r="E47" s="2" t="s">
        <v>288</v>
      </c>
      <c r="F47" s="2" t="b">
        <v>0</v>
      </c>
      <c r="G47" s="2" t="b">
        <v>0</v>
      </c>
      <c r="H47" s="2" t="b">
        <v>0</v>
      </c>
      <c r="J47" s="16" t="s">
        <v>289</v>
      </c>
      <c r="K47" s="2" t="s">
        <v>32</v>
      </c>
      <c r="L47" s="16" t="s">
        <v>32</v>
      </c>
      <c r="M47" s="16" t="s">
        <v>60</v>
      </c>
      <c r="N47" s="16" t="s">
        <v>76</v>
      </c>
      <c r="O47" s="2" t="s">
        <v>77</v>
      </c>
      <c r="P47" s="16" t="s">
        <v>290</v>
      </c>
      <c r="Q47" s="16"/>
      <c r="R47" s="16" t="s">
        <v>273</v>
      </c>
      <c r="S47" s="16" t="s">
        <v>291</v>
      </c>
      <c r="T47" s="2"/>
      <c r="U47" s="2"/>
      <c r="V47" s="2"/>
      <c r="W47" s="31">
        <v>2023.0</v>
      </c>
      <c r="X47" s="31">
        <v>3.0</v>
      </c>
      <c r="Y47" s="31"/>
      <c r="Z47" s="32"/>
      <c r="AA47" s="32" t="s">
        <v>292</v>
      </c>
      <c r="AB47" s="16" t="s">
        <v>275</v>
      </c>
      <c r="AC47" s="16"/>
      <c r="AD47" s="32" t="s">
        <v>293</v>
      </c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>
      <c r="A48" s="22"/>
      <c r="B48" s="22"/>
      <c r="C48" s="22"/>
      <c r="D48" s="23" t="b">
        <v>0</v>
      </c>
      <c r="E48" s="22"/>
      <c r="F48" s="23" t="b">
        <v>0</v>
      </c>
      <c r="G48" s="23" t="b">
        <v>0</v>
      </c>
      <c r="H48" s="23" t="b">
        <v>1</v>
      </c>
      <c r="I48" s="23" t="s">
        <v>294</v>
      </c>
      <c r="J48" s="24" t="s">
        <v>295</v>
      </c>
      <c r="K48" s="23" t="s">
        <v>32</v>
      </c>
      <c r="L48" s="24" t="s">
        <v>32</v>
      </c>
      <c r="M48" s="24" t="s">
        <v>60</v>
      </c>
      <c r="N48" s="24" t="s">
        <v>76</v>
      </c>
      <c r="O48" s="23" t="s">
        <v>77</v>
      </c>
      <c r="P48" s="29">
        <v>60.0</v>
      </c>
      <c r="Q48" s="24"/>
      <c r="R48" s="24" t="s">
        <v>138</v>
      </c>
      <c r="S48" s="24" t="s">
        <v>296</v>
      </c>
      <c r="T48" s="23"/>
      <c r="U48" s="23"/>
      <c r="V48" s="23"/>
      <c r="W48" s="29">
        <v>2024.0</v>
      </c>
      <c r="X48" s="29">
        <v>3.0</v>
      </c>
      <c r="Y48" s="29"/>
      <c r="Z48" s="30"/>
      <c r="AA48" s="30" t="s">
        <v>297</v>
      </c>
      <c r="AB48" s="24" t="s">
        <v>275</v>
      </c>
      <c r="AC48" s="24"/>
      <c r="AD48" s="30" t="s">
        <v>298</v>
      </c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2"/>
      <c r="AP48" s="22"/>
      <c r="AQ48" s="22"/>
      <c r="AR48" s="22"/>
      <c r="AS48" s="22"/>
      <c r="AT48" s="22"/>
      <c r="AU48" s="22"/>
      <c r="AV48" s="22"/>
    </row>
    <row r="49">
      <c r="D49" s="2" t="b">
        <v>1</v>
      </c>
      <c r="E49" s="2" t="s">
        <v>299</v>
      </c>
      <c r="F49" s="2" t="b">
        <v>0</v>
      </c>
      <c r="G49" s="2" t="b">
        <v>0</v>
      </c>
      <c r="H49" s="2" t="b">
        <v>0</v>
      </c>
      <c r="J49" s="16" t="s">
        <v>300</v>
      </c>
      <c r="K49" s="2" t="s">
        <v>32</v>
      </c>
      <c r="L49" s="16" t="s">
        <v>59</v>
      </c>
      <c r="M49" s="16" t="s">
        <v>301</v>
      </c>
      <c r="N49" s="16" t="s">
        <v>34</v>
      </c>
      <c r="O49" s="4" t="s">
        <v>167</v>
      </c>
      <c r="P49" s="31">
        <v>691.0</v>
      </c>
      <c r="Q49" s="16"/>
      <c r="R49" s="16" t="s">
        <v>45</v>
      </c>
      <c r="S49" s="16" t="s">
        <v>302</v>
      </c>
      <c r="T49" s="2">
        <v>2.6</v>
      </c>
      <c r="U49" s="2"/>
      <c r="V49" s="2"/>
      <c r="W49" s="31">
        <v>2024.0</v>
      </c>
      <c r="X49" s="31">
        <v>2.0</v>
      </c>
      <c r="Y49" s="31"/>
      <c r="Z49" s="32"/>
      <c r="AA49" s="32" t="s">
        <v>303</v>
      </c>
      <c r="AB49" s="32" t="s">
        <v>303</v>
      </c>
      <c r="AC49" s="16"/>
      <c r="AD49" s="32" t="s">
        <v>304</v>
      </c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>
      <c r="D50" s="2" t="b">
        <v>1</v>
      </c>
      <c r="E50" s="4" t="s">
        <v>305</v>
      </c>
      <c r="F50" s="2" t="b">
        <v>0</v>
      </c>
      <c r="G50" s="2" t="b">
        <v>0</v>
      </c>
      <c r="H50" s="2" t="b">
        <v>0</v>
      </c>
      <c r="J50" s="16" t="s">
        <v>306</v>
      </c>
      <c r="K50" s="2" t="s">
        <v>32</v>
      </c>
      <c r="L50" s="16" t="s">
        <v>59</v>
      </c>
      <c r="M50" s="16" t="s">
        <v>60</v>
      </c>
      <c r="N50" s="16" t="s">
        <v>76</v>
      </c>
      <c r="O50" s="16"/>
      <c r="P50" s="31">
        <v>20.0</v>
      </c>
      <c r="Q50" s="16"/>
      <c r="R50" s="16" t="s">
        <v>307</v>
      </c>
      <c r="S50" s="16" t="s">
        <v>308</v>
      </c>
      <c r="T50" s="2"/>
      <c r="U50" s="2"/>
      <c r="V50" s="2"/>
      <c r="W50" s="31">
        <v>2012.0</v>
      </c>
      <c r="X50" s="31">
        <v>3.0</v>
      </c>
      <c r="Y50" s="31"/>
      <c r="Z50" s="32"/>
      <c r="AA50" s="32" t="s">
        <v>309</v>
      </c>
      <c r="AB50" s="32" t="s">
        <v>310</v>
      </c>
      <c r="AC50" s="16"/>
      <c r="AD50" s="32" t="s">
        <v>309</v>
      </c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>
      <c r="D51" s="2" t="b">
        <v>1</v>
      </c>
      <c r="E51" s="2" t="s">
        <v>311</v>
      </c>
      <c r="F51" s="2" t="b">
        <v>0</v>
      </c>
      <c r="G51" s="2" t="b">
        <v>0</v>
      </c>
      <c r="H51" s="2" t="b">
        <v>0</v>
      </c>
      <c r="J51" s="2" t="s">
        <v>311</v>
      </c>
      <c r="K51" s="2" t="s">
        <v>32</v>
      </c>
      <c r="L51" s="2" t="s">
        <v>312</v>
      </c>
      <c r="M51" s="2" t="s">
        <v>33</v>
      </c>
      <c r="N51" s="4" t="s">
        <v>76</v>
      </c>
      <c r="O51" s="4" t="s">
        <v>313</v>
      </c>
      <c r="P51" s="4" t="s">
        <v>314</v>
      </c>
      <c r="Q51" s="4"/>
      <c r="R51" s="16" t="s">
        <v>63</v>
      </c>
      <c r="S51" s="16"/>
      <c r="T51" s="2">
        <v>152.5</v>
      </c>
      <c r="U51" s="2"/>
      <c r="V51" s="2"/>
      <c r="W51" s="16"/>
      <c r="X51" s="16"/>
      <c r="Y51" s="16"/>
      <c r="Z51" s="32"/>
      <c r="AA51" s="32" t="s">
        <v>315</v>
      </c>
    </row>
    <row r="52">
      <c r="D52" s="2" t="b">
        <v>1</v>
      </c>
      <c r="E52" s="2" t="s">
        <v>316</v>
      </c>
      <c r="F52" s="2" t="b">
        <v>0</v>
      </c>
      <c r="G52" s="2" t="b">
        <v>0</v>
      </c>
      <c r="H52" s="2" t="b">
        <v>0</v>
      </c>
      <c r="J52" s="2" t="s">
        <v>317</v>
      </c>
      <c r="K52" s="2" t="s">
        <v>32</v>
      </c>
      <c r="L52" s="2" t="s">
        <v>312</v>
      </c>
      <c r="M52" s="2" t="s">
        <v>33</v>
      </c>
      <c r="N52" s="4" t="s">
        <v>34</v>
      </c>
      <c r="O52" s="4" t="s">
        <v>167</v>
      </c>
      <c r="P52" s="4">
        <v>322.0</v>
      </c>
      <c r="Q52" s="4"/>
      <c r="R52" s="4" t="s">
        <v>318</v>
      </c>
      <c r="S52" s="4" t="s">
        <v>38</v>
      </c>
      <c r="T52" s="2">
        <v>1.51</v>
      </c>
      <c r="U52" s="2"/>
      <c r="V52" s="2"/>
      <c r="W52" s="4">
        <v>2015.0</v>
      </c>
      <c r="X52" s="4">
        <v>2.0</v>
      </c>
      <c r="Y52" s="4"/>
      <c r="Z52" s="32"/>
      <c r="AA52" s="32" t="s">
        <v>319</v>
      </c>
      <c r="AB52" s="32" t="s">
        <v>320</v>
      </c>
      <c r="AC52" s="16"/>
      <c r="AD52" s="32" t="s">
        <v>321</v>
      </c>
      <c r="AE52" s="16"/>
      <c r="AF52" s="16"/>
    </row>
    <row r="53">
      <c r="D53" s="2" t="b">
        <v>1</v>
      </c>
      <c r="E53" s="2" t="s">
        <v>322</v>
      </c>
      <c r="F53" s="2" t="b">
        <v>0</v>
      </c>
      <c r="G53" s="2" t="b">
        <v>0</v>
      </c>
      <c r="H53" s="2" t="b">
        <v>0</v>
      </c>
      <c r="J53" s="2" t="s">
        <v>322</v>
      </c>
      <c r="K53" s="2" t="s">
        <v>32</v>
      </c>
      <c r="L53" s="2"/>
      <c r="M53" s="2" t="s">
        <v>60</v>
      </c>
      <c r="N53" s="4" t="s">
        <v>61</v>
      </c>
      <c r="O53" s="4" t="s">
        <v>323</v>
      </c>
      <c r="P53" s="4" t="s">
        <v>324</v>
      </c>
      <c r="Q53" s="4"/>
      <c r="R53" s="4" t="s">
        <v>37</v>
      </c>
      <c r="S53" s="16"/>
      <c r="T53" s="2">
        <v>213.0</v>
      </c>
      <c r="U53" s="2"/>
      <c r="V53" s="2"/>
      <c r="W53" s="16"/>
      <c r="X53" s="16"/>
      <c r="Y53" s="16"/>
      <c r="Z53" s="32"/>
      <c r="AA53" s="32" t="s">
        <v>325</v>
      </c>
    </row>
    <row r="54">
      <c r="A54" s="17"/>
      <c r="B54" s="17"/>
      <c r="C54" s="17"/>
      <c r="D54" s="18" t="b">
        <v>1</v>
      </c>
      <c r="E54" s="18" t="s">
        <v>326</v>
      </c>
      <c r="F54" s="18" t="b">
        <v>0</v>
      </c>
      <c r="G54" s="18" t="b">
        <v>0</v>
      </c>
      <c r="H54" s="18" t="b">
        <v>0</v>
      </c>
      <c r="I54" s="17"/>
      <c r="J54" s="18" t="s">
        <v>327</v>
      </c>
      <c r="K54" s="18" t="s">
        <v>32</v>
      </c>
      <c r="L54" s="18" t="s">
        <v>312</v>
      </c>
      <c r="M54" s="17" t="s">
        <v>328</v>
      </c>
      <c r="N54" s="17" t="s">
        <v>329</v>
      </c>
      <c r="O54" s="17" t="s">
        <v>330</v>
      </c>
      <c r="P54" s="17">
        <v>83.0</v>
      </c>
      <c r="Q54" s="17">
        <v>688598.0</v>
      </c>
      <c r="R54" s="17" t="s">
        <v>63</v>
      </c>
      <c r="S54" s="17"/>
      <c r="T54" s="17">
        <v>74.2</v>
      </c>
      <c r="U54" s="17"/>
      <c r="V54" s="17"/>
      <c r="W54" s="17">
        <v>2012.0</v>
      </c>
      <c r="X54" s="17" t="s">
        <v>331</v>
      </c>
      <c r="Y54" s="17" t="s">
        <v>332</v>
      </c>
      <c r="Z54" s="18"/>
      <c r="AA54" s="20" t="s">
        <v>333</v>
      </c>
      <c r="AB54" s="17" t="s">
        <v>334</v>
      </c>
      <c r="AC54" s="17" t="s">
        <v>335</v>
      </c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</row>
    <row r="55">
      <c r="A55" s="38"/>
      <c r="B55" s="38"/>
      <c r="C55" s="38"/>
      <c r="D55" s="39" t="b">
        <v>1</v>
      </c>
      <c r="E55" s="39" t="s">
        <v>336</v>
      </c>
      <c r="F55" s="39" t="b">
        <v>0</v>
      </c>
      <c r="G55" s="39" t="b">
        <v>0</v>
      </c>
      <c r="H55" s="39" t="b">
        <v>0</v>
      </c>
      <c r="I55" s="38"/>
      <c r="J55" s="39" t="s">
        <v>337</v>
      </c>
      <c r="K55" s="39" t="s">
        <v>32</v>
      </c>
      <c r="L55" s="39" t="s">
        <v>312</v>
      </c>
      <c r="M55" s="38" t="s">
        <v>338</v>
      </c>
      <c r="N55" s="38" t="s">
        <v>339</v>
      </c>
      <c r="O55" s="38" t="s">
        <v>340</v>
      </c>
      <c r="P55" s="38">
        <v>1153.0</v>
      </c>
      <c r="Q55" s="38">
        <v>4212.0</v>
      </c>
      <c r="R55" s="38" t="s">
        <v>341</v>
      </c>
      <c r="S55" s="38" t="s">
        <v>342</v>
      </c>
      <c r="T55" s="38">
        <v>448.6</v>
      </c>
      <c r="U55" s="38"/>
      <c r="V55" s="38"/>
      <c r="W55" s="38">
        <v>2022.0</v>
      </c>
      <c r="X55" s="38" t="s">
        <v>343</v>
      </c>
      <c r="Y55" s="38" t="s">
        <v>344</v>
      </c>
      <c r="Z55" s="39"/>
      <c r="AA55" s="40" t="s">
        <v>345</v>
      </c>
      <c r="AB55" s="38" t="s">
        <v>346</v>
      </c>
      <c r="AC55" s="38" t="s">
        <v>347</v>
      </c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</row>
    <row r="56">
      <c r="D56" s="2" t="b">
        <v>1</v>
      </c>
      <c r="E56" s="2" t="s">
        <v>348</v>
      </c>
      <c r="F56" s="2" t="b">
        <v>0</v>
      </c>
      <c r="G56" s="2" t="b">
        <v>0</v>
      </c>
      <c r="H56" s="2" t="b">
        <v>0</v>
      </c>
      <c r="J56" s="2" t="s">
        <v>348</v>
      </c>
      <c r="K56" s="2" t="s">
        <v>32</v>
      </c>
      <c r="L56" s="2" t="s">
        <v>312</v>
      </c>
      <c r="M56" s="3" t="s">
        <v>349</v>
      </c>
      <c r="N56" s="3" t="s">
        <v>350</v>
      </c>
      <c r="O56" s="3" t="s">
        <v>351</v>
      </c>
      <c r="P56" s="3">
        <v>632.0</v>
      </c>
      <c r="Q56" s="3">
        <v>1259688.0</v>
      </c>
      <c r="R56" s="3" t="s">
        <v>63</v>
      </c>
      <c r="T56" s="3">
        <v>645.62</v>
      </c>
      <c r="W56" s="3">
        <v>2021.0</v>
      </c>
      <c r="X56" s="3" t="s">
        <v>331</v>
      </c>
      <c r="Z56" s="2"/>
      <c r="AA56" s="15" t="s">
        <v>352</v>
      </c>
      <c r="AB56" s="3" t="s">
        <v>334</v>
      </c>
      <c r="AC56" s="3" t="s">
        <v>353</v>
      </c>
    </row>
    <row r="57">
      <c r="D57" s="2" t="b">
        <v>1</v>
      </c>
      <c r="E57" s="2" t="s">
        <v>354</v>
      </c>
      <c r="F57" s="2" t="b">
        <v>0</v>
      </c>
      <c r="G57" s="2" t="b">
        <v>0</v>
      </c>
      <c r="H57" s="2" t="b">
        <v>0</v>
      </c>
      <c r="J57" s="2" t="s">
        <v>354</v>
      </c>
      <c r="K57" s="2" t="s">
        <v>32</v>
      </c>
      <c r="L57" s="2" t="s">
        <v>312</v>
      </c>
      <c r="M57" s="3" t="s">
        <v>355</v>
      </c>
      <c r="N57" s="3" t="s">
        <v>356</v>
      </c>
      <c r="O57" s="3" t="s">
        <v>357</v>
      </c>
      <c r="P57" s="3">
        <v>1058.0</v>
      </c>
      <c r="R57" s="3" t="s">
        <v>358</v>
      </c>
      <c r="W57" s="3">
        <v>2023.0</v>
      </c>
      <c r="X57" s="3" t="s">
        <v>343</v>
      </c>
      <c r="Z57" s="2"/>
      <c r="AA57" s="15" t="s">
        <v>359</v>
      </c>
      <c r="AB57" s="3" t="s">
        <v>346</v>
      </c>
      <c r="AC57" s="3" t="s">
        <v>360</v>
      </c>
      <c r="AD57" s="15" t="s">
        <v>361</v>
      </c>
      <c r="AE57" s="15" t="s">
        <v>362</v>
      </c>
    </row>
    <row r="58">
      <c r="D58" s="2" t="b">
        <v>1</v>
      </c>
      <c r="E58" s="2" t="s">
        <v>363</v>
      </c>
      <c r="F58" s="2" t="b">
        <v>0</v>
      </c>
      <c r="G58" s="2" t="b">
        <v>0</v>
      </c>
      <c r="H58" s="2" t="b">
        <v>0</v>
      </c>
      <c r="J58" s="2" t="s">
        <v>363</v>
      </c>
      <c r="K58" s="2" t="s">
        <v>32</v>
      </c>
      <c r="L58" s="2" t="s">
        <v>312</v>
      </c>
      <c r="M58" s="3" t="s">
        <v>364</v>
      </c>
      <c r="N58" s="3" t="s">
        <v>365</v>
      </c>
      <c r="O58" s="3" t="s">
        <v>366</v>
      </c>
      <c r="P58" s="3" t="s">
        <v>367</v>
      </c>
      <c r="Q58" s="3">
        <v>93915.0</v>
      </c>
      <c r="R58" s="3" t="s">
        <v>368</v>
      </c>
      <c r="S58" s="3" t="s">
        <v>369</v>
      </c>
      <c r="T58" s="3">
        <v>8.26</v>
      </c>
      <c r="W58" s="3">
        <v>2019.0</v>
      </c>
      <c r="X58" s="3" t="s">
        <v>343</v>
      </c>
      <c r="Y58" s="3" t="s">
        <v>370</v>
      </c>
      <c r="Z58" s="2"/>
      <c r="AA58" s="15" t="s">
        <v>371</v>
      </c>
      <c r="AB58" s="3" t="s">
        <v>372</v>
      </c>
      <c r="AC58" s="3" t="s">
        <v>371</v>
      </c>
    </row>
    <row r="59">
      <c r="D59" s="2" t="b">
        <v>1</v>
      </c>
      <c r="E59" s="2" t="s">
        <v>373</v>
      </c>
      <c r="F59" s="2" t="b">
        <v>0</v>
      </c>
      <c r="G59" s="2" t="b">
        <v>0</v>
      </c>
      <c r="H59" s="2" t="b">
        <v>0</v>
      </c>
      <c r="J59" s="2" t="s">
        <v>374</v>
      </c>
      <c r="K59" s="2" t="s">
        <v>32</v>
      </c>
      <c r="L59" s="2" t="s">
        <v>312</v>
      </c>
      <c r="M59" s="3" t="s">
        <v>375</v>
      </c>
      <c r="N59" s="3" t="s">
        <v>34</v>
      </c>
      <c r="O59" s="3" t="s">
        <v>376</v>
      </c>
      <c r="P59" s="3">
        <v>82.0</v>
      </c>
      <c r="Q59" s="3">
        <v>7909.0</v>
      </c>
      <c r="R59" s="3" t="s">
        <v>37</v>
      </c>
      <c r="S59" s="3" t="s">
        <v>377</v>
      </c>
      <c r="W59" s="3">
        <v>2015.0</v>
      </c>
      <c r="X59" s="3" t="s">
        <v>343</v>
      </c>
      <c r="Y59" s="3" t="s">
        <v>378</v>
      </c>
      <c r="Z59" s="2"/>
      <c r="AA59" s="15" t="s">
        <v>379</v>
      </c>
      <c r="AB59" s="3" t="s">
        <v>380</v>
      </c>
      <c r="AC59" s="3" t="s">
        <v>381</v>
      </c>
      <c r="AD59" s="15" t="s">
        <v>382</v>
      </c>
    </row>
    <row r="60">
      <c r="D60" s="2" t="b">
        <v>1</v>
      </c>
      <c r="E60" s="2" t="s">
        <v>383</v>
      </c>
      <c r="F60" s="2" t="b">
        <v>0</v>
      </c>
      <c r="G60" s="2" t="b">
        <v>0</v>
      </c>
      <c r="H60" s="2" t="b">
        <v>0</v>
      </c>
      <c r="J60" s="2" t="s">
        <v>384</v>
      </c>
      <c r="K60" s="2" t="s">
        <v>32</v>
      </c>
      <c r="L60" s="2" t="s">
        <v>312</v>
      </c>
      <c r="M60" s="3" t="s">
        <v>60</v>
      </c>
      <c r="N60" s="3" t="s">
        <v>85</v>
      </c>
      <c r="O60" s="3" t="s">
        <v>385</v>
      </c>
      <c r="R60" s="3" t="s">
        <v>386</v>
      </c>
      <c r="T60" s="3">
        <v>5.66</v>
      </c>
      <c r="X60" s="3" t="s">
        <v>331</v>
      </c>
      <c r="Z60" s="21"/>
      <c r="AA60" s="5" t="s">
        <v>387</v>
      </c>
      <c r="AB60" s="3" t="s">
        <v>105</v>
      </c>
      <c r="AC60" s="3" t="s">
        <v>387</v>
      </c>
    </row>
    <row r="61">
      <c r="A61" s="38"/>
      <c r="B61" s="38"/>
      <c r="C61" s="38"/>
      <c r="D61" s="39" t="b">
        <v>1</v>
      </c>
      <c r="E61" s="39" t="s">
        <v>388</v>
      </c>
      <c r="F61" s="39" t="b">
        <v>0</v>
      </c>
      <c r="G61" s="39" t="b">
        <v>0</v>
      </c>
      <c r="H61" s="39" t="b">
        <v>0</v>
      </c>
      <c r="I61" s="38"/>
      <c r="J61" s="39" t="s">
        <v>389</v>
      </c>
      <c r="K61" s="39" t="s">
        <v>32</v>
      </c>
      <c r="L61" s="39" t="s">
        <v>312</v>
      </c>
      <c r="M61" s="38" t="s">
        <v>390</v>
      </c>
      <c r="N61" s="38" t="s">
        <v>391</v>
      </c>
      <c r="O61" s="38" t="s">
        <v>392</v>
      </c>
      <c r="P61" s="38">
        <v>5060.0</v>
      </c>
      <c r="Q61" s="38">
        <v>22032.0</v>
      </c>
      <c r="R61" s="38" t="s">
        <v>63</v>
      </c>
      <c r="S61" s="38"/>
      <c r="T61" s="38">
        <v>1526.0</v>
      </c>
      <c r="U61" s="38"/>
      <c r="V61" s="38"/>
      <c r="W61" s="38">
        <v>2020.0</v>
      </c>
      <c r="X61" s="38" t="s">
        <v>331</v>
      </c>
      <c r="Y61" s="38" t="s">
        <v>332</v>
      </c>
      <c r="Z61" s="39"/>
      <c r="AA61" s="40" t="s">
        <v>393</v>
      </c>
      <c r="AB61" s="38" t="s">
        <v>334</v>
      </c>
      <c r="AC61" s="38" t="s">
        <v>394</v>
      </c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</row>
    <row r="62">
      <c r="A62" s="17"/>
      <c r="B62" s="17"/>
      <c r="C62" s="17"/>
      <c r="D62" s="18" t="b">
        <v>1</v>
      </c>
      <c r="E62" s="18" t="s">
        <v>395</v>
      </c>
      <c r="F62" s="18" t="b">
        <v>0</v>
      </c>
      <c r="G62" s="18" t="b">
        <v>0</v>
      </c>
      <c r="H62" s="18" t="b">
        <v>0</v>
      </c>
      <c r="I62" s="17"/>
      <c r="J62" s="18" t="s">
        <v>395</v>
      </c>
      <c r="K62" s="18" t="s">
        <v>32</v>
      </c>
      <c r="L62" s="18" t="s">
        <v>312</v>
      </c>
      <c r="M62" s="17" t="s">
        <v>396</v>
      </c>
      <c r="N62" s="17" t="s">
        <v>397</v>
      </c>
      <c r="O62" s="17" t="s">
        <v>398</v>
      </c>
      <c r="P62" s="17">
        <v>88.0</v>
      </c>
      <c r="Q62" s="17">
        <v>105050.0</v>
      </c>
      <c r="R62" s="17" t="s">
        <v>63</v>
      </c>
      <c r="S62" s="17"/>
      <c r="T62" s="17">
        <v>60.87</v>
      </c>
      <c r="U62" s="17"/>
      <c r="V62" s="17"/>
      <c r="W62" s="17">
        <v>2011.0</v>
      </c>
      <c r="X62" s="17" t="s">
        <v>331</v>
      </c>
      <c r="Y62" s="17"/>
      <c r="Z62" s="18"/>
      <c r="AA62" s="20" t="s">
        <v>399</v>
      </c>
      <c r="AB62" s="17" t="s">
        <v>334</v>
      </c>
      <c r="AC62" s="17" t="s">
        <v>400</v>
      </c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</row>
    <row r="63">
      <c r="A63" s="38"/>
      <c r="B63" s="38"/>
      <c r="C63" s="38"/>
      <c r="D63" s="39" t="b">
        <v>1</v>
      </c>
      <c r="E63" s="39" t="s">
        <v>401</v>
      </c>
      <c r="F63" s="39" t="b">
        <v>0</v>
      </c>
      <c r="G63" s="39" t="b">
        <v>0</v>
      </c>
      <c r="H63" s="39" t="b">
        <v>0</v>
      </c>
      <c r="I63" s="38"/>
      <c r="J63" s="39" t="s">
        <v>401</v>
      </c>
      <c r="K63" s="39" t="s">
        <v>32</v>
      </c>
      <c r="L63" s="39" t="s">
        <v>312</v>
      </c>
      <c r="M63" s="38" t="s">
        <v>349</v>
      </c>
      <c r="N63" s="38" t="s">
        <v>402</v>
      </c>
      <c r="O63" s="38" t="s">
        <v>403</v>
      </c>
      <c r="P63" s="38">
        <v>64.0</v>
      </c>
      <c r="Q63" s="38">
        <v>98936.0</v>
      </c>
      <c r="R63" s="38" t="s">
        <v>63</v>
      </c>
      <c r="S63" s="38"/>
      <c r="T63" s="38">
        <v>19.51</v>
      </c>
      <c r="U63" s="38"/>
      <c r="V63" s="38"/>
      <c r="W63" s="38">
        <v>2002.0</v>
      </c>
      <c r="X63" s="38" t="s">
        <v>331</v>
      </c>
      <c r="Y63" s="38" t="s">
        <v>404</v>
      </c>
      <c r="Z63" s="39"/>
      <c r="AA63" s="40" t="s">
        <v>405</v>
      </c>
      <c r="AB63" s="38" t="s">
        <v>334</v>
      </c>
      <c r="AC63" s="38" t="s">
        <v>406</v>
      </c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</row>
    <row r="64">
      <c r="A64" s="38"/>
      <c r="B64" s="38"/>
      <c r="C64" s="38"/>
      <c r="D64" s="39" t="b">
        <v>1</v>
      </c>
      <c r="E64" s="39" t="s">
        <v>407</v>
      </c>
      <c r="F64" s="39" t="b">
        <v>0</v>
      </c>
      <c r="G64" s="39" t="b">
        <v>0</v>
      </c>
      <c r="H64" s="39" t="b">
        <v>0</v>
      </c>
      <c r="I64" s="38"/>
      <c r="J64" s="39" t="s">
        <v>407</v>
      </c>
      <c r="K64" s="39" t="s">
        <v>32</v>
      </c>
      <c r="L64" s="39" t="s">
        <v>312</v>
      </c>
      <c r="M64" s="38" t="s">
        <v>364</v>
      </c>
      <c r="N64" s="38" t="s">
        <v>408</v>
      </c>
      <c r="O64" s="38" t="s">
        <v>409</v>
      </c>
      <c r="P64" s="38">
        <v>64.0</v>
      </c>
      <c r="Q64" s="38" t="s">
        <v>410</v>
      </c>
      <c r="R64" s="38" t="s">
        <v>411</v>
      </c>
      <c r="S64" s="38" t="s">
        <v>412</v>
      </c>
      <c r="T64" s="38"/>
      <c r="U64" s="38"/>
      <c r="V64" s="38"/>
      <c r="W64" s="38">
        <v>2019.0</v>
      </c>
      <c r="X64" s="38" t="s">
        <v>343</v>
      </c>
      <c r="Y64" s="38" t="s">
        <v>413</v>
      </c>
      <c r="Z64" s="39"/>
      <c r="AA64" s="40" t="s">
        <v>414</v>
      </c>
      <c r="AB64" s="38" t="s">
        <v>346</v>
      </c>
      <c r="AC64" s="38" t="s">
        <v>414</v>
      </c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</row>
    <row r="65">
      <c r="D65" s="2" t="b">
        <v>1</v>
      </c>
      <c r="E65" s="2" t="s">
        <v>415</v>
      </c>
      <c r="F65" s="2" t="b">
        <v>0</v>
      </c>
      <c r="G65" s="2" t="b">
        <v>0</v>
      </c>
      <c r="H65" s="2" t="b">
        <v>0</v>
      </c>
      <c r="J65" s="2" t="s">
        <v>416</v>
      </c>
      <c r="K65" s="2" t="s">
        <v>32</v>
      </c>
      <c r="L65" s="2" t="s">
        <v>312</v>
      </c>
      <c r="M65" s="3" t="s">
        <v>108</v>
      </c>
      <c r="N65" s="3" t="s">
        <v>417</v>
      </c>
      <c r="O65" s="3" t="s">
        <v>418</v>
      </c>
      <c r="P65" s="3">
        <v>38.0</v>
      </c>
      <c r="Q65" s="3">
        <v>683.0</v>
      </c>
      <c r="R65" s="3" t="s">
        <v>419</v>
      </c>
      <c r="W65" s="3">
        <v>2023.0</v>
      </c>
      <c r="X65" s="3" t="s">
        <v>343</v>
      </c>
      <c r="Y65" s="3" t="s">
        <v>420</v>
      </c>
      <c r="Z65" s="2"/>
      <c r="AA65" s="15" t="s">
        <v>421</v>
      </c>
      <c r="AB65" s="3" t="s">
        <v>422</v>
      </c>
      <c r="AC65" s="3" t="s">
        <v>423</v>
      </c>
    </row>
    <row r="66">
      <c r="A66" s="22"/>
      <c r="B66" s="22"/>
      <c r="C66" s="22"/>
      <c r="D66" s="23" t="b">
        <v>0</v>
      </c>
      <c r="E66" s="22"/>
      <c r="F66" s="23" t="b">
        <v>0</v>
      </c>
      <c r="G66" s="23" t="b">
        <v>0</v>
      </c>
      <c r="H66" s="23" t="b">
        <v>0</v>
      </c>
      <c r="I66" s="23" t="s">
        <v>424</v>
      </c>
      <c r="J66" s="23" t="s">
        <v>425</v>
      </c>
      <c r="K66" s="23" t="s">
        <v>32</v>
      </c>
      <c r="L66" s="23" t="s">
        <v>312</v>
      </c>
      <c r="M66" s="22" t="s">
        <v>426</v>
      </c>
      <c r="N66" s="22" t="s">
        <v>34</v>
      </c>
      <c r="O66" s="22" t="s">
        <v>427</v>
      </c>
      <c r="P66" s="22">
        <v>56.0</v>
      </c>
      <c r="Q66" s="22">
        <v>1120.0</v>
      </c>
      <c r="R66" s="22" t="s">
        <v>428</v>
      </c>
      <c r="S66" s="22" t="s">
        <v>429</v>
      </c>
      <c r="T66" s="22">
        <v>2.12</v>
      </c>
      <c r="U66" s="22"/>
      <c r="V66" s="22"/>
      <c r="W66" s="22">
        <v>2017.0</v>
      </c>
      <c r="X66" s="22" t="s">
        <v>343</v>
      </c>
      <c r="Y66" s="22" t="s">
        <v>430</v>
      </c>
      <c r="Z66" s="23"/>
      <c r="AA66" s="28" t="s">
        <v>431</v>
      </c>
      <c r="AB66" s="22" t="s">
        <v>432</v>
      </c>
      <c r="AC66" s="22" t="s">
        <v>433</v>
      </c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>
      <c r="A67" s="22"/>
      <c r="B67" s="22"/>
      <c r="C67" s="22"/>
      <c r="D67" s="23" t="b">
        <v>1</v>
      </c>
      <c r="E67" s="23" t="s">
        <v>434</v>
      </c>
      <c r="F67" s="23" t="b">
        <v>0</v>
      </c>
      <c r="G67" s="23" t="b">
        <v>0</v>
      </c>
      <c r="H67" s="23" t="b">
        <v>0</v>
      </c>
      <c r="I67" s="23" t="s">
        <v>435</v>
      </c>
      <c r="J67" s="23" t="s">
        <v>436</v>
      </c>
      <c r="K67" s="23" t="s">
        <v>32</v>
      </c>
      <c r="L67" s="23" t="s">
        <v>312</v>
      </c>
      <c r="M67" s="22" t="s">
        <v>349</v>
      </c>
      <c r="N67" s="22" t="s">
        <v>437</v>
      </c>
      <c r="O67" s="22" t="s">
        <v>438</v>
      </c>
      <c r="P67" s="22">
        <v>922.0</v>
      </c>
      <c r="Q67" s="22">
        <v>773253.0</v>
      </c>
      <c r="R67" s="22" t="s">
        <v>63</v>
      </c>
      <c r="S67" s="22"/>
      <c r="T67" s="22">
        <v>368.41</v>
      </c>
      <c r="U67" s="22"/>
      <c r="V67" s="22"/>
      <c r="W67" s="22">
        <v>2019.0</v>
      </c>
      <c r="X67" s="22" t="s">
        <v>331</v>
      </c>
      <c r="Y67" s="22" t="s">
        <v>439</v>
      </c>
      <c r="Z67" s="23"/>
      <c r="AA67" s="28" t="s">
        <v>440</v>
      </c>
      <c r="AB67" s="22" t="s">
        <v>334</v>
      </c>
      <c r="AC67" s="22" t="s">
        <v>441</v>
      </c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>
      <c r="D68" s="2" t="b">
        <v>1</v>
      </c>
      <c r="E68" s="2" t="s">
        <v>442</v>
      </c>
      <c r="F68" s="2" t="b">
        <v>0</v>
      </c>
      <c r="G68" s="2" t="b">
        <v>0</v>
      </c>
      <c r="H68" s="2" t="b">
        <v>0</v>
      </c>
      <c r="J68" s="2" t="s">
        <v>442</v>
      </c>
      <c r="K68" s="2" t="s">
        <v>32</v>
      </c>
      <c r="L68" s="2" t="s">
        <v>312</v>
      </c>
      <c r="M68" s="3" t="s">
        <v>364</v>
      </c>
      <c r="N68" s="3" t="s">
        <v>443</v>
      </c>
      <c r="O68" s="3" t="s">
        <v>444</v>
      </c>
      <c r="R68" s="3" t="s">
        <v>445</v>
      </c>
      <c r="W68" s="3">
        <v>2019.0</v>
      </c>
      <c r="X68" s="3" t="s">
        <v>343</v>
      </c>
      <c r="Y68" s="3" t="s">
        <v>446</v>
      </c>
      <c r="Z68" s="2"/>
      <c r="AA68" s="15" t="s">
        <v>447</v>
      </c>
      <c r="AB68" s="3" t="s">
        <v>346</v>
      </c>
      <c r="AC68" s="3" t="s">
        <v>448</v>
      </c>
      <c r="AD68" s="15" t="s">
        <v>449</v>
      </c>
    </row>
    <row r="69">
      <c r="D69" s="2" t="b">
        <v>1</v>
      </c>
      <c r="E69" s="2" t="s">
        <v>450</v>
      </c>
      <c r="F69" s="2" t="b">
        <v>0</v>
      </c>
      <c r="G69" s="2" t="b">
        <v>0</v>
      </c>
      <c r="H69" s="2" t="b">
        <v>0</v>
      </c>
      <c r="J69" s="2" t="s">
        <v>451</v>
      </c>
      <c r="K69" s="2" t="s">
        <v>32</v>
      </c>
      <c r="L69" s="2" t="s">
        <v>312</v>
      </c>
      <c r="Z69" s="2"/>
      <c r="AA69" s="15" t="s">
        <v>452</v>
      </c>
    </row>
    <row r="70">
      <c r="A70" s="11"/>
      <c r="B70" s="11"/>
      <c r="C70" s="11"/>
      <c r="D70" s="12" t="b">
        <v>1</v>
      </c>
      <c r="E70" s="12" t="s">
        <v>453</v>
      </c>
      <c r="F70" s="12" t="b">
        <v>0</v>
      </c>
      <c r="G70" s="12" t="b">
        <v>0</v>
      </c>
      <c r="H70" s="12" t="b">
        <v>0</v>
      </c>
      <c r="I70" s="11"/>
      <c r="J70" s="12" t="s">
        <v>454</v>
      </c>
      <c r="K70" s="12" t="s">
        <v>32</v>
      </c>
      <c r="L70" s="12" t="s">
        <v>312</v>
      </c>
      <c r="M70" s="12" t="s">
        <v>235</v>
      </c>
      <c r="N70" s="12" t="s">
        <v>455</v>
      </c>
      <c r="O70" s="12" t="s">
        <v>456</v>
      </c>
      <c r="P70" s="12">
        <v>222.0</v>
      </c>
      <c r="Q70" s="41">
        <v>387680.0</v>
      </c>
      <c r="R70" s="12" t="s">
        <v>63</v>
      </c>
      <c r="S70" s="12" t="s">
        <v>457</v>
      </c>
      <c r="T70" s="12">
        <v>78.36</v>
      </c>
      <c r="U70" s="11"/>
      <c r="V70" s="11"/>
      <c r="W70" s="12">
        <v>2016.0</v>
      </c>
      <c r="X70" s="12" t="s">
        <v>331</v>
      </c>
      <c r="Y70" s="12" t="s">
        <v>458</v>
      </c>
      <c r="Z70" s="12"/>
      <c r="AA70" s="14" t="s">
        <v>459</v>
      </c>
      <c r="AB70" s="14" t="s">
        <v>460</v>
      </c>
      <c r="AC70" s="12" t="s">
        <v>334</v>
      </c>
      <c r="AD70" s="14" t="s">
        <v>461</v>
      </c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</row>
    <row r="71">
      <c r="A71" s="38"/>
      <c r="B71" s="38"/>
      <c r="C71" s="38"/>
      <c r="D71" s="39" t="b">
        <v>1</v>
      </c>
      <c r="E71" s="39" t="s">
        <v>462</v>
      </c>
      <c r="F71" s="39" t="b">
        <v>0</v>
      </c>
      <c r="G71" s="39" t="b">
        <v>0</v>
      </c>
      <c r="H71" s="39" t="b">
        <v>0</v>
      </c>
      <c r="I71" s="38"/>
      <c r="J71" s="39" t="s">
        <v>463</v>
      </c>
      <c r="K71" s="39" t="s">
        <v>32</v>
      </c>
      <c r="L71" s="39" t="s">
        <v>312</v>
      </c>
      <c r="M71" s="39" t="s">
        <v>235</v>
      </c>
      <c r="N71" s="39" t="s">
        <v>34</v>
      </c>
      <c r="O71" s="39" t="s">
        <v>167</v>
      </c>
      <c r="P71" s="39">
        <v>719.0</v>
      </c>
      <c r="Q71" s="42">
        <v>299306.0</v>
      </c>
      <c r="R71" s="39" t="s">
        <v>63</v>
      </c>
      <c r="S71" s="38"/>
      <c r="T71" s="39">
        <v>55.6</v>
      </c>
      <c r="U71" s="38"/>
      <c r="V71" s="38"/>
      <c r="W71" s="39">
        <v>2022.0</v>
      </c>
      <c r="X71" s="39" t="s">
        <v>331</v>
      </c>
      <c r="Y71" s="39" t="s">
        <v>458</v>
      </c>
      <c r="Z71" s="39"/>
      <c r="AA71" s="40" t="s">
        <v>464</v>
      </c>
      <c r="AB71" s="40" t="s">
        <v>465</v>
      </c>
      <c r="AC71" s="39" t="s">
        <v>334</v>
      </c>
      <c r="AD71" s="40" t="s">
        <v>466</v>
      </c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</row>
    <row r="72">
      <c r="D72" s="2" t="b">
        <v>1</v>
      </c>
      <c r="E72" s="2" t="s">
        <v>467</v>
      </c>
      <c r="F72" s="2" t="b">
        <v>0</v>
      </c>
      <c r="G72" s="2" t="b">
        <v>0</v>
      </c>
      <c r="H72" s="2" t="b">
        <v>0</v>
      </c>
      <c r="J72" s="2" t="s">
        <v>468</v>
      </c>
      <c r="K72" s="2" t="s">
        <v>32</v>
      </c>
      <c r="L72" s="2" t="s">
        <v>312</v>
      </c>
      <c r="M72" s="2" t="s">
        <v>469</v>
      </c>
      <c r="N72" s="2" t="s">
        <v>61</v>
      </c>
      <c r="O72" s="2" t="s">
        <v>470</v>
      </c>
      <c r="P72" s="2">
        <v>200.0</v>
      </c>
      <c r="Q72" s="2">
        <v>200.0</v>
      </c>
      <c r="R72" s="2" t="s">
        <v>341</v>
      </c>
      <c r="W72" s="2">
        <v>2021.0</v>
      </c>
      <c r="X72" s="2" t="s">
        <v>343</v>
      </c>
      <c r="Y72" s="2" t="s">
        <v>471</v>
      </c>
      <c r="Z72" s="2"/>
      <c r="AA72" s="15" t="s">
        <v>472</v>
      </c>
      <c r="AB72" s="15" t="s">
        <v>473</v>
      </c>
      <c r="AC72" s="2" t="s">
        <v>474</v>
      </c>
      <c r="AD72" s="15" t="s">
        <v>475</v>
      </c>
    </row>
    <row r="73">
      <c r="A73" s="22"/>
      <c r="B73" s="22"/>
      <c r="C73" s="22"/>
      <c r="D73" s="23" t="b">
        <v>1</v>
      </c>
      <c r="E73" s="23" t="s">
        <v>476</v>
      </c>
      <c r="F73" s="23" t="b">
        <v>0</v>
      </c>
      <c r="G73" s="23" t="b">
        <v>0</v>
      </c>
      <c r="H73" s="23" t="b">
        <v>0</v>
      </c>
      <c r="I73" s="23" t="s">
        <v>155</v>
      </c>
      <c r="J73" s="23" t="s">
        <v>477</v>
      </c>
      <c r="K73" s="23" t="s">
        <v>32</v>
      </c>
      <c r="L73" s="23" t="s">
        <v>312</v>
      </c>
      <c r="M73" s="23" t="s">
        <v>469</v>
      </c>
      <c r="N73" s="23" t="s">
        <v>61</v>
      </c>
      <c r="O73" s="23" t="s">
        <v>470</v>
      </c>
      <c r="P73" s="22"/>
      <c r="Q73" s="22"/>
      <c r="R73" s="23" t="s">
        <v>37</v>
      </c>
      <c r="S73" s="22"/>
      <c r="T73" s="22"/>
      <c r="U73" s="22"/>
      <c r="V73" s="22"/>
      <c r="W73" s="23">
        <v>2022.0</v>
      </c>
      <c r="X73" s="23" t="s">
        <v>343</v>
      </c>
      <c r="Y73" s="23" t="s">
        <v>478</v>
      </c>
      <c r="Z73" s="23"/>
      <c r="AA73" s="28" t="s">
        <v>479</v>
      </c>
      <c r="AB73" s="28" t="s">
        <v>480</v>
      </c>
      <c r="AC73" s="23" t="s">
        <v>474</v>
      </c>
      <c r="AD73" s="28" t="s">
        <v>481</v>
      </c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>
      <c r="D74" s="2" t="b">
        <v>1</v>
      </c>
      <c r="E74" s="2" t="s">
        <v>482</v>
      </c>
      <c r="F74" s="2" t="b">
        <v>0</v>
      </c>
      <c r="G74" s="2" t="b">
        <v>0</v>
      </c>
      <c r="H74" s="2" t="b">
        <v>0</v>
      </c>
      <c r="J74" s="2" t="s">
        <v>483</v>
      </c>
      <c r="K74" s="2" t="s">
        <v>32</v>
      </c>
      <c r="L74" s="2" t="s">
        <v>312</v>
      </c>
      <c r="M74" s="2" t="s">
        <v>484</v>
      </c>
      <c r="N74" s="2" t="s">
        <v>485</v>
      </c>
      <c r="O74" s="2" t="s">
        <v>486</v>
      </c>
      <c r="R74" s="2" t="s">
        <v>37</v>
      </c>
      <c r="W74" s="2">
        <v>2020.0</v>
      </c>
      <c r="X74" s="2" t="s">
        <v>343</v>
      </c>
      <c r="Y74" s="2" t="s">
        <v>487</v>
      </c>
      <c r="Z74" s="2"/>
      <c r="AA74" s="15" t="s">
        <v>488</v>
      </c>
      <c r="AB74" s="15" t="s">
        <v>489</v>
      </c>
      <c r="AC74" s="2" t="s">
        <v>105</v>
      </c>
      <c r="AD74" s="15" t="s">
        <v>488</v>
      </c>
    </row>
    <row r="75">
      <c r="D75" s="2" t="b">
        <v>1</v>
      </c>
      <c r="E75" s="2" t="s">
        <v>490</v>
      </c>
      <c r="F75" s="2" t="b">
        <v>0</v>
      </c>
      <c r="G75" s="2" t="b">
        <v>0</v>
      </c>
      <c r="H75" s="2" t="b">
        <v>0</v>
      </c>
      <c r="J75" s="2" t="s">
        <v>490</v>
      </c>
      <c r="K75" s="2" t="s">
        <v>32</v>
      </c>
      <c r="L75" s="2" t="s">
        <v>312</v>
      </c>
      <c r="M75" s="2" t="s">
        <v>469</v>
      </c>
      <c r="N75" s="2" t="s">
        <v>491</v>
      </c>
      <c r="O75" s="2" t="s">
        <v>492</v>
      </c>
      <c r="Q75" s="2" t="s">
        <v>493</v>
      </c>
      <c r="R75" s="2" t="s">
        <v>341</v>
      </c>
      <c r="S75" s="2" t="s">
        <v>494</v>
      </c>
      <c r="W75" s="2">
        <v>2014.0</v>
      </c>
      <c r="X75" s="2" t="s">
        <v>343</v>
      </c>
      <c r="Y75" s="2" t="s">
        <v>495</v>
      </c>
      <c r="Z75" s="2"/>
      <c r="AA75" s="15" t="s">
        <v>496</v>
      </c>
      <c r="AB75" s="15" t="s">
        <v>497</v>
      </c>
      <c r="AC75" s="2" t="s">
        <v>346</v>
      </c>
      <c r="AD75" s="15" t="s">
        <v>498</v>
      </c>
    </row>
    <row r="76">
      <c r="D76" s="2" t="b">
        <v>1</v>
      </c>
      <c r="E76" s="2" t="s">
        <v>499</v>
      </c>
      <c r="F76" s="2" t="b">
        <v>0</v>
      </c>
      <c r="G76" s="2" t="b">
        <v>0</v>
      </c>
      <c r="H76" s="2" t="b">
        <v>0</v>
      </c>
      <c r="J76" s="2" t="s">
        <v>499</v>
      </c>
      <c r="K76" s="2" t="s">
        <v>32</v>
      </c>
      <c r="L76" s="2" t="s">
        <v>312</v>
      </c>
      <c r="M76" s="2" t="s">
        <v>469</v>
      </c>
      <c r="N76" s="2" t="s">
        <v>455</v>
      </c>
      <c r="O76" s="2" t="s">
        <v>456</v>
      </c>
      <c r="P76" s="2">
        <v>54.0</v>
      </c>
      <c r="Q76" s="2">
        <v>96.0</v>
      </c>
      <c r="R76" s="2" t="s">
        <v>500</v>
      </c>
      <c r="S76" s="2" t="s">
        <v>501</v>
      </c>
      <c r="T76" s="2">
        <v>43.2</v>
      </c>
      <c r="W76" s="2">
        <v>2019.0</v>
      </c>
      <c r="X76" s="2" t="s">
        <v>343</v>
      </c>
      <c r="Y76" s="2" t="s">
        <v>502</v>
      </c>
      <c r="Z76" s="2"/>
      <c r="AA76" s="15" t="s">
        <v>503</v>
      </c>
      <c r="AB76" s="15" t="s">
        <v>504</v>
      </c>
      <c r="AC76" s="2" t="s">
        <v>505</v>
      </c>
      <c r="AD76" s="15" t="s">
        <v>506</v>
      </c>
    </row>
    <row r="77">
      <c r="D77" s="2" t="b">
        <v>1</v>
      </c>
      <c r="E77" s="2" t="s">
        <v>507</v>
      </c>
      <c r="F77" s="2" t="b">
        <v>0</v>
      </c>
      <c r="G77" s="2" t="b">
        <v>0</v>
      </c>
      <c r="H77" s="2" t="b">
        <v>0</v>
      </c>
      <c r="J77" s="2" t="s">
        <v>507</v>
      </c>
      <c r="K77" s="2" t="s">
        <v>32</v>
      </c>
      <c r="L77" s="2" t="s">
        <v>312</v>
      </c>
      <c r="M77" s="2" t="s">
        <v>235</v>
      </c>
      <c r="N77" s="2" t="s">
        <v>34</v>
      </c>
      <c r="O77" s="2" t="s">
        <v>167</v>
      </c>
      <c r="P77" s="2">
        <v>10.0</v>
      </c>
      <c r="Q77" s="43">
        <v>76308.0</v>
      </c>
      <c r="R77" s="2" t="s">
        <v>63</v>
      </c>
      <c r="X77" s="2" t="s">
        <v>331</v>
      </c>
      <c r="Y77" s="2" t="s">
        <v>332</v>
      </c>
      <c r="Z77" s="2"/>
      <c r="AA77" s="15" t="s">
        <v>508</v>
      </c>
      <c r="AB77" s="15" t="s">
        <v>509</v>
      </c>
      <c r="AC77" s="2" t="s">
        <v>334</v>
      </c>
      <c r="AD77" s="15" t="s">
        <v>509</v>
      </c>
    </row>
    <row r="78">
      <c r="D78" s="2" t="b">
        <v>1</v>
      </c>
      <c r="E78" s="2" t="s">
        <v>510</v>
      </c>
      <c r="F78" s="2" t="b">
        <v>0</v>
      </c>
      <c r="G78" s="2" t="b">
        <v>0</v>
      </c>
      <c r="H78" s="2" t="b">
        <v>0</v>
      </c>
      <c r="J78" s="2" t="s">
        <v>510</v>
      </c>
      <c r="K78" s="2" t="s">
        <v>32</v>
      </c>
      <c r="L78" s="2" t="s">
        <v>312</v>
      </c>
      <c r="M78" s="2" t="s">
        <v>235</v>
      </c>
      <c r="N78" s="2" t="s">
        <v>34</v>
      </c>
      <c r="O78" s="2" t="s">
        <v>167</v>
      </c>
      <c r="P78" s="2">
        <v>13.0</v>
      </c>
      <c r="Q78" s="43">
        <v>31790.0</v>
      </c>
      <c r="R78" s="2" t="s">
        <v>63</v>
      </c>
      <c r="T78" s="2">
        <v>4.19</v>
      </c>
      <c r="W78" s="2">
        <v>2019.0</v>
      </c>
      <c r="X78" s="2" t="s">
        <v>331</v>
      </c>
      <c r="Y78" s="2" t="s">
        <v>511</v>
      </c>
      <c r="Z78" s="2"/>
      <c r="AA78" s="15" t="s">
        <v>512</v>
      </c>
      <c r="AB78" s="15" t="s">
        <v>513</v>
      </c>
      <c r="AC78" s="2" t="s">
        <v>334</v>
      </c>
      <c r="AD78" s="15" t="s">
        <v>514</v>
      </c>
    </row>
    <row r="79">
      <c r="D79" s="2" t="b">
        <v>1</v>
      </c>
      <c r="E79" s="2" t="s">
        <v>515</v>
      </c>
      <c r="F79" s="2" t="b">
        <v>0</v>
      </c>
      <c r="G79" s="2" t="b">
        <v>0</v>
      </c>
      <c r="H79" s="2" t="b">
        <v>0</v>
      </c>
      <c r="J79" s="2" t="s">
        <v>516</v>
      </c>
      <c r="K79" s="2" t="s">
        <v>32</v>
      </c>
      <c r="L79" s="2" t="s">
        <v>312</v>
      </c>
      <c r="M79" s="2" t="s">
        <v>235</v>
      </c>
      <c r="N79" s="2" t="s">
        <v>34</v>
      </c>
      <c r="P79" s="2">
        <v>19.0</v>
      </c>
      <c r="Q79" s="43">
        <v>70220.0</v>
      </c>
      <c r="R79" s="2" t="s">
        <v>63</v>
      </c>
      <c r="T79" s="2">
        <v>7.3</v>
      </c>
      <c r="W79" s="2">
        <v>2009.0</v>
      </c>
      <c r="X79" s="2" t="s">
        <v>331</v>
      </c>
      <c r="Z79" s="2"/>
      <c r="AA79" s="15" t="s">
        <v>517</v>
      </c>
      <c r="AB79" s="15" t="s">
        <v>518</v>
      </c>
      <c r="AC79" s="2" t="s">
        <v>334</v>
      </c>
      <c r="AD79" s="15" t="s">
        <v>519</v>
      </c>
    </row>
    <row r="80">
      <c r="D80" s="2" t="b">
        <v>1</v>
      </c>
      <c r="E80" s="2" t="s">
        <v>520</v>
      </c>
      <c r="F80" s="2" t="b">
        <v>0</v>
      </c>
      <c r="G80" s="2" t="b">
        <v>0</v>
      </c>
      <c r="H80" s="2" t="b">
        <v>0</v>
      </c>
      <c r="J80" s="2" t="s">
        <v>521</v>
      </c>
      <c r="K80" s="2" t="s">
        <v>32</v>
      </c>
      <c r="L80" s="2" t="s">
        <v>312</v>
      </c>
      <c r="M80" s="2" t="s">
        <v>522</v>
      </c>
      <c r="N80" s="2" t="s">
        <v>61</v>
      </c>
      <c r="O80" s="2" t="s">
        <v>523</v>
      </c>
      <c r="P80" s="2">
        <v>5060.0</v>
      </c>
      <c r="Q80" s="2" t="s">
        <v>524</v>
      </c>
      <c r="R80" s="2" t="s">
        <v>63</v>
      </c>
      <c r="T80" s="2">
        <v>229.61</v>
      </c>
      <c r="W80" s="2">
        <v>2021.0</v>
      </c>
      <c r="X80" s="2" t="s">
        <v>331</v>
      </c>
      <c r="Y80" s="2" t="s">
        <v>525</v>
      </c>
      <c r="Z80" s="2"/>
      <c r="AA80" s="15" t="s">
        <v>526</v>
      </c>
      <c r="AB80" s="15" t="s">
        <v>527</v>
      </c>
      <c r="AC80" s="2" t="s">
        <v>334</v>
      </c>
      <c r="AD80" s="15" t="s">
        <v>528</v>
      </c>
    </row>
    <row r="81">
      <c r="D81" s="2" t="b">
        <v>1</v>
      </c>
      <c r="E81" s="2" t="s">
        <v>529</v>
      </c>
      <c r="F81" s="2" t="b">
        <v>0</v>
      </c>
      <c r="G81" s="2" t="b">
        <v>0</v>
      </c>
      <c r="H81" s="2" t="b">
        <v>0</v>
      </c>
      <c r="J81" s="2" t="s">
        <v>530</v>
      </c>
      <c r="K81" s="2" t="s">
        <v>32</v>
      </c>
      <c r="L81" s="2" t="s">
        <v>312</v>
      </c>
      <c r="M81" s="2" t="s">
        <v>469</v>
      </c>
      <c r="N81" s="2" t="s">
        <v>34</v>
      </c>
      <c r="O81" s="2" t="s">
        <v>167</v>
      </c>
      <c r="P81" s="2">
        <v>78.0</v>
      </c>
      <c r="Q81" s="2">
        <v>130.0</v>
      </c>
      <c r="R81" s="2" t="s">
        <v>531</v>
      </c>
      <c r="S81" s="2" t="s">
        <v>501</v>
      </c>
      <c r="T81" s="2">
        <v>53.0</v>
      </c>
      <c r="W81" s="2">
        <v>2019.0</v>
      </c>
      <c r="X81" s="2" t="s">
        <v>343</v>
      </c>
      <c r="Y81" s="2" t="s">
        <v>532</v>
      </c>
      <c r="Z81" s="2"/>
      <c r="AA81" s="15" t="s">
        <v>533</v>
      </c>
      <c r="AB81" s="15" t="s">
        <v>534</v>
      </c>
      <c r="AC81" s="2" t="s">
        <v>505</v>
      </c>
      <c r="AD81" s="15" t="s">
        <v>535</v>
      </c>
    </row>
    <row r="82">
      <c r="A82" s="17"/>
      <c r="B82" s="17"/>
      <c r="C82" s="17"/>
      <c r="D82" s="18" t="b">
        <v>1</v>
      </c>
      <c r="E82" s="18" t="s">
        <v>536</v>
      </c>
      <c r="F82" s="18" t="b">
        <v>0</v>
      </c>
      <c r="G82" s="18" t="b">
        <v>0</v>
      </c>
      <c r="H82" s="18" t="b">
        <v>0</v>
      </c>
      <c r="I82" s="17"/>
      <c r="J82" s="18" t="s">
        <v>536</v>
      </c>
      <c r="K82" s="18" t="s">
        <v>32</v>
      </c>
      <c r="L82" s="18" t="s">
        <v>312</v>
      </c>
      <c r="M82" s="18" t="s">
        <v>537</v>
      </c>
      <c r="N82" s="18" t="s">
        <v>485</v>
      </c>
      <c r="O82" s="18" t="s">
        <v>538</v>
      </c>
      <c r="P82" s="18">
        <v>139.0</v>
      </c>
      <c r="Q82" s="17"/>
      <c r="R82" s="18" t="s">
        <v>539</v>
      </c>
      <c r="S82" s="17"/>
      <c r="T82" s="18">
        <v>88.13</v>
      </c>
      <c r="U82" s="17"/>
      <c r="V82" s="17"/>
      <c r="W82" s="18">
        <v>2020.0</v>
      </c>
      <c r="X82" s="18" t="s">
        <v>540</v>
      </c>
      <c r="Y82" s="18" t="s">
        <v>458</v>
      </c>
      <c r="Z82" s="18"/>
      <c r="AA82" s="20" t="s">
        <v>541</v>
      </c>
      <c r="AB82" s="20" t="s">
        <v>542</v>
      </c>
      <c r="AC82" s="18" t="s">
        <v>543</v>
      </c>
      <c r="AD82" s="20" t="s">
        <v>542</v>
      </c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</row>
    <row r="83">
      <c r="D83" s="2" t="b">
        <v>1</v>
      </c>
      <c r="E83" s="2" t="s">
        <v>544</v>
      </c>
      <c r="F83" s="2" t="b">
        <v>0</v>
      </c>
      <c r="G83" s="2" t="b">
        <v>0</v>
      </c>
      <c r="H83" s="2" t="b">
        <v>0</v>
      </c>
      <c r="J83" s="2" t="s">
        <v>544</v>
      </c>
      <c r="K83" s="2" t="s">
        <v>32</v>
      </c>
      <c r="L83" s="2" t="s">
        <v>312</v>
      </c>
      <c r="M83" s="2" t="s">
        <v>469</v>
      </c>
      <c r="N83" s="2" t="s">
        <v>545</v>
      </c>
      <c r="O83" s="2" t="s">
        <v>546</v>
      </c>
      <c r="Q83" s="2" t="s">
        <v>547</v>
      </c>
      <c r="R83" s="2" t="s">
        <v>548</v>
      </c>
      <c r="S83" s="2" t="s">
        <v>549</v>
      </c>
      <c r="W83" s="2">
        <v>2022.0</v>
      </c>
      <c r="X83" s="2" t="s">
        <v>343</v>
      </c>
      <c r="Y83" s="2" t="s">
        <v>550</v>
      </c>
      <c r="Z83" s="2"/>
      <c r="AA83" s="15" t="s">
        <v>551</v>
      </c>
      <c r="AB83" s="15" t="s">
        <v>552</v>
      </c>
      <c r="AC83" s="2" t="s">
        <v>553</v>
      </c>
      <c r="AD83" s="15" t="s">
        <v>554</v>
      </c>
    </row>
    <row r="84">
      <c r="D84" s="2" t="b">
        <v>1</v>
      </c>
      <c r="E84" s="2" t="s">
        <v>555</v>
      </c>
      <c r="F84" s="2" t="b">
        <v>0</v>
      </c>
      <c r="G84" s="2" t="b">
        <v>0</v>
      </c>
      <c r="H84" s="2" t="b">
        <v>0</v>
      </c>
      <c r="J84" s="2" t="s">
        <v>555</v>
      </c>
      <c r="K84" s="2" t="s">
        <v>32</v>
      </c>
      <c r="L84" s="2" t="s">
        <v>312</v>
      </c>
      <c r="M84" s="2" t="s">
        <v>364</v>
      </c>
      <c r="N84" s="2" t="s">
        <v>556</v>
      </c>
      <c r="O84" s="2" t="s">
        <v>557</v>
      </c>
      <c r="P84" s="2" t="s">
        <v>558</v>
      </c>
      <c r="Q84" s="2">
        <v>821.0</v>
      </c>
      <c r="W84" s="2">
        <v>2016.0</v>
      </c>
      <c r="X84" s="2" t="s">
        <v>343</v>
      </c>
      <c r="Y84" s="2" t="s">
        <v>559</v>
      </c>
      <c r="Z84" s="2"/>
      <c r="AA84" s="15" t="s">
        <v>560</v>
      </c>
      <c r="AB84" s="2" t="s">
        <v>561</v>
      </c>
      <c r="AC84" s="2" t="s">
        <v>346</v>
      </c>
      <c r="AD84" s="15" t="s">
        <v>562</v>
      </c>
    </row>
    <row r="85">
      <c r="A85" s="17"/>
      <c r="B85" s="17"/>
      <c r="C85" s="17"/>
      <c r="D85" s="18" t="b">
        <v>0</v>
      </c>
      <c r="E85" s="18" t="s">
        <v>563</v>
      </c>
      <c r="F85" s="18" t="b">
        <v>0</v>
      </c>
      <c r="G85" s="18" t="b">
        <v>0</v>
      </c>
      <c r="H85" s="18" t="b">
        <v>0</v>
      </c>
      <c r="I85" s="17"/>
      <c r="J85" s="18" t="s">
        <v>563</v>
      </c>
      <c r="K85" s="18" t="s">
        <v>32</v>
      </c>
      <c r="L85" s="18" t="s">
        <v>312</v>
      </c>
      <c r="M85" s="18" t="s">
        <v>564</v>
      </c>
      <c r="N85" s="17"/>
      <c r="O85" s="17"/>
      <c r="P85" s="18">
        <v>566.0</v>
      </c>
      <c r="Q85" s="18">
        <v>566.0</v>
      </c>
      <c r="R85" s="18" t="s">
        <v>63</v>
      </c>
      <c r="S85" s="17"/>
      <c r="T85" s="17"/>
      <c r="U85" s="17"/>
      <c r="V85" s="17"/>
      <c r="W85" s="18">
        <v>2020.0</v>
      </c>
      <c r="X85" s="18" t="s">
        <v>343</v>
      </c>
      <c r="Y85" s="18" t="s">
        <v>565</v>
      </c>
      <c r="Z85" s="18"/>
      <c r="AA85" s="20" t="s">
        <v>566</v>
      </c>
      <c r="AB85" s="18" t="s">
        <v>567</v>
      </c>
      <c r="AC85" s="18" t="s">
        <v>568</v>
      </c>
      <c r="AD85" s="20" t="s">
        <v>569</v>
      </c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</row>
    <row r="86">
      <c r="A86" s="17"/>
      <c r="B86" s="17"/>
      <c r="C86" s="17"/>
      <c r="D86" s="18" t="b">
        <v>1</v>
      </c>
      <c r="E86" s="18" t="s">
        <v>570</v>
      </c>
      <c r="F86" s="18" t="b">
        <v>0</v>
      </c>
      <c r="G86" s="18" t="b">
        <v>0</v>
      </c>
      <c r="H86" s="18" t="b">
        <v>0</v>
      </c>
      <c r="I86" s="17"/>
      <c r="J86" s="18" t="s">
        <v>571</v>
      </c>
      <c r="K86" s="18" t="s">
        <v>32</v>
      </c>
      <c r="L86" s="18" t="s">
        <v>572</v>
      </c>
      <c r="M86" s="17" t="s">
        <v>573</v>
      </c>
      <c r="N86" s="17" t="s">
        <v>574</v>
      </c>
      <c r="O86" s="17" t="s">
        <v>575</v>
      </c>
      <c r="P86" s="17">
        <v>20.0</v>
      </c>
      <c r="Q86" s="17">
        <v>347330.0</v>
      </c>
      <c r="R86" s="17" t="s">
        <v>63</v>
      </c>
      <c r="S86" s="17"/>
      <c r="T86" s="17">
        <v>183.04</v>
      </c>
      <c r="U86" s="17"/>
      <c r="V86" s="17"/>
      <c r="W86" s="17">
        <v>2016.0</v>
      </c>
      <c r="X86" s="17" t="s">
        <v>576</v>
      </c>
      <c r="Y86" s="17" t="s">
        <v>577</v>
      </c>
      <c r="Z86" s="18"/>
      <c r="AA86" s="20" t="s">
        <v>578</v>
      </c>
      <c r="AB86" s="17" t="s">
        <v>579</v>
      </c>
      <c r="AC86" s="17" t="s">
        <v>334</v>
      </c>
      <c r="AD86" s="17" t="s">
        <v>578</v>
      </c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</row>
    <row r="87">
      <c r="A87" s="22"/>
      <c r="B87" s="22"/>
      <c r="C87" s="22"/>
      <c r="D87" s="23" t="b">
        <v>0</v>
      </c>
      <c r="E87" s="23" t="s">
        <v>580</v>
      </c>
      <c r="F87" s="23" t="b">
        <v>0</v>
      </c>
      <c r="G87" s="23" t="b">
        <v>0</v>
      </c>
      <c r="H87" s="23" t="b">
        <v>1</v>
      </c>
      <c r="I87" s="23" t="s">
        <v>581</v>
      </c>
      <c r="J87" s="23" t="s">
        <v>580</v>
      </c>
      <c r="K87" s="23" t="s">
        <v>32</v>
      </c>
      <c r="L87" s="23" t="s">
        <v>572</v>
      </c>
      <c r="M87" s="22" t="s">
        <v>60</v>
      </c>
      <c r="N87" s="22" t="s">
        <v>582</v>
      </c>
      <c r="O87" s="22" t="s">
        <v>583</v>
      </c>
      <c r="P87" s="22">
        <v>9.0</v>
      </c>
      <c r="Q87" s="22"/>
      <c r="R87" s="22"/>
      <c r="S87" s="22" t="s">
        <v>584</v>
      </c>
      <c r="T87" s="22"/>
      <c r="U87" s="22"/>
      <c r="V87" s="22"/>
      <c r="W87" s="22"/>
      <c r="X87" s="22" t="s">
        <v>576</v>
      </c>
      <c r="Y87" s="22" t="s">
        <v>332</v>
      </c>
      <c r="Z87" s="23"/>
      <c r="AA87" s="28" t="s">
        <v>585</v>
      </c>
      <c r="AB87" s="22" t="s">
        <v>586</v>
      </c>
      <c r="AC87" s="22" t="s">
        <v>587</v>
      </c>
      <c r="AD87" s="22" t="s">
        <v>585</v>
      </c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</row>
    <row r="88">
      <c r="A88" s="17"/>
      <c r="B88" s="17"/>
      <c r="C88" s="17"/>
      <c r="D88" s="18" t="b">
        <v>1</v>
      </c>
      <c r="E88" s="18" t="s">
        <v>588</v>
      </c>
      <c r="F88" s="18" t="b">
        <v>0</v>
      </c>
      <c r="G88" s="18" t="b">
        <v>0</v>
      </c>
      <c r="H88" s="18" t="b">
        <v>0</v>
      </c>
      <c r="I88" s="17"/>
      <c r="J88" s="18" t="s">
        <v>588</v>
      </c>
      <c r="K88" s="18" t="s">
        <v>32</v>
      </c>
      <c r="L88" s="18" t="s">
        <v>572</v>
      </c>
      <c r="M88" s="17" t="s">
        <v>589</v>
      </c>
      <c r="N88" s="17" t="s">
        <v>590</v>
      </c>
      <c r="O88" s="17" t="s">
        <v>330</v>
      </c>
      <c r="P88" s="18">
        <v>950.0</v>
      </c>
      <c r="Q88" s="17"/>
      <c r="R88" s="17"/>
      <c r="S88" s="17"/>
      <c r="T88" s="17">
        <v>145.5</v>
      </c>
      <c r="U88" s="17"/>
      <c r="V88" s="17"/>
      <c r="W88" s="17">
        <v>2014.0</v>
      </c>
      <c r="X88" s="17" t="s">
        <v>331</v>
      </c>
      <c r="Y88" s="17" t="s">
        <v>332</v>
      </c>
      <c r="Z88" s="18"/>
      <c r="AA88" s="20" t="s">
        <v>591</v>
      </c>
      <c r="AB88" s="17" t="s">
        <v>592</v>
      </c>
      <c r="AC88" s="17" t="s">
        <v>334</v>
      </c>
      <c r="AD88" s="17" t="s">
        <v>591</v>
      </c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</row>
    <row r="89">
      <c r="D89" s="2" t="b">
        <v>1</v>
      </c>
      <c r="E89" s="2" t="s">
        <v>593</v>
      </c>
      <c r="F89" s="2" t="b">
        <v>0</v>
      </c>
      <c r="G89" s="2" t="b">
        <v>0</v>
      </c>
      <c r="H89" s="2" t="b">
        <v>0</v>
      </c>
      <c r="J89" s="2" t="s">
        <v>593</v>
      </c>
      <c r="K89" s="2" t="s">
        <v>32</v>
      </c>
      <c r="L89" s="2" t="s">
        <v>572</v>
      </c>
      <c r="M89" s="3" t="s">
        <v>60</v>
      </c>
      <c r="N89" s="3" t="s">
        <v>594</v>
      </c>
      <c r="O89" s="3" t="s">
        <v>595</v>
      </c>
      <c r="P89" s="3">
        <v>17.0</v>
      </c>
      <c r="Q89" s="3">
        <v>17.0</v>
      </c>
      <c r="R89" s="3" t="s">
        <v>596</v>
      </c>
      <c r="T89" s="3">
        <v>3.5</v>
      </c>
      <c r="W89" s="3">
        <v>2016.0</v>
      </c>
      <c r="X89" s="3" t="s">
        <v>331</v>
      </c>
      <c r="Y89" s="3" t="s">
        <v>597</v>
      </c>
      <c r="Z89" s="2"/>
      <c r="AA89" s="15" t="s">
        <v>598</v>
      </c>
      <c r="AB89" s="3" t="s">
        <v>599</v>
      </c>
      <c r="AC89" s="3" t="s">
        <v>600</v>
      </c>
      <c r="AD89" s="3" t="s">
        <v>598</v>
      </c>
    </row>
    <row r="90">
      <c r="D90" s="2" t="b">
        <v>1</v>
      </c>
      <c r="E90" s="2" t="s">
        <v>601</v>
      </c>
      <c r="F90" s="2" t="b">
        <v>0</v>
      </c>
      <c r="G90" s="2" t="b">
        <v>0</v>
      </c>
      <c r="H90" s="2" t="b">
        <v>0</v>
      </c>
      <c r="J90" s="2" t="s">
        <v>602</v>
      </c>
      <c r="K90" s="2" t="s">
        <v>32</v>
      </c>
      <c r="L90" s="2" t="s">
        <v>572</v>
      </c>
      <c r="M90" s="3" t="s">
        <v>60</v>
      </c>
      <c r="N90" s="3" t="s">
        <v>603</v>
      </c>
      <c r="O90" s="3" t="s">
        <v>604</v>
      </c>
      <c r="P90" s="3">
        <v>55.0</v>
      </c>
      <c r="Q90" s="3">
        <v>55.0</v>
      </c>
      <c r="W90" s="3">
        <v>2009.0</v>
      </c>
      <c r="X90" s="3" t="s">
        <v>331</v>
      </c>
      <c r="Y90" s="3" t="s">
        <v>597</v>
      </c>
      <c r="Z90" s="2"/>
      <c r="AA90" s="15" t="s">
        <v>605</v>
      </c>
      <c r="AB90" s="3" t="s">
        <v>606</v>
      </c>
      <c r="AC90" s="3" t="s">
        <v>346</v>
      </c>
      <c r="AD90" s="3" t="s">
        <v>605</v>
      </c>
    </row>
    <row r="91">
      <c r="A91" s="17"/>
      <c r="B91" s="17"/>
      <c r="C91" s="17"/>
      <c r="D91" s="18" t="b">
        <v>0</v>
      </c>
      <c r="E91" s="18" t="s">
        <v>607</v>
      </c>
      <c r="F91" s="18" t="b">
        <v>0</v>
      </c>
      <c r="G91" s="18" t="b">
        <v>0</v>
      </c>
      <c r="H91" s="18" t="b">
        <v>1</v>
      </c>
      <c r="I91" s="18" t="s">
        <v>608</v>
      </c>
      <c r="J91" s="18" t="s">
        <v>609</v>
      </c>
      <c r="K91" s="18" t="s">
        <v>32</v>
      </c>
      <c r="L91" s="18" t="s">
        <v>572</v>
      </c>
      <c r="M91" s="17" t="s">
        <v>610</v>
      </c>
      <c r="N91" s="17" t="s">
        <v>85</v>
      </c>
      <c r="O91" s="17" t="s">
        <v>611</v>
      </c>
      <c r="P91" s="17">
        <v>1311.0</v>
      </c>
      <c r="Q91" s="17">
        <v>2428.0</v>
      </c>
      <c r="R91" s="17" t="s">
        <v>612</v>
      </c>
      <c r="S91" s="17"/>
      <c r="T91" s="17"/>
      <c r="U91" s="17"/>
      <c r="V91" s="17"/>
      <c r="W91" s="17">
        <v>2020.0</v>
      </c>
      <c r="X91" s="17" t="s">
        <v>540</v>
      </c>
      <c r="Y91" s="17" t="s">
        <v>613</v>
      </c>
      <c r="Z91" s="18"/>
      <c r="AA91" s="20" t="s">
        <v>614</v>
      </c>
      <c r="AB91" s="17" t="s">
        <v>615</v>
      </c>
      <c r="AC91" s="17" t="s">
        <v>372</v>
      </c>
      <c r="AD91" s="17" t="s">
        <v>614</v>
      </c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</row>
    <row r="92">
      <c r="A92" s="17"/>
      <c r="B92" s="17"/>
      <c r="C92" s="17"/>
      <c r="D92" s="18" t="b">
        <v>1</v>
      </c>
      <c r="E92" s="18" t="s">
        <v>616</v>
      </c>
      <c r="F92" s="18" t="b">
        <v>0</v>
      </c>
      <c r="G92" s="18" t="b">
        <v>0</v>
      </c>
      <c r="H92" s="18" t="b">
        <v>0</v>
      </c>
      <c r="I92" s="17"/>
      <c r="J92" s="18" t="s">
        <v>616</v>
      </c>
      <c r="K92" s="18" t="s">
        <v>32</v>
      </c>
      <c r="L92" s="18" t="s">
        <v>572</v>
      </c>
      <c r="M92" s="17" t="s">
        <v>617</v>
      </c>
      <c r="N92" s="17" t="s">
        <v>618</v>
      </c>
      <c r="O92" s="17" t="s">
        <v>619</v>
      </c>
      <c r="P92" s="17">
        <v>4707.0</v>
      </c>
      <c r="Q92" s="17">
        <v>4707.0</v>
      </c>
      <c r="R92" s="17" t="s">
        <v>63</v>
      </c>
      <c r="S92" s="17"/>
      <c r="T92" s="17"/>
      <c r="U92" s="17"/>
      <c r="V92" s="17"/>
      <c r="W92" s="17">
        <v>2020.0</v>
      </c>
      <c r="X92" s="17" t="s">
        <v>343</v>
      </c>
      <c r="Y92" s="17" t="s">
        <v>620</v>
      </c>
      <c r="Z92" s="18"/>
      <c r="AA92" s="20" t="s">
        <v>621</v>
      </c>
      <c r="AB92" s="17" t="s">
        <v>622</v>
      </c>
      <c r="AC92" s="17" t="s">
        <v>372</v>
      </c>
      <c r="AD92" s="17" t="s">
        <v>621</v>
      </c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</row>
    <row r="93">
      <c r="A93" s="38"/>
      <c r="B93" s="38"/>
      <c r="C93" s="38"/>
      <c r="D93" s="39" t="b">
        <v>0</v>
      </c>
      <c r="E93" s="38"/>
      <c r="F93" s="39" t="b">
        <v>0</v>
      </c>
      <c r="G93" s="39" t="b">
        <v>0</v>
      </c>
      <c r="H93" s="39" t="b">
        <v>0</v>
      </c>
      <c r="I93" s="38"/>
      <c r="J93" s="39" t="s">
        <v>623</v>
      </c>
      <c r="K93" s="39" t="s">
        <v>32</v>
      </c>
      <c r="L93" s="39" t="s">
        <v>572</v>
      </c>
      <c r="M93" s="38" t="s">
        <v>33</v>
      </c>
      <c r="N93" s="38" t="s">
        <v>34</v>
      </c>
      <c r="O93" s="38" t="s">
        <v>167</v>
      </c>
      <c r="P93" s="38">
        <v>59.0</v>
      </c>
      <c r="Q93" s="38"/>
      <c r="R93" s="38"/>
      <c r="S93" s="38"/>
      <c r="T93" s="38"/>
      <c r="U93" s="38"/>
      <c r="V93" s="38"/>
      <c r="W93" s="38">
        <v>2020.0</v>
      </c>
      <c r="X93" s="38" t="s">
        <v>343</v>
      </c>
      <c r="Y93" s="38" t="s">
        <v>624</v>
      </c>
      <c r="Z93" s="39"/>
      <c r="AA93" s="40" t="s">
        <v>625</v>
      </c>
      <c r="AB93" s="38" t="s">
        <v>626</v>
      </c>
      <c r="AC93" s="38" t="s">
        <v>627</v>
      </c>
      <c r="AD93" s="38" t="s">
        <v>625</v>
      </c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</row>
    <row r="94">
      <c r="A94" s="38"/>
      <c r="B94" s="38"/>
      <c r="C94" s="38"/>
      <c r="D94" s="39" t="b">
        <v>0</v>
      </c>
      <c r="E94" s="38"/>
      <c r="F94" s="39" t="b">
        <v>0</v>
      </c>
      <c r="G94" s="39" t="b">
        <v>0</v>
      </c>
      <c r="H94" s="39" t="b">
        <v>0</v>
      </c>
      <c r="I94" s="38"/>
      <c r="J94" s="39" t="s">
        <v>628</v>
      </c>
      <c r="K94" s="39" t="s">
        <v>32</v>
      </c>
      <c r="L94" s="39" t="s">
        <v>572</v>
      </c>
      <c r="M94" s="38" t="s">
        <v>33</v>
      </c>
      <c r="N94" s="38" t="s">
        <v>85</v>
      </c>
      <c r="O94" s="38" t="s">
        <v>629</v>
      </c>
      <c r="P94" s="38">
        <v>19237.0</v>
      </c>
      <c r="Q94" s="38">
        <v>19237.0</v>
      </c>
      <c r="R94" s="38" t="s">
        <v>63</v>
      </c>
      <c r="S94" s="38" t="s">
        <v>630</v>
      </c>
      <c r="T94" s="38"/>
      <c r="U94" s="38"/>
      <c r="V94" s="38"/>
      <c r="W94" s="38">
        <v>2020.0</v>
      </c>
      <c r="X94" s="38" t="s">
        <v>343</v>
      </c>
      <c r="Y94" s="38" t="s">
        <v>631</v>
      </c>
      <c r="Z94" s="39"/>
      <c r="AA94" s="40" t="s">
        <v>632</v>
      </c>
      <c r="AB94" s="38" t="s">
        <v>633</v>
      </c>
      <c r="AC94" s="38" t="s">
        <v>634</v>
      </c>
      <c r="AD94" s="38" t="s">
        <v>632</v>
      </c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</row>
    <row r="95">
      <c r="D95" s="2" t="b">
        <v>1</v>
      </c>
      <c r="E95" s="2" t="s">
        <v>635</v>
      </c>
      <c r="F95" s="2" t="b">
        <v>0</v>
      </c>
      <c r="G95" s="2" t="b">
        <v>0</v>
      </c>
      <c r="H95" s="2" t="b">
        <v>0</v>
      </c>
      <c r="J95" s="2" t="s">
        <v>636</v>
      </c>
      <c r="K95" s="2" t="s">
        <v>32</v>
      </c>
      <c r="L95" s="2" t="s">
        <v>572</v>
      </c>
      <c r="M95" s="3" t="s">
        <v>33</v>
      </c>
      <c r="N95" s="3" t="s">
        <v>34</v>
      </c>
      <c r="O95" s="3" t="s">
        <v>167</v>
      </c>
      <c r="P95" s="3">
        <v>5863.0</v>
      </c>
      <c r="Q95" s="3">
        <v>5863.0</v>
      </c>
      <c r="R95" s="3" t="s">
        <v>45</v>
      </c>
      <c r="T95" s="3">
        <v>1.24</v>
      </c>
      <c r="W95" s="3">
        <v>2018.0</v>
      </c>
      <c r="X95" s="3" t="s">
        <v>343</v>
      </c>
      <c r="Y95" s="3" t="s">
        <v>597</v>
      </c>
      <c r="Z95" s="2"/>
      <c r="AA95" s="15" t="s">
        <v>637</v>
      </c>
      <c r="AB95" s="3" t="s">
        <v>638</v>
      </c>
      <c r="AC95" s="3" t="s">
        <v>105</v>
      </c>
      <c r="AD95" s="3" t="s">
        <v>637</v>
      </c>
    </row>
    <row r="96">
      <c r="A96" s="38"/>
      <c r="B96" s="38"/>
      <c r="C96" s="38"/>
      <c r="D96" s="39" t="b">
        <v>0</v>
      </c>
      <c r="E96" s="38"/>
      <c r="F96" s="39" t="b">
        <v>0</v>
      </c>
      <c r="G96" s="39" t="b">
        <v>0</v>
      </c>
      <c r="H96" s="39" t="b">
        <v>0</v>
      </c>
      <c r="I96" s="38"/>
      <c r="J96" s="39" t="s">
        <v>639</v>
      </c>
      <c r="K96" s="39" t="s">
        <v>32</v>
      </c>
      <c r="L96" s="39" t="s">
        <v>572</v>
      </c>
      <c r="M96" s="38" t="s">
        <v>33</v>
      </c>
      <c r="N96" s="38" t="s">
        <v>34</v>
      </c>
      <c r="O96" s="38" t="s">
        <v>167</v>
      </c>
      <c r="P96" s="38">
        <v>20000.0</v>
      </c>
      <c r="Q96" s="38">
        <v>20000.0</v>
      </c>
      <c r="R96" s="38"/>
      <c r="S96" s="38"/>
      <c r="T96" s="38"/>
      <c r="U96" s="38"/>
      <c r="V96" s="38"/>
      <c r="W96" s="38">
        <v>2020.0</v>
      </c>
      <c r="X96" s="38" t="s">
        <v>343</v>
      </c>
      <c r="Y96" s="38" t="s">
        <v>597</v>
      </c>
      <c r="Z96" s="39"/>
      <c r="AA96" s="40" t="s">
        <v>640</v>
      </c>
      <c r="AB96" s="38" t="s">
        <v>641</v>
      </c>
      <c r="AC96" s="38" t="s">
        <v>346</v>
      </c>
      <c r="AD96" s="38" t="s">
        <v>640</v>
      </c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</row>
    <row r="97">
      <c r="A97" s="38"/>
      <c r="B97" s="38"/>
      <c r="C97" s="38"/>
      <c r="D97" s="39" t="b">
        <v>0</v>
      </c>
      <c r="E97" s="38"/>
      <c r="F97" s="39" t="b">
        <v>0</v>
      </c>
      <c r="G97" s="39" t="b">
        <v>0</v>
      </c>
      <c r="H97" s="39" t="b">
        <v>0</v>
      </c>
      <c r="I97" s="38"/>
      <c r="J97" s="39" t="s">
        <v>642</v>
      </c>
      <c r="K97" s="39" t="s">
        <v>32</v>
      </c>
      <c r="L97" s="39" t="s">
        <v>572</v>
      </c>
      <c r="M97" s="38" t="s">
        <v>33</v>
      </c>
      <c r="N97" s="38" t="s">
        <v>61</v>
      </c>
      <c r="O97" s="38" t="s">
        <v>643</v>
      </c>
      <c r="P97" s="38">
        <v>3578.0</v>
      </c>
      <c r="Q97" s="38">
        <v>3578.0</v>
      </c>
      <c r="R97" s="38" t="s">
        <v>37</v>
      </c>
      <c r="S97" s="38"/>
      <c r="T97" s="38"/>
      <c r="U97" s="38"/>
      <c r="V97" s="38"/>
      <c r="W97" s="38">
        <v>2019.0</v>
      </c>
      <c r="X97" s="38" t="s">
        <v>343</v>
      </c>
      <c r="Y97" s="38" t="s">
        <v>644</v>
      </c>
      <c r="Z97" s="39"/>
      <c r="AA97" s="40" t="s">
        <v>645</v>
      </c>
      <c r="AB97" s="38" t="s">
        <v>646</v>
      </c>
      <c r="AC97" s="38" t="s">
        <v>372</v>
      </c>
      <c r="AD97" s="38" t="s">
        <v>645</v>
      </c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</row>
    <row r="98">
      <c r="A98" s="38"/>
      <c r="B98" s="38"/>
      <c r="C98" s="38"/>
      <c r="D98" s="39" t="b">
        <v>0</v>
      </c>
      <c r="E98" s="38"/>
      <c r="F98" s="39" t="b">
        <v>0</v>
      </c>
      <c r="G98" s="39" t="b">
        <v>0</v>
      </c>
      <c r="H98" s="39" t="b">
        <v>0</v>
      </c>
      <c r="I98" s="38"/>
      <c r="J98" s="39" t="s">
        <v>647</v>
      </c>
      <c r="K98" s="39" t="s">
        <v>32</v>
      </c>
      <c r="L98" s="39" t="s">
        <v>572</v>
      </c>
      <c r="M98" s="38" t="s">
        <v>33</v>
      </c>
      <c r="N98" s="38" t="s">
        <v>648</v>
      </c>
      <c r="O98" s="38" t="s">
        <v>649</v>
      </c>
      <c r="P98" s="38">
        <v>32717.0</v>
      </c>
      <c r="Q98" s="38">
        <v>108948.0</v>
      </c>
      <c r="R98" s="38" t="s">
        <v>37</v>
      </c>
      <c r="S98" s="38" t="s">
        <v>630</v>
      </c>
      <c r="T98" s="38"/>
      <c r="U98" s="38"/>
      <c r="V98" s="38"/>
      <c r="W98" s="38">
        <v>2017.0</v>
      </c>
      <c r="X98" s="38" t="s">
        <v>343</v>
      </c>
      <c r="Y98" s="38" t="s">
        <v>650</v>
      </c>
      <c r="Z98" s="39"/>
      <c r="AA98" s="40" t="s">
        <v>651</v>
      </c>
      <c r="AB98" s="38" t="s">
        <v>652</v>
      </c>
      <c r="AC98" s="38" t="s">
        <v>653</v>
      </c>
      <c r="AD98" s="38" t="s">
        <v>651</v>
      </c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</row>
    <row r="99">
      <c r="A99" s="11"/>
      <c r="B99" s="11"/>
      <c r="C99" s="11"/>
      <c r="D99" s="12" t="b">
        <v>1</v>
      </c>
      <c r="E99" s="12" t="s">
        <v>654</v>
      </c>
      <c r="F99" s="12" t="b">
        <v>0</v>
      </c>
      <c r="G99" s="12" t="b">
        <v>0</v>
      </c>
      <c r="H99" s="12" t="b">
        <v>0</v>
      </c>
      <c r="I99" s="11"/>
      <c r="J99" s="12" t="s">
        <v>655</v>
      </c>
      <c r="K99" s="12" t="s">
        <v>32</v>
      </c>
      <c r="L99" s="12" t="s">
        <v>572</v>
      </c>
      <c r="M99" s="11" t="s">
        <v>33</v>
      </c>
      <c r="N99" s="11" t="s">
        <v>34</v>
      </c>
      <c r="O99" s="11" t="s">
        <v>656</v>
      </c>
      <c r="P99" s="11">
        <v>32717.0</v>
      </c>
      <c r="Q99" s="11">
        <v>112120.0</v>
      </c>
      <c r="R99" s="11" t="s">
        <v>37</v>
      </c>
      <c r="S99" s="11" t="s">
        <v>630</v>
      </c>
      <c r="T99" s="11"/>
      <c r="U99" s="11"/>
      <c r="V99" s="11"/>
      <c r="W99" s="11">
        <v>2017.0</v>
      </c>
      <c r="X99" s="11" t="s">
        <v>343</v>
      </c>
      <c r="Y99" s="11" t="s">
        <v>650</v>
      </c>
      <c r="Z99" s="12"/>
      <c r="AA99" s="14" t="s">
        <v>657</v>
      </c>
      <c r="AB99" s="11" t="s">
        <v>658</v>
      </c>
      <c r="AC99" s="11" t="s">
        <v>659</v>
      </c>
      <c r="AD99" s="11" t="s">
        <v>657</v>
      </c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</row>
    <row r="100">
      <c r="A100" s="38"/>
      <c r="B100" s="38"/>
      <c r="C100" s="38"/>
      <c r="D100" s="39" t="b">
        <v>0</v>
      </c>
      <c r="E100" s="38"/>
      <c r="F100" s="39" t="b">
        <v>0</v>
      </c>
      <c r="G100" s="39" t="b">
        <v>0</v>
      </c>
      <c r="H100" s="39" t="b">
        <v>0</v>
      </c>
      <c r="I100" s="38"/>
      <c r="J100" s="39" t="s">
        <v>660</v>
      </c>
      <c r="K100" s="39" t="s">
        <v>32</v>
      </c>
      <c r="L100" s="39" t="s">
        <v>572</v>
      </c>
      <c r="M100" s="38" t="s">
        <v>33</v>
      </c>
      <c r="N100" s="38" t="s">
        <v>661</v>
      </c>
      <c r="O100" s="38" t="s">
        <v>662</v>
      </c>
      <c r="P100" s="38">
        <v>700.0</v>
      </c>
      <c r="Q100" s="38">
        <v>902.0</v>
      </c>
      <c r="R100" s="38" t="s">
        <v>37</v>
      </c>
      <c r="S100" s="38"/>
      <c r="T100" s="38"/>
      <c r="U100" s="38"/>
      <c r="V100" s="38"/>
      <c r="W100" s="38">
        <v>2022.0</v>
      </c>
      <c r="X100" s="38" t="s">
        <v>343</v>
      </c>
      <c r="Y100" s="38" t="s">
        <v>663</v>
      </c>
      <c r="Z100" s="39"/>
      <c r="AA100" s="40" t="s">
        <v>664</v>
      </c>
      <c r="AB100" s="38" t="s">
        <v>665</v>
      </c>
      <c r="AC100" s="38" t="s">
        <v>666</v>
      </c>
      <c r="AD100" s="38" t="s">
        <v>664</v>
      </c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</row>
    <row r="101">
      <c r="A101" s="38"/>
      <c r="B101" s="38"/>
      <c r="C101" s="38"/>
      <c r="D101" s="39" t="b">
        <v>0</v>
      </c>
      <c r="E101" s="38"/>
      <c r="F101" s="39" t="b">
        <v>0</v>
      </c>
      <c r="G101" s="39" t="b">
        <v>0</v>
      </c>
      <c r="H101" s="39" t="b">
        <v>0</v>
      </c>
      <c r="I101" s="38"/>
      <c r="J101" s="39" t="s">
        <v>667</v>
      </c>
      <c r="K101" s="39" t="s">
        <v>32</v>
      </c>
      <c r="L101" s="39" t="s">
        <v>572</v>
      </c>
      <c r="M101" s="38" t="s">
        <v>33</v>
      </c>
      <c r="N101" s="38" t="s">
        <v>76</v>
      </c>
      <c r="O101" s="38" t="s">
        <v>668</v>
      </c>
      <c r="P101" s="38" t="s">
        <v>669</v>
      </c>
      <c r="Q101" s="38"/>
      <c r="R101" s="38" t="s">
        <v>670</v>
      </c>
      <c r="S101" s="38" t="s">
        <v>630</v>
      </c>
      <c r="T101" s="38"/>
      <c r="U101" s="38"/>
      <c r="V101" s="38"/>
      <c r="W101" s="38">
        <v>2023.0</v>
      </c>
      <c r="X101" s="38" t="s">
        <v>343</v>
      </c>
      <c r="Y101" s="38" t="s">
        <v>671</v>
      </c>
      <c r="Z101" s="39"/>
      <c r="AA101" s="40" t="s">
        <v>672</v>
      </c>
      <c r="AB101" s="38"/>
      <c r="AC101" s="38" t="s">
        <v>673</v>
      </c>
      <c r="AD101" s="38" t="s">
        <v>672</v>
      </c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</row>
    <row r="102">
      <c r="A102" s="38"/>
      <c r="B102" s="38"/>
      <c r="C102" s="38"/>
      <c r="D102" s="39" t="b">
        <v>0</v>
      </c>
      <c r="E102" s="38"/>
      <c r="F102" s="39" t="b">
        <v>0</v>
      </c>
      <c r="G102" s="39" t="b">
        <v>0</v>
      </c>
      <c r="H102" s="39" t="b">
        <v>0</v>
      </c>
      <c r="I102" s="38"/>
      <c r="J102" s="39" t="s">
        <v>674</v>
      </c>
      <c r="K102" s="39" t="s">
        <v>32</v>
      </c>
      <c r="L102" s="39" t="s">
        <v>572</v>
      </c>
      <c r="M102" s="38" t="s">
        <v>33</v>
      </c>
      <c r="N102" s="38" t="s">
        <v>34</v>
      </c>
      <c r="O102" s="38" t="s">
        <v>675</v>
      </c>
      <c r="P102" s="38" t="s">
        <v>676</v>
      </c>
      <c r="Q102" s="38">
        <v>11409.0</v>
      </c>
      <c r="R102" s="38" t="s">
        <v>195</v>
      </c>
      <c r="S102" s="38"/>
      <c r="T102" s="38"/>
      <c r="U102" s="38"/>
      <c r="V102" s="38"/>
      <c r="W102" s="38">
        <v>2021.0</v>
      </c>
      <c r="X102" s="38" t="s">
        <v>343</v>
      </c>
      <c r="Y102" s="38" t="s">
        <v>677</v>
      </c>
      <c r="Z102" s="39"/>
      <c r="AA102" s="40" t="s">
        <v>678</v>
      </c>
      <c r="AB102" s="38"/>
      <c r="AC102" s="38" t="s">
        <v>666</v>
      </c>
      <c r="AD102" s="38" t="s">
        <v>678</v>
      </c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</row>
    <row r="103">
      <c r="A103" s="17"/>
      <c r="B103" s="17"/>
      <c r="C103" s="17"/>
      <c r="D103" s="18" t="b">
        <v>0</v>
      </c>
      <c r="E103" s="17"/>
      <c r="F103" s="17"/>
      <c r="G103" s="18" t="b">
        <v>0</v>
      </c>
      <c r="H103" s="18" t="b">
        <v>0</v>
      </c>
      <c r="I103" s="17"/>
      <c r="J103" s="18" t="s">
        <v>679</v>
      </c>
      <c r="K103" s="18" t="s">
        <v>32</v>
      </c>
      <c r="L103" s="18" t="s">
        <v>572</v>
      </c>
      <c r="M103" s="17" t="s">
        <v>680</v>
      </c>
      <c r="N103" s="17" t="s">
        <v>34</v>
      </c>
      <c r="O103" s="17"/>
      <c r="P103" s="18">
        <v>326.0</v>
      </c>
      <c r="Q103" s="17" t="s">
        <v>681</v>
      </c>
      <c r="R103" s="17" t="s">
        <v>63</v>
      </c>
      <c r="S103" s="17"/>
      <c r="T103" s="17">
        <v>254.18</v>
      </c>
      <c r="U103" s="17"/>
      <c r="V103" s="17"/>
      <c r="W103" s="17">
        <v>2025.0</v>
      </c>
      <c r="X103" s="17" t="s">
        <v>540</v>
      </c>
      <c r="Y103" s="17" t="s">
        <v>682</v>
      </c>
      <c r="Z103" s="44"/>
      <c r="AA103" s="45" t="s">
        <v>683</v>
      </c>
      <c r="AB103" s="17"/>
      <c r="AC103" s="17" t="s">
        <v>334</v>
      </c>
      <c r="AD103" s="17" t="s">
        <v>683</v>
      </c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</row>
    <row r="104">
      <c r="A104" s="38"/>
      <c r="B104" s="38"/>
      <c r="C104" s="38"/>
      <c r="D104" s="39" t="b">
        <v>0</v>
      </c>
      <c r="E104" s="38"/>
      <c r="F104" s="38"/>
      <c r="G104" s="39" t="b">
        <v>0</v>
      </c>
      <c r="H104" s="39" t="b">
        <v>1</v>
      </c>
      <c r="I104" s="38"/>
      <c r="J104" s="39" t="s">
        <v>684</v>
      </c>
      <c r="K104" s="39" t="s">
        <v>32</v>
      </c>
      <c r="L104" s="39" t="s">
        <v>572</v>
      </c>
      <c r="M104" s="38" t="s">
        <v>60</v>
      </c>
      <c r="N104" s="38" t="s">
        <v>685</v>
      </c>
      <c r="O104" s="38" t="s">
        <v>686</v>
      </c>
      <c r="P104" s="38" t="s">
        <v>687</v>
      </c>
      <c r="Q104" s="38"/>
      <c r="R104" s="38" t="s">
        <v>688</v>
      </c>
      <c r="S104" s="38" t="s">
        <v>689</v>
      </c>
      <c r="T104" s="38"/>
      <c r="U104" s="38"/>
      <c r="V104" s="38"/>
      <c r="W104" s="38">
        <v>2013.0</v>
      </c>
      <c r="X104" s="38" t="s">
        <v>690</v>
      </c>
      <c r="Y104" s="38" t="s">
        <v>691</v>
      </c>
      <c r="Z104" s="39"/>
      <c r="AA104" s="40" t="s">
        <v>692</v>
      </c>
      <c r="AB104" s="38"/>
      <c r="AC104" s="38" t="s">
        <v>693</v>
      </c>
      <c r="AD104" s="38" t="s">
        <v>692</v>
      </c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</row>
    <row r="105">
      <c r="A105" s="38"/>
      <c r="B105" s="38"/>
      <c r="C105" s="38"/>
      <c r="D105" s="39" t="b">
        <v>0</v>
      </c>
      <c r="E105" s="38"/>
      <c r="F105" s="38"/>
      <c r="G105" s="39" t="b">
        <v>0</v>
      </c>
      <c r="H105" s="39" t="b">
        <v>0</v>
      </c>
      <c r="I105" s="38"/>
      <c r="J105" s="39" t="s">
        <v>694</v>
      </c>
      <c r="K105" s="39" t="s">
        <v>32</v>
      </c>
      <c r="L105" s="39" t="s">
        <v>572</v>
      </c>
      <c r="M105" s="38" t="s">
        <v>60</v>
      </c>
      <c r="N105" s="38" t="s">
        <v>76</v>
      </c>
      <c r="O105" s="38" t="s">
        <v>695</v>
      </c>
      <c r="P105" s="38" t="s">
        <v>696</v>
      </c>
      <c r="Q105" s="38"/>
      <c r="R105" s="38" t="s">
        <v>697</v>
      </c>
      <c r="S105" s="38" t="s">
        <v>698</v>
      </c>
      <c r="T105" s="38"/>
      <c r="U105" s="38"/>
      <c r="V105" s="38"/>
      <c r="W105" s="38">
        <v>2020.0</v>
      </c>
      <c r="X105" s="38" t="s">
        <v>331</v>
      </c>
      <c r="Y105" s="38" t="s">
        <v>699</v>
      </c>
      <c r="Z105" s="39"/>
      <c r="AA105" s="40" t="s">
        <v>700</v>
      </c>
      <c r="AB105" s="38"/>
      <c r="AC105" s="38" t="s">
        <v>346</v>
      </c>
      <c r="AD105" s="38" t="s">
        <v>700</v>
      </c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</row>
    <row r="106">
      <c r="A106" s="17"/>
      <c r="B106" s="17"/>
      <c r="C106" s="17"/>
      <c r="D106" s="18" t="b">
        <v>0</v>
      </c>
      <c r="E106" s="17"/>
      <c r="F106" s="17"/>
      <c r="G106" s="18" t="b">
        <v>0</v>
      </c>
      <c r="H106" s="18" t="b">
        <v>0</v>
      </c>
      <c r="I106" s="17"/>
      <c r="J106" s="18" t="s">
        <v>701</v>
      </c>
      <c r="K106" s="18" t="s">
        <v>32</v>
      </c>
      <c r="L106" s="18" t="s">
        <v>572</v>
      </c>
      <c r="M106" s="17" t="s">
        <v>702</v>
      </c>
      <c r="N106" s="17" t="s">
        <v>34</v>
      </c>
      <c r="O106" s="17" t="s">
        <v>703</v>
      </c>
      <c r="P106" s="17" t="s">
        <v>704</v>
      </c>
      <c r="Q106" s="17" t="s">
        <v>705</v>
      </c>
      <c r="R106" s="17" t="s">
        <v>63</v>
      </c>
      <c r="S106" s="17"/>
      <c r="T106" s="17">
        <v>19.0</v>
      </c>
      <c r="U106" s="17"/>
      <c r="V106" s="17"/>
      <c r="W106" s="17">
        <v>2020.0</v>
      </c>
      <c r="X106" s="17" t="s">
        <v>540</v>
      </c>
      <c r="Y106" s="17" t="s">
        <v>706</v>
      </c>
      <c r="Z106" s="18"/>
      <c r="AA106" s="20" t="s">
        <v>707</v>
      </c>
      <c r="AB106" s="17"/>
      <c r="AC106" s="17" t="s">
        <v>334</v>
      </c>
      <c r="AD106" s="17" t="s">
        <v>707</v>
      </c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</row>
    <row r="107">
      <c r="A107" s="11"/>
      <c r="B107" s="11"/>
      <c r="C107" s="11"/>
      <c r="D107" s="12" t="b">
        <v>1</v>
      </c>
      <c r="E107" s="12" t="s">
        <v>708</v>
      </c>
      <c r="F107" s="11"/>
      <c r="G107" s="12" t="b">
        <v>0</v>
      </c>
      <c r="H107" s="12" t="b">
        <v>0</v>
      </c>
      <c r="I107" s="11"/>
      <c r="J107" s="12" t="s">
        <v>709</v>
      </c>
      <c r="K107" s="12" t="s">
        <v>32</v>
      </c>
      <c r="L107" s="12" t="s">
        <v>572</v>
      </c>
      <c r="M107" s="11" t="s">
        <v>710</v>
      </c>
      <c r="N107" s="11" t="s">
        <v>34</v>
      </c>
      <c r="O107" s="11" t="s">
        <v>711</v>
      </c>
      <c r="P107" s="11" t="s">
        <v>712</v>
      </c>
      <c r="Q107" s="11">
        <v>359.0</v>
      </c>
      <c r="R107" s="11" t="s">
        <v>713</v>
      </c>
      <c r="S107" s="11"/>
      <c r="T107" s="11">
        <v>0.255</v>
      </c>
      <c r="U107" s="11"/>
      <c r="V107" s="11"/>
      <c r="W107" s="11">
        <v>2020.0</v>
      </c>
      <c r="X107" s="11" t="s">
        <v>343</v>
      </c>
      <c r="Y107" s="11" t="s">
        <v>714</v>
      </c>
      <c r="Z107" s="12"/>
      <c r="AA107" s="14" t="s">
        <v>715</v>
      </c>
      <c r="AB107" s="11"/>
      <c r="AC107" s="11" t="s">
        <v>105</v>
      </c>
      <c r="AD107" s="11" t="s">
        <v>715</v>
      </c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</row>
    <row r="108">
      <c r="A108" s="38"/>
      <c r="B108" s="38"/>
      <c r="C108" s="38"/>
      <c r="D108" s="39" t="b">
        <v>0</v>
      </c>
      <c r="E108" s="38"/>
      <c r="F108" s="38"/>
      <c r="G108" s="39" t="b">
        <v>0</v>
      </c>
      <c r="H108" s="39" t="b">
        <v>0</v>
      </c>
      <c r="I108" s="38"/>
      <c r="J108" s="39" t="s">
        <v>716</v>
      </c>
      <c r="K108" s="39" t="s">
        <v>32</v>
      </c>
      <c r="L108" s="39" t="s">
        <v>572</v>
      </c>
      <c r="M108" s="38" t="s">
        <v>60</v>
      </c>
      <c r="N108" s="38" t="s">
        <v>76</v>
      </c>
      <c r="O108" s="38" t="s">
        <v>717</v>
      </c>
      <c r="P108" s="38" t="s">
        <v>718</v>
      </c>
      <c r="Q108" s="38" t="s">
        <v>719</v>
      </c>
      <c r="R108" s="38" t="s">
        <v>720</v>
      </c>
      <c r="S108" s="38" t="s">
        <v>698</v>
      </c>
      <c r="T108" s="38"/>
      <c r="U108" s="38"/>
      <c r="V108" s="38"/>
      <c r="W108" s="38">
        <v>2020.0</v>
      </c>
      <c r="X108" s="38" t="s">
        <v>343</v>
      </c>
      <c r="Y108" s="38" t="s">
        <v>714</v>
      </c>
      <c r="Z108" s="39"/>
      <c r="AA108" s="40" t="s">
        <v>721</v>
      </c>
      <c r="AB108" s="38"/>
      <c r="AC108" s="38" t="s">
        <v>105</v>
      </c>
      <c r="AD108" s="38" t="s">
        <v>721</v>
      </c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</row>
    <row r="109">
      <c r="A109" s="38"/>
      <c r="B109" s="38"/>
      <c r="C109" s="38"/>
      <c r="D109" s="39" t="b">
        <v>0</v>
      </c>
      <c r="E109" s="38"/>
      <c r="F109" s="38"/>
      <c r="G109" s="39" t="b">
        <v>0</v>
      </c>
      <c r="H109" s="39" t="b">
        <v>0</v>
      </c>
      <c r="I109" s="38"/>
      <c r="J109" s="39" t="s">
        <v>722</v>
      </c>
      <c r="K109" s="39" t="s">
        <v>32</v>
      </c>
      <c r="L109" s="39" t="s">
        <v>572</v>
      </c>
      <c r="M109" s="38" t="s">
        <v>60</v>
      </c>
      <c r="N109" s="38" t="s">
        <v>76</v>
      </c>
      <c r="O109" s="38" t="s">
        <v>723</v>
      </c>
      <c r="P109" s="38" t="s">
        <v>724</v>
      </c>
      <c r="Q109" s="38"/>
      <c r="R109" s="38" t="s">
        <v>79</v>
      </c>
      <c r="S109" s="38"/>
      <c r="T109" s="38">
        <v>1.1</v>
      </c>
      <c r="U109" s="38"/>
      <c r="V109" s="38"/>
      <c r="W109" s="38">
        <v>2020.0</v>
      </c>
      <c r="X109" s="38" t="s">
        <v>331</v>
      </c>
      <c r="Y109" s="38"/>
      <c r="Z109" s="39"/>
      <c r="AA109" s="40" t="s">
        <v>725</v>
      </c>
      <c r="AB109" s="38"/>
      <c r="AC109" s="38" t="s">
        <v>72</v>
      </c>
      <c r="AD109" s="38" t="s">
        <v>725</v>
      </c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</row>
    <row r="110">
      <c r="D110" s="2" t="b">
        <v>1</v>
      </c>
      <c r="E110" s="2" t="s">
        <v>726</v>
      </c>
      <c r="G110" s="2" t="b">
        <v>0</v>
      </c>
      <c r="H110" s="2" t="b">
        <v>0</v>
      </c>
      <c r="J110" s="2" t="s">
        <v>727</v>
      </c>
      <c r="K110" s="2" t="s">
        <v>32</v>
      </c>
      <c r="L110" s="2" t="s">
        <v>572</v>
      </c>
      <c r="M110" s="3" t="s">
        <v>60</v>
      </c>
      <c r="N110" s="3" t="s">
        <v>76</v>
      </c>
      <c r="O110" s="3" t="s">
        <v>728</v>
      </c>
      <c r="P110" s="3" t="s">
        <v>724</v>
      </c>
      <c r="R110" s="3" t="s">
        <v>729</v>
      </c>
      <c r="T110" s="3">
        <v>7.91</v>
      </c>
      <c r="W110" s="3">
        <v>2020.0</v>
      </c>
      <c r="X110" s="3" t="s">
        <v>331</v>
      </c>
      <c r="Z110" s="2"/>
      <c r="AA110" s="15" t="s">
        <v>730</v>
      </c>
      <c r="AC110" s="3" t="s">
        <v>105</v>
      </c>
      <c r="AD110" s="3" t="s">
        <v>730</v>
      </c>
    </row>
    <row r="111">
      <c r="D111" s="2" t="b">
        <v>1</v>
      </c>
      <c r="E111" s="2" t="s">
        <v>731</v>
      </c>
      <c r="G111" s="2" t="b">
        <v>0</v>
      </c>
      <c r="H111" s="2" t="b">
        <v>0</v>
      </c>
      <c r="J111" s="2" t="s">
        <v>732</v>
      </c>
      <c r="K111" s="2" t="s">
        <v>32</v>
      </c>
      <c r="L111" s="2" t="s">
        <v>572</v>
      </c>
      <c r="M111" s="3" t="s">
        <v>33</v>
      </c>
      <c r="N111" s="3" t="s">
        <v>34</v>
      </c>
      <c r="O111" s="3" t="s">
        <v>733</v>
      </c>
      <c r="P111" s="3" t="s">
        <v>734</v>
      </c>
      <c r="Q111" s="3">
        <v>317.0</v>
      </c>
      <c r="R111" s="3" t="s">
        <v>195</v>
      </c>
      <c r="T111" s="3">
        <v>0.17</v>
      </c>
      <c r="W111" s="3">
        <v>2020.0</v>
      </c>
      <c r="X111" s="3" t="s">
        <v>343</v>
      </c>
      <c r="Z111" s="2"/>
      <c r="AA111" s="15" t="s">
        <v>735</v>
      </c>
      <c r="AC111" s="3" t="s">
        <v>105</v>
      </c>
      <c r="AD111" s="3" t="s">
        <v>735</v>
      </c>
    </row>
    <row r="112">
      <c r="D112" s="2" t="b">
        <v>1</v>
      </c>
      <c r="E112" s="2" t="s">
        <v>736</v>
      </c>
      <c r="G112" s="2" t="b">
        <v>0</v>
      </c>
      <c r="H112" s="2" t="b">
        <v>0</v>
      </c>
      <c r="J112" s="2" t="s">
        <v>737</v>
      </c>
      <c r="K112" s="2" t="s">
        <v>32</v>
      </c>
      <c r="L112" s="2" t="s">
        <v>572</v>
      </c>
      <c r="M112" s="3" t="s">
        <v>60</v>
      </c>
      <c r="N112" s="3" t="s">
        <v>85</v>
      </c>
      <c r="O112" s="3" t="s">
        <v>703</v>
      </c>
      <c r="R112" s="3" t="s">
        <v>79</v>
      </c>
      <c r="T112" s="3">
        <v>7.5</v>
      </c>
      <c r="W112" s="3">
        <v>2020.0</v>
      </c>
      <c r="X112" s="3" t="s">
        <v>331</v>
      </c>
      <c r="Y112" s="3" t="s">
        <v>738</v>
      </c>
      <c r="Z112" s="2"/>
      <c r="AA112" s="15" t="s">
        <v>739</v>
      </c>
      <c r="AC112" s="3" t="s">
        <v>740</v>
      </c>
      <c r="AD112" s="3" t="s">
        <v>739</v>
      </c>
    </row>
    <row r="113">
      <c r="A113" s="46"/>
      <c r="B113" s="46"/>
      <c r="C113" s="46"/>
      <c r="D113" s="47" t="b">
        <v>1</v>
      </c>
      <c r="E113" s="47" t="s">
        <v>741</v>
      </c>
      <c r="F113" s="46"/>
      <c r="G113" s="47" t="b">
        <v>0</v>
      </c>
      <c r="H113" s="47" t="b">
        <v>0</v>
      </c>
      <c r="I113" s="46"/>
      <c r="J113" s="47" t="s">
        <v>742</v>
      </c>
      <c r="K113" s="47" t="s">
        <v>32</v>
      </c>
      <c r="L113" s="47" t="s">
        <v>572</v>
      </c>
      <c r="M113" s="46" t="s">
        <v>60</v>
      </c>
      <c r="N113" s="46" t="s">
        <v>743</v>
      </c>
      <c r="O113" s="46" t="s">
        <v>744</v>
      </c>
      <c r="P113" s="46" t="s">
        <v>745</v>
      </c>
      <c r="Q113" s="46" t="s">
        <v>746</v>
      </c>
      <c r="R113" s="46" t="s">
        <v>747</v>
      </c>
      <c r="S113" s="46" t="s">
        <v>698</v>
      </c>
      <c r="T113" s="46"/>
      <c r="U113" s="46"/>
      <c r="V113" s="46"/>
      <c r="W113" s="46">
        <v>2021.0</v>
      </c>
      <c r="X113" s="46" t="s">
        <v>331</v>
      </c>
      <c r="Y113" s="46" t="s">
        <v>748</v>
      </c>
      <c r="Z113" s="47"/>
      <c r="AA113" s="48" t="s">
        <v>749</v>
      </c>
      <c r="AB113" s="46"/>
      <c r="AC113" s="46" t="s">
        <v>750</v>
      </c>
      <c r="AD113" s="46" t="s">
        <v>749</v>
      </c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</row>
    <row r="114">
      <c r="A114" s="17"/>
      <c r="B114" s="17"/>
      <c r="C114" s="17"/>
      <c r="D114" s="18" t="b">
        <v>1</v>
      </c>
      <c r="E114" s="18" t="s">
        <v>751</v>
      </c>
      <c r="F114" s="17"/>
      <c r="G114" s="18" t="b">
        <v>0</v>
      </c>
      <c r="H114" s="18" t="b">
        <v>0</v>
      </c>
      <c r="I114" s="17"/>
      <c r="J114" s="18" t="s">
        <v>752</v>
      </c>
      <c r="K114" s="18" t="s">
        <v>32</v>
      </c>
      <c r="L114" s="18" t="s">
        <v>572</v>
      </c>
      <c r="M114" s="17" t="s">
        <v>753</v>
      </c>
      <c r="N114" s="17" t="s">
        <v>34</v>
      </c>
      <c r="O114" s="17" t="s">
        <v>330</v>
      </c>
      <c r="P114" s="18">
        <v>7361.0</v>
      </c>
      <c r="Q114" s="17" t="s">
        <v>754</v>
      </c>
      <c r="R114" s="17" t="s">
        <v>63</v>
      </c>
      <c r="S114" s="17"/>
      <c r="T114" s="17">
        <v>511.48</v>
      </c>
      <c r="U114" s="17"/>
      <c r="V114" s="17"/>
      <c r="W114" s="17">
        <v>2021.0</v>
      </c>
      <c r="X114" s="17" t="s">
        <v>540</v>
      </c>
      <c r="Y114" s="17" t="s">
        <v>755</v>
      </c>
      <c r="Z114" s="18"/>
      <c r="AA114" s="45" t="s">
        <v>756</v>
      </c>
      <c r="AB114" s="17"/>
      <c r="AC114" s="17" t="s">
        <v>334</v>
      </c>
      <c r="AD114" s="17" t="s">
        <v>756</v>
      </c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</row>
    <row r="115">
      <c r="D115" s="2" t="b">
        <v>1</v>
      </c>
      <c r="E115" s="2" t="s">
        <v>741</v>
      </c>
      <c r="G115" s="2" t="b">
        <v>0</v>
      </c>
      <c r="H115" s="2" t="b">
        <v>0</v>
      </c>
      <c r="J115" s="2" t="s">
        <v>757</v>
      </c>
      <c r="K115" s="2" t="s">
        <v>32</v>
      </c>
      <c r="L115" s="2" t="s">
        <v>572</v>
      </c>
      <c r="M115" s="3" t="s">
        <v>33</v>
      </c>
      <c r="N115" s="3" t="s">
        <v>34</v>
      </c>
      <c r="O115" s="3" t="s">
        <v>758</v>
      </c>
      <c r="P115" s="3" t="s">
        <v>759</v>
      </c>
      <c r="Q115" s="3">
        <v>2905.0</v>
      </c>
      <c r="R115" s="3" t="s">
        <v>37</v>
      </c>
      <c r="S115" s="3" t="s">
        <v>630</v>
      </c>
      <c r="T115" s="3">
        <v>1.0</v>
      </c>
      <c r="W115" s="3">
        <v>2020.0</v>
      </c>
      <c r="X115" s="3" t="s">
        <v>343</v>
      </c>
      <c r="Y115" s="3" t="s">
        <v>760</v>
      </c>
      <c r="Z115" s="2"/>
      <c r="AA115" s="15" t="s">
        <v>761</v>
      </c>
      <c r="AC115" s="3" t="s">
        <v>105</v>
      </c>
      <c r="AD115" s="3" t="s">
        <v>761</v>
      </c>
    </row>
    <row r="116">
      <c r="D116" s="2" t="b">
        <v>1</v>
      </c>
      <c r="E116" s="2" t="s">
        <v>741</v>
      </c>
      <c r="G116" s="2" t="b">
        <v>0</v>
      </c>
      <c r="H116" s="2" t="b">
        <v>0</v>
      </c>
      <c r="J116" s="2" t="s">
        <v>762</v>
      </c>
      <c r="K116" s="2" t="s">
        <v>32</v>
      </c>
      <c r="L116" s="2" t="s">
        <v>572</v>
      </c>
      <c r="M116" s="3" t="s">
        <v>108</v>
      </c>
      <c r="N116" s="3" t="s">
        <v>85</v>
      </c>
      <c r="O116" s="3" t="s">
        <v>763</v>
      </c>
      <c r="P116" s="3" t="s">
        <v>764</v>
      </c>
      <c r="R116" s="3" t="s">
        <v>765</v>
      </c>
      <c r="W116" s="3">
        <v>2020.0</v>
      </c>
      <c r="X116" s="3" t="s">
        <v>766</v>
      </c>
      <c r="Z116" s="2"/>
      <c r="AA116" s="5" t="s">
        <v>767</v>
      </c>
      <c r="AC116" s="3" t="s">
        <v>372</v>
      </c>
      <c r="AD116" s="3" t="s">
        <v>767</v>
      </c>
    </row>
    <row r="117">
      <c r="A117" s="22"/>
      <c r="B117" s="22"/>
      <c r="C117" s="22"/>
      <c r="D117" s="23" t="b">
        <v>0</v>
      </c>
      <c r="E117" s="22"/>
      <c r="F117" s="22"/>
      <c r="G117" s="23" t="b">
        <v>1</v>
      </c>
      <c r="H117" s="23" t="b">
        <v>0</v>
      </c>
      <c r="I117" s="22"/>
      <c r="J117" s="23" t="s">
        <v>768</v>
      </c>
      <c r="K117" s="23" t="s">
        <v>32</v>
      </c>
      <c r="L117" s="23" t="s">
        <v>572</v>
      </c>
      <c r="M117" s="22" t="s">
        <v>33</v>
      </c>
      <c r="N117" s="22" t="s">
        <v>769</v>
      </c>
      <c r="O117" s="22" t="s">
        <v>770</v>
      </c>
      <c r="P117" s="22" t="s">
        <v>771</v>
      </c>
      <c r="Q117" s="22">
        <v>654.0</v>
      </c>
      <c r="R117" s="22" t="s">
        <v>195</v>
      </c>
      <c r="S117" s="22"/>
      <c r="T117" s="22"/>
      <c r="U117" s="22"/>
      <c r="V117" s="22"/>
      <c r="W117" s="22">
        <v>2020.0</v>
      </c>
      <c r="X117" s="22" t="s">
        <v>343</v>
      </c>
      <c r="Y117" s="22" t="s">
        <v>714</v>
      </c>
      <c r="Z117" s="23"/>
      <c r="AA117" s="27" t="s">
        <v>772</v>
      </c>
      <c r="AB117" s="22"/>
      <c r="AC117" s="22" t="s">
        <v>372</v>
      </c>
      <c r="AD117" s="22" t="s">
        <v>772</v>
      </c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</row>
    <row r="118">
      <c r="D118" s="2" t="b">
        <v>1</v>
      </c>
      <c r="E118" s="2" t="s">
        <v>741</v>
      </c>
      <c r="G118" s="2" t="b">
        <v>0</v>
      </c>
      <c r="H118" s="2" t="b">
        <v>0</v>
      </c>
      <c r="J118" s="2" t="s">
        <v>773</v>
      </c>
      <c r="K118" s="2" t="s">
        <v>32</v>
      </c>
      <c r="L118" s="2" t="s">
        <v>572</v>
      </c>
      <c r="M118" s="3" t="s">
        <v>108</v>
      </c>
      <c r="N118" s="3" t="s">
        <v>34</v>
      </c>
      <c r="O118" s="3" t="s">
        <v>774</v>
      </c>
      <c r="P118" s="3" t="s">
        <v>775</v>
      </c>
      <c r="R118" s="3" t="s">
        <v>776</v>
      </c>
      <c r="W118" s="3">
        <v>2025.0</v>
      </c>
      <c r="X118" s="3" t="s">
        <v>766</v>
      </c>
      <c r="Z118" s="2"/>
      <c r="AA118" s="5" t="s">
        <v>777</v>
      </c>
      <c r="AC118" s="3" t="s">
        <v>372</v>
      </c>
      <c r="AD118" s="3" t="s">
        <v>777</v>
      </c>
    </row>
    <row r="119">
      <c r="A119" s="17"/>
      <c r="B119" s="17"/>
      <c r="C119" s="17"/>
      <c r="D119" s="18" t="b">
        <v>1</v>
      </c>
      <c r="E119" s="18" t="s">
        <v>741</v>
      </c>
      <c r="F119" s="17"/>
      <c r="G119" s="18" t="b">
        <v>0</v>
      </c>
      <c r="H119" s="18" t="b">
        <v>0</v>
      </c>
      <c r="I119" s="17"/>
      <c r="J119" s="18" t="s">
        <v>778</v>
      </c>
      <c r="K119" s="18" t="s">
        <v>32</v>
      </c>
      <c r="L119" s="18" t="s">
        <v>572</v>
      </c>
      <c r="M119" s="17" t="s">
        <v>779</v>
      </c>
      <c r="N119" s="17" t="s">
        <v>780</v>
      </c>
      <c r="O119" s="17" t="s">
        <v>781</v>
      </c>
      <c r="P119" s="17" t="s">
        <v>782</v>
      </c>
      <c r="Q119" s="17">
        <v>931.0</v>
      </c>
      <c r="R119" s="17" t="s">
        <v>783</v>
      </c>
      <c r="S119" s="17"/>
      <c r="T119" s="17"/>
      <c r="U119" s="17"/>
      <c r="V119" s="17"/>
      <c r="W119" s="17">
        <v>2020.0</v>
      </c>
      <c r="X119" s="17" t="s">
        <v>540</v>
      </c>
      <c r="Y119" s="17" t="s">
        <v>714</v>
      </c>
      <c r="Z119" s="18"/>
      <c r="AA119" s="20" t="s">
        <v>784</v>
      </c>
      <c r="AB119" s="17"/>
      <c r="AC119" s="17" t="s">
        <v>372</v>
      </c>
      <c r="AD119" s="17" t="s">
        <v>784</v>
      </c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</row>
    <row r="120">
      <c r="D120" s="2" t="b">
        <v>1</v>
      </c>
      <c r="E120" s="2" t="s">
        <v>741</v>
      </c>
      <c r="G120" s="2" t="b">
        <v>0</v>
      </c>
      <c r="H120" s="2" t="b">
        <v>0</v>
      </c>
      <c r="J120" s="2" t="s">
        <v>785</v>
      </c>
      <c r="K120" s="2" t="s">
        <v>32</v>
      </c>
      <c r="L120" s="2" t="s">
        <v>572</v>
      </c>
      <c r="M120" s="3" t="s">
        <v>60</v>
      </c>
      <c r="N120" s="3" t="s">
        <v>85</v>
      </c>
      <c r="O120" s="3" t="s">
        <v>786</v>
      </c>
      <c r="P120" s="3" t="s">
        <v>787</v>
      </c>
      <c r="Q120" s="3" t="s">
        <v>788</v>
      </c>
      <c r="R120" s="3" t="s">
        <v>63</v>
      </c>
      <c r="S120" s="3" t="s">
        <v>698</v>
      </c>
      <c r="W120" s="3">
        <v>2021.0</v>
      </c>
      <c r="X120" s="3" t="s">
        <v>331</v>
      </c>
      <c r="Z120" s="2"/>
      <c r="AA120" s="5" t="s">
        <v>789</v>
      </c>
      <c r="AC120" s="3" t="s">
        <v>790</v>
      </c>
      <c r="AD120" s="3" t="s">
        <v>789</v>
      </c>
    </row>
    <row r="121">
      <c r="D121" s="2" t="b">
        <v>1</v>
      </c>
      <c r="E121" s="2" t="s">
        <v>741</v>
      </c>
      <c r="G121" s="2" t="b">
        <v>0</v>
      </c>
      <c r="H121" s="2" t="b">
        <v>0</v>
      </c>
      <c r="J121" s="2" t="s">
        <v>791</v>
      </c>
      <c r="K121" s="2" t="s">
        <v>32</v>
      </c>
      <c r="L121" s="2" t="s">
        <v>572</v>
      </c>
      <c r="M121" s="3" t="s">
        <v>60</v>
      </c>
      <c r="N121" s="3" t="s">
        <v>34</v>
      </c>
      <c r="O121" s="3" t="s">
        <v>792</v>
      </c>
      <c r="P121" s="3" t="s">
        <v>793</v>
      </c>
      <c r="Q121" s="3" t="s">
        <v>794</v>
      </c>
      <c r="R121" s="3" t="s">
        <v>795</v>
      </c>
      <c r="S121" s="3" t="s">
        <v>698</v>
      </c>
      <c r="W121" s="3">
        <v>2020.0</v>
      </c>
      <c r="X121" s="3" t="s">
        <v>343</v>
      </c>
      <c r="Y121" s="3" t="s">
        <v>796</v>
      </c>
      <c r="Z121" s="2"/>
      <c r="AA121" s="5" t="s">
        <v>797</v>
      </c>
      <c r="AC121" s="3" t="s">
        <v>372</v>
      </c>
      <c r="AD121" s="3" t="s">
        <v>797</v>
      </c>
    </row>
    <row r="122">
      <c r="D122" s="2" t="b">
        <v>1</v>
      </c>
      <c r="E122" s="2" t="s">
        <v>741</v>
      </c>
      <c r="G122" s="2" t="b">
        <v>0</v>
      </c>
      <c r="H122" s="2" t="b">
        <v>0</v>
      </c>
      <c r="J122" s="2" t="s">
        <v>798</v>
      </c>
      <c r="K122" s="2" t="s">
        <v>32</v>
      </c>
      <c r="L122" s="2" t="s">
        <v>572</v>
      </c>
      <c r="M122" s="3" t="s">
        <v>60</v>
      </c>
      <c r="N122" s="3" t="s">
        <v>34</v>
      </c>
      <c r="O122" s="3" t="s">
        <v>799</v>
      </c>
      <c r="P122" s="3" t="s">
        <v>800</v>
      </c>
      <c r="Q122" s="3">
        <v>349.0</v>
      </c>
      <c r="R122" s="3" t="s">
        <v>37</v>
      </c>
      <c r="W122" s="3">
        <v>2020.0</v>
      </c>
      <c r="X122" s="3" t="s">
        <v>343</v>
      </c>
      <c r="Y122" s="3" t="s">
        <v>801</v>
      </c>
      <c r="Z122" s="2"/>
      <c r="AA122" s="15" t="s">
        <v>802</v>
      </c>
      <c r="AC122" s="3" t="s">
        <v>803</v>
      </c>
      <c r="AD122" s="3" t="s">
        <v>802</v>
      </c>
    </row>
    <row r="123">
      <c r="D123" s="2" t="b">
        <v>1</v>
      </c>
      <c r="E123" s="2" t="s">
        <v>741</v>
      </c>
      <c r="G123" s="2" t="b">
        <v>0</v>
      </c>
      <c r="H123" s="2" t="b">
        <v>0</v>
      </c>
      <c r="J123" s="2" t="s">
        <v>804</v>
      </c>
      <c r="K123" s="2" t="s">
        <v>32</v>
      </c>
      <c r="L123" s="2" t="s">
        <v>572</v>
      </c>
      <c r="M123" s="3" t="s">
        <v>33</v>
      </c>
      <c r="N123" s="3" t="s">
        <v>34</v>
      </c>
      <c r="O123" s="3" t="s">
        <v>805</v>
      </c>
      <c r="P123" s="3" t="s">
        <v>806</v>
      </c>
      <c r="Q123" s="3" t="s">
        <v>807</v>
      </c>
      <c r="R123" s="3" t="s">
        <v>195</v>
      </c>
      <c r="W123" s="3">
        <v>2020.0</v>
      </c>
      <c r="X123" s="3" t="s">
        <v>343</v>
      </c>
      <c r="Y123" s="3" t="s">
        <v>714</v>
      </c>
      <c r="Z123" s="2"/>
      <c r="AA123" s="5" t="s">
        <v>808</v>
      </c>
      <c r="AC123" s="3" t="s">
        <v>372</v>
      </c>
      <c r="AD123" s="3" t="s">
        <v>808</v>
      </c>
    </row>
    <row r="124">
      <c r="A124" s="17"/>
      <c r="B124" s="17"/>
      <c r="C124" s="17"/>
      <c r="D124" s="18" t="b">
        <v>1</v>
      </c>
      <c r="E124" s="18" t="s">
        <v>809</v>
      </c>
      <c r="F124" s="17"/>
      <c r="G124" s="18" t="b">
        <v>0</v>
      </c>
      <c r="H124" s="18" t="b">
        <v>0</v>
      </c>
      <c r="I124" s="17"/>
      <c r="J124" s="18" t="s">
        <v>810</v>
      </c>
      <c r="K124" s="18" t="s">
        <v>32</v>
      </c>
      <c r="L124" s="18" t="s">
        <v>572</v>
      </c>
      <c r="M124" s="17" t="s">
        <v>811</v>
      </c>
      <c r="N124" s="17" t="s">
        <v>34</v>
      </c>
      <c r="O124" s="17"/>
      <c r="P124" s="18">
        <v>43.0</v>
      </c>
      <c r="Q124" s="17" t="s">
        <v>812</v>
      </c>
      <c r="R124" s="17" t="s">
        <v>63</v>
      </c>
      <c r="S124" s="17"/>
      <c r="T124" s="17">
        <v>444.58</v>
      </c>
      <c r="U124" s="17"/>
      <c r="V124" s="17"/>
      <c r="W124" s="17">
        <v>2023.0</v>
      </c>
      <c r="X124" s="17" t="s">
        <v>540</v>
      </c>
      <c r="Y124" s="17" t="s">
        <v>682</v>
      </c>
      <c r="Z124" s="18"/>
      <c r="AA124" s="45" t="s">
        <v>813</v>
      </c>
      <c r="AB124" s="17"/>
      <c r="AC124" s="17" t="s">
        <v>334</v>
      </c>
      <c r="AD124" s="17" t="s">
        <v>813</v>
      </c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</row>
    <row r="125">
      <c r="A125" s="17"/>
      <c r="B125" s="17"/>
      <c r="C125" s="17"/>
      <c r="D125" s="18" t="b">
        <v>1</v>
      </c>
      <c r="E125" s="18" t="s">
        <v>809</v>
      </c>
      <c r="F125" s="17"/>
      <c r="G125" s="18" t="b">
        <v>0</v>
      </c>
      <c r="H125" s="18" t="b">
        <v>0</v>
      </c>
      <c r="I125" s="17"/>
      <c r="J125" s="18" t="s">
        <v>814</v>
      </c>
      <c r="K125" s="18" t="s">
        <v>32</v>
      </c>
      <c r="L125" s="18" t="s">
        <v>572</v>
      </c>
      <c r="M125" s="18" t="s">
        <v>815</v>
      </c>
      <c r="N125" s="17" t="s">
        <v>34</v>
      </c>
      <c r="O125" s="17"/>
      <c r="P125" s="17" t="s">
        <v>816</v>
      </c>
      <c r="Q125" s="17"/>
      <c r="R125" s="17" t="s">
        <v>79</v>
      </c>
      <c r="S125" s="17"/>
      <c r="T125" s="17">
        <v>14.71</v>
      </c>
      <c r="U125" s="17"/>
      <c r="V125" s="17"/>
      <c r="W125" s="17">
        <v>2020.0</v>
      </c>
      <c r="X125" s="17" t="s">
        <v>331</v>
      </c>
      <c r="Y125" s="17"/>
      <c r="Z125" s="18"/>
      <c r="AA125" s="20" t="s">
        <v>817</v>
      </c>
      <c r="AB125" s="17"/>
      <c r="AC125" s="17" t="s">
        <v>334</v>
      </c>
      <c r="AD125" s="17" t="s">
        <v>817</v>
      </c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</row>
    <row r="126">
      <c r="A126" s="16"/>
      <c r="B126" s="16"/>
      <c r="C126" s="16"/>
      <c r="D126" s="49" t="b">
        <v>1</v>
      </c>
      <c r="E126" s="4" t="s">
        <v>741</v>
      </c>
      <c r="F126" s="16"/>
      <c r="G126" s="16"/>
      <c r="H126" s="16"/>
      <c r="I126" s="16"/>
      <c r="J126" s="16" t="s">
        <v>818</v>
      </c>
      <c r="K126" s="16" t="s">
        <v>819</v>
      </c>
      <c r="L126" s="16" t="s">
        <v>819</v>
      </c>
      <c r="M126" s="16" t="s">
        <v>60</v>
      </c>
      <c r="N126" s="16" t="s">
        <v>76</v>
      </c>
      <c r="O126" s="16" t="s">
        <v>77</v>
      </c>
      <c r="P126" s="31">
        <v>420.0</v>
      </c>
      <c r="Q126" s="16"/>
      <c r="R126" s="16" t="s">
        <v>138</v>
      </c>
      <c r="S126" s="16" t="s">
        <v>820</v>
      </c>
      <c r="T126" s="16"/>
      <c r="U126" s="16"/>
      <c r="V126" s="16"/>
      <c r="W126" s="31">
        <v>2019.0</v>
      </c>
      <c r="X126" s="31">
        <v>3.0</v>
      </c>
      <c r="Y126" s="16"/>
      <c r="Z126" s="16"/>
      <c r="AA126" s="33" t="s">
        <v>140</v>
      </c>
      <c r="AB126" s="16" t="s">
        <v>141</v>
      </c>
      <c r="AC126" s="16"/>
      <c r="AD126" s="32" t="s">
        <v>142</v>
      </c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</row>
    <row r="127">
      <c r="A127" s="16"/>
      <c r="B127" s="16"/>
      <c r="C127" s="16"/>
      <c r="D127" s="49" t="b">
        <v>1</v>
      </c>
      <c r="E127" s="4" t="s">
        <v>741</v>
      </c>
      <c r="F127" s="16"/>
      <c r="G127" s="16"/>
      <c r="H127" s="16"/>
      <c r="I127" s="16"/>
      <c r="J127" s="16" t="s">
        <v>821</v>
      </c>
      <c r="K127" s="16" t="s">
        <v>819</v>
      </c>
      <c r="L127" s="16" t="s">
        <v>819</v>
      </c>
      <c r="M127" s="16" t="s">
        <v>60</v>
      </c>
      <c r="N127" s="16" t="s">
        <v>76</v>
      </c>
      <c r="O127" s="16" t="s">
        <v>77</v>
      </c>
      <c r="P127" s="31">
        <v>443.0</v>
      </c>
      <c r="Q127" s="16"/>
      <c r="R127" s="16" t="s">
        <v>138</v>
      </c>
      <c r="S127" s="16" t="s">
        <v>822</v>
      </c>
      <c r="T127" s="16"/>
      <c r="U127" s="16"/>
      <c r="V127" s="16"/>
      <c r="W127" s="31">
        <v>2019.0</v>
      </c>
      <c r="X127" s="31">
        <v>3.0</v>
      </c>
      <c r="Y127" s="16"/>
      <c r="Z127" s="16"/>
      <c r="AA127" s="32" t="s">
        <v>140</v>
      </c>
      <c r="AB127" s="16" t="s">
        <v>141</v>
      </c>
      <c r="AC127" s="16"/>
      <c r="AD127" s="32" t="s">
        <v>823</v>
      </c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</row>
    <row r="128">
      <c r="A128" s="16"/>
      <c r="B128" s="16"/>
      <c r="C128" s="16"/>
      <c r="D128" s="49" t="b">
        <v>1</v>
      </c>
      <c r="E128" s="4" t="s">
        <v>741</v>
      </c>
      <c r="F128" s="16"/>
      <c r="G128" s="16"/>
      <c r="H128" s="16"/>
      <c r="I128" s="16"/>
      <c r="J128" s="16" t="s">
        <v>824</v>
      </c>
      <c r="K128" s="16" t="s">
        <v>819</v>
      </c>
      <c r="L128" s="16" t="s">
        <v>819</v>
      </c>
      <c r="M128" s="16" t="s">
        <v>60</v>
      </c>
      <c r="N128" s="16" t="s">
        <v>76</v>
      </c>
      <c r="O128" s="16" t="s">
        <v>77</v>
      </c>
      <c r="P128" s="31">
        <v>61.0</v>
      </c>
      <c r="Q128" s="16"/>
      <c r="R128" s="16" t="s">
        <v>138</v>
      </c>
      <c r="S128" s="16" t="s">
        <v>825</v>
      </c>
      <c r="T128" s="16"/>
      <c r="U128" s="16"/>
      <c r="V128" s="16"/>
      <c r="W128" s="31">
        <v>2019.0</v>
      </c>
      <c r="X128" s="31">
        <v>3.0</v>
      </c>
      <c r="Y128" s="16"/>
      <c r="Z128" s="16"/>
      <c r="AA128" s="32" t="s">
        <v>140</v>
      </c>
      <c r="AB128" s="16" t="s">
        <v>141</v>
      </c>
      <c r="AC128" s="16"/>
      <c r="AD128" s="32" t="s">
        <v>823</v>
      </c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</row>
    <row r="129">
      <c r="A129" s="16"/>
      <c r="B129" s="16"/>
      <c r="C129" s="16"/>
      <c r="D129" s="49" t="b">
        <v>1</v>
      </c>
      <c r="E129" s="4" t="s">
        <v>741</v>
      </c>
      <c r="F129" s="16"/>
      <c r="G129" s="16"/>
      <c r="H129" s="16"/>
      <c r="I129" s="16"/>
      <c r="J129" s="16" t="s">
        <v>826</v>
      </c>
      <c r="K129" s="16" t="s">
        <v>819</v>
      </c>
      <c r="L129" s="16" t="s">
        <v>819</v>
      </c>
      <c r="M129" s="16" t="s">
        <v>60</v>
      </c>
      <c r="N129" s="16" t="s">
        <v>76</v>
      </c>
      <c r="O129" s="16" t="s">
        <v>77</v>
      </c>
      <c r="P129" s="31">
        <v>190.0</v>
      </c>
      <c r="Q129" s="16"/>
      <c r="R129" s="16" t="s">
        <v>138</v>
      </c>
      <c r="S129" s="16" t="s">
        <v>827</v>
      </c>
      <c r="T129" s="16"/>
      <c r="U129" s="16"/>
      <c r="V129" s="16"/>
      <c r="W129" s="31">
        <v>2019.0</v>
      </c>
      <c r="X129" s="31">
        <v>3.0</v>
      </c>
      <c r="Y129" s="16"/>
      <c r="Z129" s="16"/>
      <c r="AA129" s="32" t="s">
        <v>140</v>
      </c>
      <c r="AB129" s="16" t="s">
        <v>141</v>
      </c>
      <c r="AC129" s="16"/>
      <c r="AD129" s="32" t="s">
        <v>823</v>
      </c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</row>
    <row r="130">
      <c r="A130" s="16"/>
      <c r="B130" s="16"/>
      <c r="C130" s="16"/>
      <c r="D130" s="49" t="b">
        <v>1</v>
      </c>
      <c r="E130" s="4" t="s">
        <v>741</v>
      </c>
      <c r="F130" s="16"/>
      <c r="G130" s="16"/>
      <c r="H130" s="16"/>
      <c r="I130" s="16"/>
      <c r="J130" s="16" t="s">
        <v>828</v>
      </c>
      <c r="K130" s="16" t="s">
        <v>819</v>
      </c>
      <c r="L130" s="16" t="s">
        <v>819</v>
      </c>
      <c r="M130" s="16" t="s">
        <v>60</v>
      </c>
      <c r="N130" s="16" t="s">
        <v>76</v>
      </c>
      <c r="O130" s="16" t="s">
        <v>77</v>
      </c>
      <c r="P130" s="31">
        <v>1204.0</v>
      </c>
      <c r="Q130" s="16"/>
      <c r="R130" s="16" t="s">
        <v>138</v>
      </c>
      <c r="S130" s="16" t="s">
        <v>829</v>
      </c>
      <c r="T130" s="16"/>
      <c r="U130" s="16"/>
      <c r="V130" s="16"/>
      <c r="W130" s="31">
        <v>2019.0</v>
      </c>
      <c r="X130" s="31">
        <v>3.0</v>
      </c>
      <c r="Y130" s="16"/>
      <c r="Z130" s="16"/>
      <c r="AA130" s="32" t="s">
        <v>140</v>
      </c>
      <c r="AB130" s="16" t="s">
        <v>141</v>
      </c>
      <c r="AC130" s="16"/>
      <c r="AD130" s="32" t="s">
        <v>823</v>
      </c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</row>
    <row r="131">
      <c r="D131" s="2" t="b">
        <v>1</v>
      </c>
      <c r="E131" s="2" t="s">
        <v>741</v>
      </c>
      <c r="G131" s="2" t="b">
        <v>0</v>
      </c>
      <c r="H131" s="2" t="b">
        <v>0</v>
      </c>
      <c r="J131" s="2" t="s">
        <v>830</v>
      </c>
      <c r="K131" s="2" t="s">
        <v>32</v>
      </c>
      <c r="L131" s="2" t="s">
        <v>572</v>
      </c>
      <c r="M131" s="3" t="s">
        <v>60</v>
      </c>
      <c r="N131" s="3" t="s">
        <v>685</v>
      </c>
      <c r="O131" s="3" t="s">
        <v>831</v>
      </c>
      <c r="P131" s="3" t="s">
        <v>832</v>
      </c>
      <c r="Q131" s="3" t="s">
        <v>833</v>
      </c>
      <c r="R131" s="3" t="s">
        <v>69</v>
      </c>
      <c r="S131" s="3" t="s">
        <v>834</v>
      </c>
      <c r="W131" s="3">
        <v>2010.0</v>
      </c>
      <c r="X131" s="3" t="s">
        <v>331</v>
      </c>
      <c r="Y131" s="3" t="s">
        <v>835</v>
      </c>
      <c r="Z131" s="2"/>
      <c r="AA131" s="15" t="s">
        <v>836</v>
      </c>
      <c r="AB131" s="3" t="s">
        <v>837</v>
      </c>
      <c r="AC131" s="3" t="s">
        <v>346</v>
      </c>
      <c r="AD131" s="3" t="s">
        <v>836</v>
      </c>
    </row>
    <row r="132">
      <c r="A132" s="22"/>
      <c r="B132" s="22"/>
      <c r="C132" s="22"/>
      <c r="D132" s="23" t="b">
        <v>0</v>
      </c>
      <c r="E132" s="22"/>
      <c r="F132" s="22"/>
      <c r="G132" s="23" t="b">
        <v>1</v>
      </c>
      <c r="H132" s="23" t="b">
        <v>0</v>
      </c>
      <c r="I132" s="22"/>
      <c r="J132" s="23" t="s">
        <v>838</v>
      </c>
      <c r="K132" s="23" t="s">
        <v>32</v>
      </c>
      <c r="L132" s="23" t="s">
        <v>572</v>
      </c>
      <c r="M132" s="22" t="s">
        <v>60</v>
      </c>
      <c r="N132" s="22" t="s">
        <v>595</v>
      </c>
      <c r="O132" s="22" t="s">
        <v>839</v>
      </c>
      <c r="P132" s="22" t="s">
        <v>840</v>
      </c>
      <c r="Q132" s="22"/>
      <c r="R132" s="22" t="s">
        <v>841</v>
      </c>
      <c r="S132" s="22" t="s">
        <v>842</v>
      </c>
      <c r="T132" s="22"/>
      <c r="U132" s="22"/>
      <c r="V132" s="22"/>
      <c r="W132" s="22">
        <v>2009.0</v>
      </c>
      <c r="X132" s="22" t="s">
        <v>331</v>
      </c>
      <c r="Y132" s="22" t="s">
        <v>843</v>
      </c>
      <c r="Z132" s="23"/>
      <c r="AA132" s="27" t="s">
        <v>844</v>
      </c>
      <c r="AB132" s="22" t="s">
        <v>845</v>
      </c>
      <c r="AC132" s="22" t="s">
        <v>846</v>
      </c>
      <c r="AD132" s="22" t="s">
        <v>844</v>
      </c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</row>
    <row r="133">
      <c r="D133" s="2" t="b">
        <v>1</v>
      </c>
      <c r="E133" s="2" t="s">
        <v>741</v>
      </c>
      <c r="G133" s="2" t="b">
        <v>0</v>
      </c>
      <c r="H133" s="2" t="b">
        <v>0</v>
      </c>
      <c r="J133" s="2" t="s">
        <v>847</v>
      </c>
      <c r="K133" s="2" t="s">
        <v>32</v>
      </c>
      <c r="L133" s="2" t="s">
        <v>572</v>
      </c>
      <c r="M133" s="3" t="s">
        <v>848</v>
      </c>
      <c r="N133" s="3" t="s">
        <v>849</v>
      </c>
      <c r="O133" s="3" t="s">
        <v>850</v>
      </c>
      <c r="P133" s="3" t="s">
        <v>851</v>
      </c>
      <c r="Q133" s="3" t="s">
        <v>852</v>
      </c>
      <c r="R133" s="3" t="s">
        <v>713</v>
      </c>
      <c r="S133" s="3" t="s">
        <v>853</v>
      </c>
      <c r="T133" s="3">
        <v>1.2</v>
      </c>
      <c r="W133" s="3">
        <v>2016.0</v>
      </c>
      <c r="X133" s="3" t="s">
        <v>343</v>
      </c>
      <c r="Y133" s="3" t="s">
        <v>682</v>
      </c>
      <c r="Z133" s="2"/>
      <c r="AA133" s="5" t="s">
        <v>854</v>
      </c>
      <c r="AB133" s="3" t="s">
        <v>855</v>
      </c>
      <c r="AC133" s="3" t="s">
        <v>856</v>
      </c>
      <c r="AD133" s="3" t="s">
        <v>857</v>
      </c>
    </row>
    <row r="134">
      <c r="A134" s="17"/>
      <c r="B134" s="17"/>
      <c r="C134" s="17"/>
      <c r="D134" s="18" t="b">
        <v>0</v>
      </c>
      <c r="E134" s="17"/>
      <c r="F134" s="17"/>
      <c r="G134" s="18" t="b">
        <v>0</v>
      </c>
      <c r="H134" s="18" t="b">
        <v>0</v>
      </c>
      <c r="I134" s="17"/>
      <c r="J134" s="18" t="s">
        <v>858</v>
      </c>
      <c r="K134" s="18" t="s">
        <v>32</v>
      </c>
      <c r="L134" s="18" t="s">
        <v>572</v>
      </c>
      <c r="M134" s="17" t="s">
        <v>859</v>
      </c>
      <c r="N134" s="17" t="s">
        <v>860</v>
      </c>
      <c r="O134" s="17" t="s">
        <v>861</v>
      </c>
      <c r="P134" s="17" t="s">
        <v>862</v>
      </c>
      <c r="Q134" s="17"/>
      <c r="R134" s="17" t="s">
        <v>863</v>
      </c>
      <c r="S134" s="17" t="s">
        <v>864</v>
      </c>
      <c r="T134" s="17"/>
      <c r="U134" s="17"/>
      <c r="V134" s="17"/>
      <c r="W134" s="17">
        <v>2023.0</v>
      </c>
      <c r="X134" s="17" t="s">
        <v>331</v>
      </c>
      <c r="Y134" s="17" t="s">
        <v>865</v>
      </c>
      <c r="Z134" s="18"/>
      <c r="AA134" s="45" t="s">
        <v>866</v>
      </c>
      <c r="AB134" s="17" t="s">
        <v>867</v>
      </c>
      <c r="AC134" s="17" t="s">
        <v>868</v>
      </c>
      <c r="AD134" s="17" t="s">
        <v>866</v>
      </c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</row>
    <row r="135">
      <c r="D135" s="2" t="b">
        <v>1</v>
      </c>
      <c r="E135" s="2" t="s">
        <v>741</v>
      </c>
      <c r="G135" s="2" t="b">
        <v>0</v>
      </c>
      <c r="H135" s="2" t="b">
        <v>0</v>
      </c>
      <c r="J135" s="2" t="s">
        <v>869</v>
      </c>
      <c r="K135" s="2" t="s">
        <v>32</v>
      </c>
      <c r="L135" s="2" t="s">
        <v>572</v>
      </c>
      <c r="M135" s="3" t="s">
        <v>60</v>
      </c>
      <c r="N135" s="3" t="s">
        <v>34</v>
      </c>
      <c r="O135" s="3" t="s">
        <v>870</v>
      </c>
      <c r="P135" s="3" t="s">
        <v>871</v>
      </c>
      <c r="Q135" s="3" t="s">
        <v>872</v>
      </c>
      <c r="R135" s="3" t="s">
        <v>63</v>
      </c>
      <c r="S135" s="3" t="s">
        <v>873</v>
      </c>
      <c r="W135" s="3">
        <v>2020.0</v>
      </c>
      <c r="X135" s="3" t="s">
        <v>331</v>
      </c>
      <c r="Y135" s="3" t="s">
        <v>874</v>
      </c>
      <c r="Z135" s="2"/>
      <c r="AA135" s="5" t="s">
        <v>875</v>
      </c>
      <c r="AB135" s="3" t="s">
        <v>876</v>
      </c>
      <c r="AC135" s="3" t="s">
        <v>422</v>
      </c>
      <c r="AD135" s="3" t="s">
        <v>877</v>
      </c>
    </row>
    <row r="136">
      <c r="D136" s="2" t="b">
        <v>1</v>
      </c>
      <c r="E136" s="2" t="s">
        <v>878</v>
      </c>
      <c r="G136" s="2" t="b">
        <v>0</v>
      </c>
      <c r="H136" s="2" t="b">
        <v>0</v>
      </c>
      <c r="J136" s="2" t="s">
        <v>879</v>
      </c>
      <c r="K136" s="2" t="s">
        <v>32</v>
      </c>
      <c r="L136" s="2" t="s">
        <v>572</v>
      </c>
      <c r="M136" s="3" t="s">
        <v>60</v>
      </c>
      <c r="N136" s="3" t="s">
        <v>76</v>
      </c>
      <c r="O136" s="3" t="s">
        <v>880</v>
      </c>
      <c r="P136" s="3" t="s">
        <v>881</v>
      </c>
      <c r="Q136" s="3" t="s">
        <v>882</v>
      </c>
      <c r="R136" s="3" t="s">
        <v>883</v>
      </c>
      <c r="S136" s="3" t="s">
        <v>698</v>
      </c>
      <c r="T136" s="3">
        <v>5.15</v>
      </c>
      <c r="W136" s="3">
        <v>2017.0</v>
      </c>
      <c r="X136" s="3" t="s">
        <v>331</v>
      </c>
      <c r="Y136" s="3" t="s">
        <v>884</v>
      </c>
      <c r="Z136" s="2"/>
      <c r="AA136" s="15" t="s">
        <v>885</v>
      </c>
      <c r="AB136" s="3" t="s">
        <v>886</v>
      </c>
      <c r="AC136" s="3" t="s">
        <v>334</v>
      </c>
      <c r="AD136" s="3" t="s">
        <v>887</v>
      </c>
    </row>
    <row r="137">
      <c r="D137" s="2" t="b">
        <v>1</v>
      </c>
      <c r="E137" s="2" t="s">
        <v>888</v>
      </c>
      <c r="G137" s="2" t="b">
        <v>0</v>
      </c>
      <c r="H137" s="2" t="b">
        <v>0</v>
      </c>
      <c r="J137" s="2" t="s">
        <v>889</v>
      </c>
      <c r="K137" s="2" t="s">
        <v>32</v>
      </c>
      <c r="L137" s="2" t="s">
        <v>572</v>
      </c>
      <c r="M137" s="3" t="s">
        <v>60</v>
      </c>
      <c r="N137" s="3" t="s">
        <v>890</v>
      </c>
      <c r="O137" s="3" t="s">
        <v>891</v>
      </c>
      <c r="P137" s="3" t="s">
        <v>892</v>
      </c>
      <c r="R137" s="3" t="s">
        <v>893</v>
      </c>
      <c r="S137" s="3" t="s">
        <v>894</v>
      </c>
      <c r="W137" s="3">
        <v>2011.0</v>
      </c>
      <c r="X137" s="3" t="s">
        <v>331</v>
      </c>
      <c r="Y137" s="3" t="s">
        <v>895</v>
      </c>
      <c r="Z137" s="2"/>
      <c r="AA137" s="5" t="s">
        <v>896</v>
      </c>
      <c r="AB137" s="3" t="s">
        <v>897</v>
      </c>
      <c r="AC137" s="3" t="s">
        <v>898</v>
      </c>
      <c r="AD137" s="3" t="s">
        <v>899</v>
      </c>
    </row>
    <row r="138">
      <c r="D138" s="2" t="b">
        <v>1</v>
      </c>
      <c r="E138" s="2" t="s">
        <v>900</v>
      </c>
      <c r="G138" s="2" t="b">
        <v>0</v>
      </c>
      <c r="H138" s="2" t="b">
        <v>0</v>
      </c>
      <c r="J138" s="2" t="s">
        <v>901</v>
      </c>
      <c r="K138" s="2" t="s">
        <v>32</v>
      </c>
      <c r="L138" s="2" t="s">
        <v>572</v>
      </c>
      <c r="M138" s="3" t="s">
        <v>902</v>
      </c>
      <c r="N138" s="3" t="s">
        <v>685</v>
      </c>
      <c r="O138" s="3" t="s">
        <v>903</v>
      </c>
      <c r="P138" s="3" t="s">
        <v>904</v>
      </c>
      <c r="R138" s="3" t="s">
        <v>893</v>
      </c>
      <c r="W138" s="3">
        <v>2018.0</v>
      </c>
      <c r="X138" s="3" t="s">
        <v>331</v>
      </c>
      <c r="Y138" s="3" t="s">
        <v>905</v>
      </c>
      <c r="Z138" s="2"/>
      <c r="AA138" s="15" t="s">
        <v>906</v>
      </c>
      <c r="AB138" s="3" t="s">
        <v>907</v>
      </c>
      <c r="AC138" s="3" t="s">
        <v>346</v>
      </c>
      <c r="AD138" s="3" t="s">
        <v>908</v>
      </c>
    </row>
    <row r="139">
      <c r="A139" s="22"/>
      <c r="B139" s="22"/>
      <c r="C139" s="22"/>
      <c r="D139" s="23" t="b">
        <v>1</v>
      </c>
      <c r="E139" s="23" t="s">
        <v>909</v>
      </c>
      <c r="F139" s="22"/>
      <c r="G139" s="23" t="b">
        <v>0</v>
      </c>
      <c r="H139" s="23" t="b">
        <v>0</v>
      </c>
      <c r="I139" s="22"/>
      <c r="J139" s="23" t="s">
        <v>910</v>
      </c>
      <c r="K139" s="23" t="s">
        <v>32</v>
      </c>
      <c r="L139" s="23" t="s">
        <v>572</v>
      </c>
      <c r="M139" s="22" t="s">
        <v>911</v>
      </c>
      <c r="N139" s="22" t="s">
        <v>912</v>
      </c>
      <c r="O139" s="22" t="s">
        <v>913</v>
      </c>
      <c r="P139" s="22" t="s">
        <v>914</v>
      </c>
      <c r="Q139" s="22" t="s">
        <v>915</v>
      </c>
      <c r="R139" s="22" t="s">
        <v>916</v>
      </c>
      <c r="S139" s="22" t="s">
        <v>917</v>
      </c>
      <c r="T139" s="22">
        <v>27.21</v>
      </c>
      <c r="U139" s="22"/>
      <c r="V139" s="22"/>
      <c r="W139" s="22">
        <v>2018.0</v>
      </c>
      <c r="X139" s="22" t="s">
        <v>918</v>
      </c>
      <c r="Y139" s="22" t="s">
        <v>682</v>
      </c>
      <c r="Z139" s="23"/>
      <c r="AA139" s="27" t="s">
        <v>919</v>
      </c>
      <c r="AB139" s="22" t="s">
        <v>920</v>
      </c>
      <c r="AC139" s="22" t="s">
        <v>334</v>
      </c>
      <c r="AD139" s="22" t="s">
        <v>921</v>
      </c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</row>
    <row r="140">
      <c r="A140" s="11"/>
      <c r="B140" s="11"/>
      <c r="C140" s="11"/>
      <c r="D140" s="12" t="b">
        <v>1</v>
      </c>
      <c r="E140" s="12" t="s">
        <v>922</v>
      </c>
      <c r="F140" s="11"/>
      <c r="G140" s="12" t="b">
        <v>0</v>
      </c>
      <c r="H140" s="12" t="b">
        <v>0</v>
      </c>
      <c r="I140" s="11"/>
      <c r="J140" s="12" t="s">
        <v>923</v>
      </c>
      <c r="K140" s="12" t="s">
        <v>32</v>
      </c>
      <c r="L140" s="12" t="s">
        <v>572</v>
      </c>
      <c r="M140" s="11" t="s">
        <v>328</v>
      </c>
      <c r="N140" s="11" t="s">
        <v>924</v>
      </c>
      <c r="O140" s="11" t="s">
        <v>925</v>
      </c>
      <c r="P140" s="12">
        <v>436.0</v>
      </c>
      <c r="Q140" s="11" t="s">
        <v>926</v>
      </c>
      <c r="R140" s="11" t="s">
        <v>63</v>
      </c>
      <c r="S140" s="11" t="s">
        <v>927</v>
      </c>
      <c r="T140" s="11">
        <v>127.2</v>
      </c>
      <c r="U140" s="11"/>
      <c r="V140" s="11"/>
      <c r="W140" s="11">
        <v>2022.0</v>
      </c>
      <c r="X140" s="11" t="s">
        <v>331</v>
      </c>
      <c r="Y140" s="11" t="s">
        <v>928</v>
      </c>
      <c r="Z140" s="12"/>
      <c r="AA140" s="14" t="s">
        <v>929</v>
      </c>
      <c r="AB140" s="11" t="s">
        <v>930</v>
      </c>
      <c r="AC140" s="11" t="s">
        <v>334</v>
      </c>
      <c r="AD140" s="11" t="s">
        <v>931</v>
      </c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</row>
    <row r="141">
      <c r="D141" s="2" t="b">
        <v>1</v>
      </c>
      <c r="E141" s="2" t="s">
        <v>741</v>
      </c>
      <c r="G141" s="2" t="b">
        <v>0</v>
      </c>
      <c r="H141" s="2" t="b">
        <v>0</v>
      </c>
      <c r="J141" s="2" t="s">
        <v>932</v>
      </c>
      <c r="K141" s="2" t="s">
        <v>32</v>
      </c>
      <c r="L141" s="2" t="s">
        <v>572</v>
      </c>
      <c r="M141" s="3" t="s">
        <v>60</v>
      </c>
      <c r="N141" s="3" t="s">
        <v>76</v>
      </c>
      <c r="O141" s="3" t="s">
        <v>933</v>
      </c>
      <c r="P141" s="3" t="s">
        <v>934</v>
      </c>
      <c r="Q141" s="3" t="s">
        <v>935</v>
      </c>
      <c r="R141" s="3" t="s">
        <v>936</v>
      </c>
      <c r="S141" s="3" t="s">
        <v>937</v>
      </c>
      <c r="T141" s="3">
        <v>0.46</v>
      </c>
      <c r="W141" s="3">
        <v>2020.0</v>
      </c>
      <c r="X141" s="3" t="s">
        <v>938</v>
      </c>
      <c r="Y141" s="3" t="s">
        <v>939</v>
      </c>
      <c r="Z141" s="2"/>
      <c r="AA141" s="15" t="s">
        <v>940</v>
      </c>
      <c r="AB141" s="3" t="s">
        <v>941</v>
      </c>
      <c r="AC141" s="3" t="s">
        <v>942</v>
      </c>
      <c r="AD141" s="3" t="s">
        <v>943</v>
      </c>
    </row>
    <row r="142">
      <c r="D142" s="2" t="b">
        <v>1</v>
      </c>
      <c r="E142" s="2" t="s">
        <v>944</v>
      </c>
      <c r="G142" s="2" t="b">
        <v>0</v>
      </c>
      <c r="H142" s="2" t="b">
        <v>0</v>
      </c>
      <c r="J142" s="2" t="s">
        <v>945</v>
      </c>
      <c r="K142" s="2" t="s">
        <v>32</v>
      </c>
      <c r="L142" s="2" t="s">
        <v>572</v>
      </c>
      <c r="M142" s="3" t="s">
        <v>60</v>
      </c>
      <c r="N142" s="3" t="s">
        <v>946</v>
      </c>
      <c r="O142" s="3" t="s">
        <v>947</v>
      </c>
      <c r="P142" s="3" t="s">
        <v>948</v>
      </c>
      <c r="Q142" s="3" t="s">
        <v>949</v>
      </c>
      <c r="R142" s="3" t="s">
        <v>63</v>
      </c>
      <c r="S142" s="3" t="s">
        <v>698</v>
      </c>
      <c r="W142" s="3">
        <v>2021.0</v>
      </c>
      <c r="X142" s="3" t="s">
        <v>331</v>
      </c>
      <c r="Y142" s="3" t="s">
        <v>835</v>
      </c>
      <c r="Z142" s="2"/>
      <c r="AA142" s="5" t="s">
        <v>950</v>
      </c>
      <c r="AB142" s="3" t="s">
        <v>951</v>
      </c>
      <c r="AC142" s="3" t="s">
        <v>346</v>
      </c>
      <c r="AD142" s="3" t="s">
        <v>950</v>
      </c>
    </row>
    <row r="143">
      <c r="D143" s="2" t="b">
        <v>1</v>
      </c>
      <c r="E143" s="2" t="s">
        <v>952</v>
      </c>
      <c r="F143" s="2"/>
      <c r="G143" s="2" t="b">
        <v>0</v>
      </c>
      <c r="H143" s="2" t="b">
        <v>0</v>
      </c>
      <c r="J143" s="2" t="s">
        <v>953</v>
      </c>
      <c r="K143" s="2" t="s">
        <v>32</v>
      </c>
      <c r="L143" s="2" t="s">
        <v>572</v>
      </c>
      <c r="M143" s="3" t="s">
        <v>60</v>
      </c>
      <c r="N143" s="3" t="s">
        <v>954</v>
      </c>
      <c r="O143" s="3" t="s">
        <v>955</v>
      </c>
      <c r="P143" s="3" t="s">
        <v>956</v>
      </c>
      <c r="Q143" s="3" t="s">
        <v>957</v>
      </c>
      <c r="R143" s="3" t="s">
        <v>958</v>
      </c>
      <c r="S143" s="3" t="s">
        <v>698</v>
      </c>
      <c r="T143" s="3">
        <v>11.68</v>
      </c>
      <c r="W143" s="3">
        <v>2020.0</v>
      </c>
      <c r="X143" s="3" t="s">
        <v>331</v>
      </c>
      <c r="Y143" s="3" t="s">
        <v>959</v>
      </c>
      <c r="Z143" s="2"/>
      <c r="AA143" s="5" t="s">
        <v>960</v>
      </c>
      <c r="AB143" s="3" t="s">
        <v>961</v>
      </c>
      <c r="AC143" s="3" t="s">
        <v>334</v>
      </c>
      <c r="AD143" s="3" t="s">
        <v>962</v>
      </c>
    </row>
    <row r="144">
      <c r="D144" s="2" t="b">
        <v>1</v>
      </c>
      <c r="E144" s="2" t="s">
        <v>963</v>
      </c>
      <c r="G144" s="2" t="b">
        <v>0</v>
      </c>
      <c r="H144" s="2" t="b">
        <v>0</v>
      </c>
      <c r="J144" s="2" t="s">
        <v>964</v>
      </c>
      <c r="K144" s="2" t="s">
        <v>32</v>
      </c>
      <c r="L144" s="2" t="s">
        <v>572</v>
      </c>
      <c r="M144" s="3" t="s">
        <v>60</v>
      </c>
      <c r="N144" s="3" t="s">
        <v>34</v>
      </c>
      <c r="O144" s="3" t="s">
        <v>965</v>
      </c>
      <c r="P144" s="3" t="s">
        <v>966</v>
      </c>
      <c r="Q144" s="3" t="s">
        <v>967</v>
      </c>
      <c r="R144" s="3" t="s">
        <v>63</v>
      </c>
      <c r="S144" s="3" t="s">
        <v>698</v>
      </c>
      <c r="T144" s="3">
        <v>8.67</v>
      </c>
      <c r="W144" s="3">
        <v>2021.0</v>
      </c>
      <c r="X144" s="3" t="s">
        <v>331</v>
      </c>
      <c r="Y144" s="3" t="s">
        <v>968</v>
      </c>
      <c r="Z144" s="2"/>
      <c r="AA144" s="5" t="s">
        <v>969</v>
      </c>
      <c r="AB144" s="3" t="s">
        <v>970</v>
      </c>
      <c r="AC144" s="3" t="s">
        <v>334</v>
      </c>
      <c r="AD144" s="3" t="s">
        <v>971</v>
      </c>
    </row>
    <row r="145">
      <c r="D145" s="2" t="b">
        <v>1</v>
      </c>
      <c r="E145" s="2" t="s">
        <v>972</v>
      </c>
      <c r="G145" s="2" t="b">
        <v>0</v>
      </c>
      <c r="H145" s="2" t="b">
        <v>0</v>
      </c>
      <c r="J145" s="2" t="s">
        <v>973</v>
      </c>
      <c r="K145" s="2" t="s">
        <v>32</v>
      </c>
      <c r="L145" s="2" t="s">
        <v>572</v>
      </c>
      <c r="M145" s="3" t="s">
        <v>848</v>
      </c>
      <c r="N145" s="3" t="s">
        <v>34</v>
      </c>
      <c r="O145" s="3" t="s">
        <v>974</v>
      </c>
      <c r="P145" s="3" t="s">
        <v>975</v>
      </c>
      <c r="Q145" s="3" t="s">
        <v>976</v>
      </c>
      <c r="R145" s="3" t="s">
        <v>63</v>
      </c>
      <c r="S145" s="3" t="s">
        <v>977</v>
      </c>
      <c r="T145" s="3">
        <v>12.27</v>
      </c>
      <c r="W145" s="3">
        <v>2021.0</v>
      </c>
      <c r="X145" s="3" t="s">
        <v>343</v>
      </c>
      <c r="Y145" s="3" t="s">
        <v>968</v>
      </c>
      <c r="Z145" s="2"/>
      <c r="AA145" s="5" t="s">
        <v>978</v>
      </c>
      <c r="AB145" s="3" t="s">
        <v>979</v>
      </c>
      <c r="AC145" s="3" t="s">
        <v>334</v>
      </c>
      <c r="AD145" s="3" t="s">
        <v>980</v>
      </c>
    </row>
    <row r="146">
      <c r="A146" s="17"/>
      <c r="B146" s="17"/>
      <c r="C146" s="17"/>
      <c r="D146" s="18" t="b">
        <v>0</v>
      </c>
      <c r="E146" s="17"/>
      <c r="F146" s="17"/>
      <c r="G146" s="18" t="b">
        <v>0</v>
      </c>
      <c r="H146" s="18" t="b">
        <v>0</v>
      </c>
      <c r="I146" s="17"/>
      <c r="J146" s="18" t="s">
        <v>981</v>
      </c>
      <c r="K146" s="18" t="s">
        <v>32</v>
      </c>
      <c r="L146" s="18" t="s">
        <v>572</v>
      </c>
      <c r="M146" s="17" t="s">
        <v>982</v>
      </c>
      <c r="N146" s="17" t="s">
        <v>983</v>
      </c>
      <c r="O146" s="17" t="s">
        <v>984</v>
      </c>
      <c r="P146" s="17" t="s">
        <v>985</v>
      </c>
      <c r="Q146" s="17" t="s">
        <v>986</v>
      </c>
      <c r="R146" s="17" t="s">
        <v>987</v>
      </c>
      <c r="S146" s="17" t="s">
        <v>864</v>
      </c>
      <c r="T146" s="17">
        <v>11140.0</v>
      </c>
      <c r="U146" s="17"/>
      <c r="V146" s="17"/>
      <c r="W146" s="17">
        <v>2013.0</v>
      </c>
      <c r="X146" s="17" t="s">
        <v>331</v>
      </c>
      <c r="Y146" s="17" t="s">
        <v>682</v>
      </c>
      <c r="Z146" s="18"/>
      <c r="AA146" s="45" t="s">
        <v>988</v>
      </c>
      <c r="AB146" s="17" t="s">
        <v>989</v>
      </c>
      <c r="AC146" s="17" t="s">
        <v>334</v>
      </c>
      <c r="AD146" s="17" t="s">
        <v>990</v>
      </c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</row>
    <row r="147">
      <c r="D147" s="2" t="b">
        <v>1</v>
      </c>
      <c r="E147" s="2" t="s">
        <v>741</v>
      </c>
      <c r="G147" s="2" t="b">
        <v>0</v>
      </c>
      <c r="H147" s="2" t="b">
        <v>0</v>
      </c>
      <c r="J147" s="2" t="s">
        <v>991</v>
      </c>
      <c r="K147" s="2" t="s">
        <v>32</v>
      </c>
      <c r="L147" s="2" t="s">
        <v>572</v>
      </c>
      <c r="M147" s="3" t="s">
        <v>848</v>
      </c>
      <c r="N147" s="3" t="s">
        <v>992</v>
      </c>
      <c r="O147" s="3" t="s">
        <v>993</v>
      </c>
      <c r="P147" s="3" t="s">
        <v>994</v>
      </c>
      <c r="Q147" s="3" t="s">
        <v>995</v>
      </c>
      <c r="R147" s="3" t="s">
        <v>996</v>
      </c>
      <c r="S147" s="3" t="s">
        <v>630</v>
      </c>
      <c r="W147" s="3">
        <v>2021.0</v>
      </c>
      <c r="X147" s="3" t="s">
        <v>343</v>
      </c>
      <c r="Y147" s="3" t="s">
        <v>997</v>
      </c>
      <c r="Z147" s="2"/>
      <c r="AA147" s="5" t="s">
        <v>998</v>
      </c>
      <c r="AB147" s="3" t="s">
        <v>999</v>
      </c>
      <c r="AC147" s="3" t="s">
        <v>898</v>
      </c>
      <c r="AD147" s="3" t="s">
        <v>998</v>
      </c>
    </row>
    <row r="148">
      <c r="A148" s="22"/>
      <c r="B148" s="22"/>
      <c r="C148" s="22"/>
      <c r="D148" s="23" t="b">
        <v>0</v>
      </c>
      <c r="E148" s="22"/>
      <c r="F148" s="22"/>
      <c r="G148" s="23" t="b">
        <v>1</v>
      </c>
      <c r="H148" s="23" t="b">
        <v>0</v>
      </c>
      <c r="I148" s="22"/>
      <c r="J148" s="23" t="s">
        <v>1000</v>
      </c>
      <c r="K148" s="23" t="s">
        <v>32</v>
      </c>
      <c r="L148" s="23" t="s">
        <v>572</v>
      </c>
      <c r="M148" s="22" t="s">
        <v>1001</v>
      </c>
      <c r="N148" s="22" t="s">
        <v>1002</v>
      </c>
      <c r="O148" s="22" t="s">
        <v>1003</v>
      </c>
      <c r="P148" s="23">
        <v>395.0</v>
      </c>
      <c r="Q148" s="22" t="s">
        <v>1004</v>
      </c>
      <c r="R148" s="22" t="s">
        <v>63</v>
      </c>
      <c r="S148" s="22" t="s">
        <v>698</v>
      </c>
      <c r="T148" s="22">
        <v>98.0</v>
      </c>
      <c r="U148" s="22"/>
      <c r="V148" s="22"/>
      <c r="W148" s="22">
        <v>2018.0</v>
      </c>
      <c r="X148" s="22" t="s">
        <v>331</v>
      </c>
      <c r="Y148" s="22" t="s">
        <v>1005</v>
      </c>
      <c r="Z148" s="23"/>
      <c r="AA148" s="28" t="s">
        <v>1006</v>
      </c>
      <c r="AB148" s="22" t="s">
        <v>1007</v>
      </c>
      <c r="AC148" s="22" t="s">
        <v>334</v>
      </c>
      <c r="AD148" s="22" t="s">
        <v>1008</v>
      </c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</row>
    <row r="149">
      <c r="A149" s="22"/>
      <c r="B149" s="22"/>
      <c r="C149" s="22"/>
      <c r="D149" s="23" t="b">
        <v>0</v>
      </c>
      <c r="E149" s="22"/>
      <c r="F149" s="22"/>
      <c r="G149" s="23" t="b">
        <v>1</v>
      </c>
      <c r="H149" s="23" t="b">
        <v>0</v>
      </c>
      <c r="I149" s="22"/>
      <c r="J149" s="23" t="s">
        <v>1009</v>
      </c>
      <c r="K149" s="23" t="s">
        <v>32</v>
      </c>
      <c r="L149" s="23" t="s">
        <v>572</v>
      </c>
      <c r="M149" s="22" t="s">
        <v>1001</v>
      </c>
      <c r="N149" s="22" t="s">
        <v>1010</v>
      </c>
      <c r="O149" s="22" t="s">
        <v>1011</v>
      </c>
      <c r="P149" s="23">
        <v>49.0</v>
      </c>
      <c r="Q149" s="22" t="s">
        <v>1012</v>
      </c>
      <c r="R149" s="22" t="s">
        <v>63</v>
      </c>
      <c r="S149" s="22" t="s">
        <v>698</v>
      </c>
      <c r="T149" s="22">
        <v>7.87</v>
      </c>
      <c r="U149" s="22"/>
      <c r="V149" s="22"/>
      <c r="W149" s="22">
        <v>2013.0</v>
      </c>
      <c r="X149" s="22" t="s">
        <v>331</v>
      </c>
      <c r="Y149" s="22" t="s">
        <v>865</v>
      </c>
      <c r="Z149" s="23"/>
      <c r="AA149" s="28" t="s">
        <v>1013</v>
      </c>
      <c r="AB149" s="22" t="s">
        <v>1014</v>
      </c>
      <c r="AC149" s="22" t="s">
        <v>334</v>
      </c>
      <c r="AD149" s="22" t="s">
        <v>1015</v>
      </c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</row>
    <row r="150">
      <c r="A150" s="6"/>
      <c r="B150" s="6"/>
      <c r="C150" s="6"/>
      <c r="D150" s="7" t="b">
        <v>1</v>
      </c>
      <c r="E150" s="7" t="s">
        <v>1016</v>
      </c>
      <c r="F150" s="6"/>
      <c r="G150" s="7" t="b">
        <v>0</v>
      </c>
      <c r="H150" s="7" t="b">
        <v>0</v>
      </c>
      <c r="I150" s="6"/>
      <c r="J150" s="7" t="s">
        <v>1017</v>
      </c>
      <c r="K150" s="7" t="s">
        <v>32</v>
      </c>
      <c r="L150" s="7" t="s">
        <v>572</v>
      </c>
      <c r="M150" s="6" t="s">
        <v>60</v>
      </c>
      <c r="N150" s="6" t="s">
        <v>1018</v>
      </c>
      <c r="O150" s="6" t="s">
        <v>1019</v>
      </c>
      <c r="P150" s="6" t="s">
        <v>1020</v>
      </c>
      <c r="Q150" s="6" t="s">
        <v>1021</v>
      </c>
      <c r="R150" s="6" t="s">
        <v>883</v>
      </c>
      <c r="S150" s="6" t="s">
        <v>698</v>
      </c>
      <c r="T150" s="6">
        <v>35.78</v>
      </c>
      <c r="U150" s="6"/>
      <c r="V150" s="6"/>
      <c r="W150" s="6">
        <v>2015.0</v>
      </c>
      <c r="X150" s="6" t="s">
        <v>331</v>
      </c>
      <c r="Y150" s="6" t="s">
        <v>1022</v>
      </c>
      <c r="Z150" s="7"/>
      <c r="AA150" s="10" t="s">
        <v>1023</v>
      </c>
      <c r="AB150" s="6" t="s">
        <v>1024</v>
      </c>
      <c r="AC150" s="6" t="s">
        <v>334</v>
      </c>
      <c r="AD150" s="6" t="s">
        <v>1025</v>
      </c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>
      <c r="D151" s="2" t="b">
        <v>1</v>
      </c>
      <c r="E151" s="2" t="s">
        <v>1026</v>
      </c>
      <c r="G151" s="2" t="b">
        <v>0</v>
      </c>
      <c r="H151" s="2" t="b">
        <v>0</v>
      </c>
      <c r="J151" s="2" t="s">
        <v>1027</v>
      </c>
      <c r="K151" s="2" t="s">
        <v>32</v>
      </c>
      <c r="L151" s="2" t="s">
        <v>572</v>
      </c>
      <c r="M151" s="3" t="s">
        <v>60</v>
      </c>
      <c r="N151" s="3" t="s">
        <v>1028</v>
      </c>
      <c r="O151" s="3" t="s">
        <v>1029</v>
      </c>
      <c r="P151" s="3" t="s">
        <v>1030</v>
      </c>
      <c r="Q151" s="3" t="s">
        <v>1031</v>
      </c>
      <c r="R151" s="3" t="s">
        <v>1032</v>
      </c>
      <c r="S151" s="3" t="s">
        <v>698</v>
      </c>
      <c r="T151" s="3">
        <v>3.22</v>
      </c>
      <c r="W151" s="3">
        <v>2014.0</v>
      </c>
      <c r="X151" s="3" t="s">
        <v>331</v>
      </c>
      <c r="Y151" s="3" t="s">
        <v>1033</v>
      </c>
      <c r="Z151" s="2"/>
      <c r="AA151" s="5" t="s">
        <v>1034</v>
      </c>
      <c r="AB151" s="3" t="s">
        <v>1035</v>
      </c>
      <c r="AC151" s="3" t="s">
        <v>334</v>
      </c>
      <c r="AD151" s="3" t="s">
        <v>1034</v>
      </c>
    </row>
    <row r="152">
      <c r="A152" s="11"/>
      <c r="B152" s="11"/>
      <c r="C152" s="11"/>
      <c r="D152" s="12" t="b">
        <v>1</v>
      </c>
      <c r="E152" s="12" t="s">
        <v>1036</v>
      </c>
      <c r="F152" s="11"/>
      <c r="G152" s="12" t="b">
        <v>0</v>
      </c>
      <c r="H152" s="12" t="b">
        <v>0</v>
      </c>
      <c r="I152" s="11"/>
      <c r="J152" s="12" t="s">
        <v>1037</v>
      </c>
      <c r="K152" s="12" t="s">
        <v>32</v>
      </c>
      <c r="L152" s="12" t="s">
        <v>572</v>
      </c>
      <c r="M152" s="11" t="s">
        <v>60</v>
      </c>
      <c r="N152" s="11" t="s">
        <v>1038</v>
      </c>
      <c r="O152" s="11" t="s">
        <v>1039</v>
      </c>
      <c r="P152" s="11" t="s">
        <v>1040</v>
      </c>
      <c r="Q152" s="11" t="s">
        <v>1041</v>
      </c>
      <c r="R152" s="11" t="s">
        <v>63</v>
      </c>
      <c r="S152" s="11" t="s">
        <v>1042</v>
      </c>
      <c r="T152" s="11">
        <v>782.22</v>
      </c>
      <c r="U152" s="11"/>
      <c r="V152" s="11"/>
      <c r="W152" s="11">
        <v>2015.0</v>
      </c>
      <c r="X152" s="11" t="s">
        <v>331</v>
      </c>
      <c r="Y152" s="11" t="s">
        <v>682</v>
      </c>
      <c r="Z152" s="12"/>
      <c r="AA152" s="14" t="s">
        <v>1043</v>
      </c>
      <c r="AB152" s="11" t="s">
        <v>1044</v>
      </c>
      <c r="AC152" s="11" t="s">
        <v>334</v>
      </c>
      <c r="AD152" s="11" t="s">
        <v>1045</v>
      </c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</row>
    <row r="153">
      <c r="D153" s="2" t="b">
        <v>1</v>
      </c>
      <c r="E153" s="2" t="s">
        <v>741</v>
      </c>
      <c r="G153" s="2" t="b">
        <v>0</v>
      </c>
      <c r="H153" s="2" t="b">
        <v>0</v>
      </c>
      <c r="J153" s="2" t="s">
        <v>1046</v>
      </c>
      <c r="K153" s="2" t="s">
        <v>32</v>
      </c>
      <c r="L153" s="2" t="s">
        <v>572</v>
      </c>
      <c r="M153" s="3" t="s">
        <v>848</v>
      </c>
      <c r="N153" s="3" t="s">
        <v>34</v>
      </c>
      <c r="O153" s="3" t="s">
        <v>1047</v>
      </c>
      <c r="P153" s="3" t="s">
        <v>1048</v>
      </c>
      <c r="Q153" s="3" t="s">
        <v>1049</v>
      </c>
      <c r="R153" s="3" t="s">
        <v>1050</v>
      </c>
      <c r="S153" s="3" t="s">
        <v>1051</v>
      </c>
      <c r="T153" s="3">
        <v>4.39</v>
      </c>
      <c r="W153" s="3">
        <v>2017.0</v>
      </c>
      <c r="X153" s="3" t="s">
        <v>343</v>
      </c>
      <c r="Y153" s="3" t="s">
        <v>1052</v>
      </c>
      <c r="Z153" s="2"/>
      <c r="AA153" s="5" t="s">
        <v>1053</v>
      </c>
      <c r="AB153" s="3" t="s">
        <v>1054</v>
      </c>
      <c r="AC153" s="3" t="s">
        <v>105</v>
      </c>
      <c r="AD153" s="3" t="s">
        <v>1053</v>
      </c>
    </row>
    <row r="154">
      <c r="D154" s="2" t="b">
        <v>1</v>
      </c>
      <c r="E154" s="50" t="s">
        <v>1055</v>
      </c>
      <c r="G154" s="2" t="b">
        <v>0</v>
      </c>
      <c r="H154" s="2" t="b">
        <v>0</v>
      </c>
      <c r="J154" s="2" t="s">
        <v>1056</v>
      </c>
      <c r="K154" s="2" t="s">
        <v>32</v>
      </c>
      <c r="L154" s="2" t="s">
        <v>572</v>
      </c>
      <c r="M154" s="3" t="s">
        <v>60</v>
      </c>
      <c r="N154" s="3" t="s">
        <v>1057</v>
      </c>
      <c r="O154" s="3" t="s">
        <v>1058</v>
      </c>
      <c r="P154" s="3" t="s">
        <v>1059</v>
      </c>
      <c r="Q154" s="3" t="s">
        <v>1060</v>
      </c>
      <c r="R154" s="3" t="s">
        <v>63</v>
      </c>
      <c r="S154" s="3" t="s">
        <v>1061</v>
      </c>
      <c r="T154" s="3">
        <v>43.01</v>
      </c>
      <c r="W154" s="3">
        <v>2015.0</v>
      </c>
      <c r="X154" s="3" t="s">
        <v>331</v>
      </c>
      <c r="Y154" s="3" t="s">
        <v>682</v>
      </c>
      <c r="Z154" s="2"/>
      <c r="AA154" s="15" t="s">
        <v>1062</v>
      </c>
      <c r="AB154" s="3" t="s">
        <v>1063</v>
      </c>
      <c r="AC154" s="3" t="s">
        <v>334</v>
      </c>
      <c r="AD154" s="3" t="s">
        <v>1064</v>
      </c>
    </row>
    <row r="155">
      <c r="D155" s="2" t="b">
        <v>1</v>
      </c>
      <c r="E155" s="2" t="s">
        <v>1065</v>
      </c>
      <c r="G155" s="2" t="b">
        <v>0</v>
      </c>
      <c r="H155" s="2" t="b">
        <v>0</v>
      </c>
      <c r="J155" s="2" t="s">
        <v>1066</v>
      </c>
      <c r="K155" s="2" t="s">
        <v>32</v>
      </c>
      <c r="L155" s="2" t="s">
        <v>572</v>
      </c>
      <c r="M155" s="3" t="s">
        <v>848</v>
      </c>
      <c r="N155" s="3" t="s">
        <v>1067</v>
      </c>
      <c r="O155" s="3" t="s">
        <v>1068</v>
      </c>
      <c r="P155" s="3" t="s">
        <v>1069</v>
      </c>
      <c r="Q155" s="3" t="s">
        <v>1070</v>
      </c>
      <c r="R155" s="3" t="s">
        <v>63</v>
      </c>
      <c r="S155" s="3" t="s">
        <v>630</v>
      </c>
      <c r="T155" s="3">
        <v>3.3</v>
      </c>
      <c r="W155" s="3">
        <v>2018.0</v>
      </c>
      <c r="X155" s="3" t="s">
        <v>343</v>
      </c>
      <c r="Y155" s="3" t="s">
        <v>682</v>
      </c>
      <c r="Z155" s="2"/>
      <c r="AA155" s="15" t="s">
        <v>1071</v>
      </c>
      <c r="AB155" s="3" t="s">
        <v>1072</v>
      </c>
      <c r="AC155" s="3" t="s">
        <v>1073</v>
      </c>
      <c r="AD155" s="3" t="s">
        <v>1074</v>
      </c>
    </row>
    <row r="156">
      <c r="A156" s="38"/>
      <c r="B156" s="38"/>
      <c r="C156" s="38"/>
      <c r="D156" s="39" t="b">
        <v>0</v>
      </c>
      <c r="E156" s="38"/>
      <c r="F156" s="38"/>
      <c r="G156" s="39" t="b">
        <v>0</v>
      </c>
      <c r="H156" s="39" t="b">
        <v>0</v>
      </c>
      <c r="I156" s="38"/>
      <c r="J156" s="39" t="s">
        <v>1075</v>
      </c>
      <c r="K156" s="39" t="s">
        <v>32</v>
      </c>
      <c r="L156" s="39" t="s">
        <v>572</v>
      </c>
      <c r="M156" s="38" t="s">
        <v>1076</v>
      </c>
      <c r="N156" s="38" t="s">
        <v>1077</v>
      </c>
      <c r="O156" s="38" t="s">
        <v>1078</v>
      </c>
      <c r="P156" s="38" t="s">
        <v>1079</v>
      </c>
      <c r="Q156" s="38" t="s">
        <v>1080</v>
      </c>
      <c r="R156" s="38" t="s">
        <v>63</v>
      </c>
      <c r="S156" s="38" t="s">
        <v>1081</v>
      </c>
      <c r="T156" s="38"/>
      <c r="U156" s="38"/>
      <c r="V156" s="38"/>
      <c r="W156" s="38">
        <v>2020.0</v>
      </c>
      <c r="X156" s="38" t="s">
        <v>331</v>
      </c>
      <c r="Y156" s="38" t="s">
        <v>1082</v>
      </c>
      <c r="Z156" s="39"/>
      <c r="AA156" s="51" t="s">
        <v>1083</v>
      </c>
      <c r="AB156" s="38" t="s">
        <v>1084</v>
      </c>
      <c r="AC156" s="38" t="s">
        <v>1073</v>
      </c>
      <c r="AD156" s="38" t="s">
        <v>1083</v>
      </c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</row>
    <row r="157">
      <c r="D157" s="2" t="b">
        <v>1</v>
      </c>
      <c r="E157" s="50" t="s">
        <v>741</v>
      </c>
      <c r="G157" s="2" t="b">
        <v>0</v>
      </c>
      <c r="H157" s="2" t="b">
        <v>0</v>
      </c>
      <c r="J157" s="2" t="s">
        <v>1085</v>
      </c>
      <c r="K157" s="2" t="s">
        <v>32</v>
      </c>
      <c r="L157" s="2" t="s">
        <v>572</v>
      </c>
      <c r="Z157" s="2"/>
      <c r="AA157" s="15" t="s">
        <v>1086</v>
      </c>
    </row>
    <row r="158">
      <c r="D158" s="2" t="b">
        <v>1</v>
      </c>
      <c r="E158" s="50" t="s">
        <v>741</v>
      </c>
      <c r="G158" s="2" t="b">
        <v>0</v>
      </c>
      <c r="H158" s="2" t="b">
        <v>0</v>
      </c>
      <c r="J158" s="2" t="s">
        <v>1087</v>
      </c>
      <c r="K158" s="2" t="s">
        <v>32</v>
      </c>
      <c r="L158" s="2" t="s">
        <v>572</v>
      </c>
      <c r="M158" s="3" t="s">
        <v>33</v>
      </c>
      <c r="N158" s="3" t="s">
        <v>455</v>
      </c>
      <c r="O158" s="3" t="s">
        <v>1088</v>
      </c>
      <c r="P158" s="3">
        <v>12047.0</v>
      </c>
      <c r="Q158" s="3">
        <v>12047.0</v>
      </c>
      <c r="R158" s="3" t="s">
        <v>63</v>
      </c>
      <c r="S158" s="3" t="s">
        <v>630</v>
      </c>
      <c r="W158" s="3">
        <v>2019.0</v>
      </c>
      <c r="X158" s="3" t="s">
        <v>343</v>
      </c>
      <c r="Z158" s="2"/>
      <c r="AA158" s="15" t="s">
        <v>1089</v>
      </c>
      <c r="AB158" s="3" t="s">
        <v>1090</v>
      </c>
      <c r="AC158" s="3" t="s">
        <v>105</v>
      </c>
      <c r="AD158" s="3" t="s">
        <v>1089</v>
      </c>
    </row>
    <row r="159">
      <c r="D159" s="2" t="b">
        <v>1</v>
      </c>
      <c r="E159" s="2" t="s">
        <v>741</v>
      </c>
      <c r="F159" s="2"/>
      <c r="G159" s="2" t="b">
        <v>0</v>
      </c>
      <c r="H159" s="2" t="b">
        <v>0</v>
      </c>
      <c r="J159" s="2" t="s">
        <v>1091</v>
      </c>
      <c r="K159" s="2" t="s">
        <v>32</v>
      </c>
      <c r="L159" s="2" t="s">
        <v>572</v>
      </c>
      <c r="M159" s="3" t="s">
        <v>60</v>
      </c>
      <c r="N159" s="3" t="s">
        <v>1092</v>
      </c>
      <c r="O159" s="3" t="s">
        <v>62</v>
      </c>
      <c r="P159" s="3">
        <v>50.0</v>
      </c>
      <c r="R159" s="3" t="s">
        <v>63</v>
      </c>
      <c r="S159" s="3" t="s">
        <v>1093</v>
      </c>
      <c r="W159" s="3">
        <v>2009.0</v>
      </c>
      <c r="X159" s="3" t="s">
        <v>331</v>
      </c>
      <c r="Y159" s="3" t="s">
        <v>332</v>
      </c>
      <c r="Z159" s="2"/>
      <c r="AA159" s="5" t="s">
        <v>1094</v>
      </c>
      <c r="AB159" s="3" t="s">
        <v>1095</v>
      </c>
      <c r="AC159" s="3" t="s">
        <v>1096</v>
      </c>
      <c r="AD159" s="3" t="s">
        <v>1094</v>
      </c>
    </row>
    <row r="160">
      <c r="D160" s="2" t="b">
        <v>1</v>
      </c>
      <c r="E160" s="2" t="s">
        <v>1097</v>
      </c>
      <c r="G160" s="2" t="b">
        <v>0</v>
      </c>
      <c r="H160" s="2" t="b">
        <v>0</v>
      </c>
      <c r="J160" s="2" t="s">
        <v>1098</v>
      </c>
      <c r="K160" s="2" t="s">
        <v>32</v>
      </c>
      <c r="L160" s="2" t="s">
        <v>572</v>
      </c>
      <c r="M160" s="3" t="s">
        <v>60</v>
      </c>
      <c r="N160" s="3" t="s">
        <v>1099</v>
      </c>
      <c r="O160" s="3" t="s">
        <v>1100</v>
      </c>
      <c r="P160" s="3">
        <v>70.0</v>
      </c>
      <c r="Q160" s="3">
        <v>22489.0</v>
      </c>
      <c r="R160" s="3" t="s">
        <v>63</v>
      </c>
      <c r="T160" s="3">
        <v>12.07</v>
      </c>
      <c r="W160" s="3">
        <v>2015.0</v>
      </c>
      <c r="X160" s="3" t="s">
        <v>331</v>
      </c>
      <c r="Z160" s="2"/>
      <c r="AA160" s="15" t="s">
        <v>1101</v>
      </c>
      <c r="AB160" s="3" t="s">
        <v>1102</v>
      </c>
      <c r="AC160" s="3" t="s">
        <v>334</v>
      </c>
      <c r="AD160" s="3" t="s">
        <v>1103</v>
      </c>
    </row>
    <row r="161">
      <c r="A161" s="38"/>
      <c r="B161" s="38"/>
      <c r="C161" s="38"/>
      <c r="D161" s="39" t="b">
        <v>0</v>
      </c>
      <c r="E161" s="38"/>
      <c r="F161" s="38"/>
      <c r="G161" s="39" t="b">
        <v>0</v>
      </c>
      <c r="H161" s="39" t="b">
        <v>0</v>
      </c>
      <c r="I161" s="38"/>
      <c r="J161" s="39" t="s">
        <v>1104</v>
      </c>
      <c r="K161" s="39" t="s">
        <v>32</v>
      </c>
      <c r="L161" s="39" t="s">
        <v>572</v>
      </c>
      <c r="M161" s="38" t="s">
        <v>60</v>
      </c>
      <c r="N161" s="38" t="s">
        <v>1105</v>
      </c>
      <c r="O161" s="38" t="s">
        <v>1106</v>
      </c>
      <c r="P161" s="38">
        <v>2000.0</v>
      </c>
      <c r="Q161" s="38">
        <v>2000.0</v>
      </c>
      <c r="R161" s="38" t="s">
        <v>1107</v>
      </c>
      <c r="S161" s="38"/>
      <c r="T161" s="38"/>
      <c r="U161" s="38"/>
      <c r="V161" s="38"/>
      <c r="W161" s="38">
        <v>2020.0</v>
      </c>
      <c r="X161" s="38" t="s">
        <v>331</v>
      </c>
      <c r="Y161" s="38" t="s">
        <v>495</v>
      </c>
      <c r="Z161" s="39"/>
      <c r="AA161" s="51" t="s">
        <v>1108</v>
      </c>
      <c r="AB161" s="38" t="s">
        <v>1109</v>
      </c>
      <c r="AC161" s="38" t="s">
        <v>346</v>
      </c>
      <c r="AD161" s="38" t="s">
        <v>1108</v>
      </c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</row>
    <row r="162">
      <c r="A162" s="17"/>
      <c r="B162" s="17"/>
      <c r="C162" s="17"/>
      <c r="D162" s="18" t="b">
        <v>1</v>
      </c>
      <c r="E162" s="18" t="s">
        <v>1110</v>
      </c>
      <c r="F162" s="17"/>
      <c r="G162" s="18" t="b">
        <v>0</v>
      </c>
      <c r="H162" s="18" t="b">
        <v>0</v>
      </c>
      <c r="I162" s="17"/>
      <c r="J162" s="18" t="s">
        <v>1111</v>
      </c>
      <c r="K162" s="18" t="s">
        <v>32</v>
      </c>
      <c r="L162" s="18" t="s">
        <v>572</v>
      </c>
      <c r="M162" s="17" t="s">
        <v>1112</v>
      </c>
      <c r="N162" s="17" t="s">
        <v>1113</v>
      </c>
      <c r="O162" s="17" t="s">
        <v>1114</v>
      </c>
      <c r="P162" s="18">
        <v>152.0</v>
      </c>
      <c r="Q162" s="17">
        <v>48931.0</v>
      </c>
      <c r="R162" s="17" t="s">
        <v>63</v>
      </c>
      <c r="S162" s="17"/>
      <c r="T162" s="17">
        <v>19.62</v>
      </c>
      <c r="U162" s="17"/>
      <c r="V162" s="17"/>
      <c r="W162" s="17">
        <v>2016.0</v>
      </c>
      <c r="X162" s="17" t="s">
        <v>331</v>
      </c>
      <c r="Y162" s="17" t="s">
        <v>968</v>
      </c>
      <c r="Z162" s="18"/>
      <c r="AA162" s="20" t="s">
        <v>1115</v>
      </c>
      <c r="AB162" s="17" t="s">
        <v>1116</v>
      </c>
      <c r="AC162" s="17" t="s">
        <v>334</v>
      </c>
      <c r="AD162" s="17" t="s">
        <v>1117</v>
      </c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</row>
    <row r="163">
      <c r="A163" s="17"/>
      <c r="B163" s="17"/>
      <c r="C163" s="17"/>
      <c r="D163" s="18" t="b">
        <v>1</v>
      </c>
      <c r="E163" s="18" t="s">
        <v>1118</v>
      </c>
      <c r="F163" s="17"/>
      <c r="G163" s="18" t="b">
        <v>0</v>
      </c>
      <c r="H163" s="18" t="b">
        <v>0</v>
      </c>
      <c r="I163" s="17"/>
      <c r="J163" s="18" t="s">
        <v>1119</v>
      </c>
      <c r="K163" s="18" t="s">
        <v>32</v>
      </c>
      <c r="L163" s="18" t="s">
        <v>572</v>
      </c>
      <c r="M163" s="17" t="s">
        <v>1120</v>
      </c>
      <c r="N163" s="17" t="s">
        <v>1121</v>
      </c>
      <c r="O163" s="17" t="s">
        <v>1122</v>
      </c>
      <c r="P163" s="17">
        <v>50.0</v>
      </c>
      <c r="Q163" s="17"/>
      <c r="R163" s="17" t="s">
        <v>63</v>
      </c>
      <c r="S163" s="17"/>
      <c r="T163" s="17"/>
      <c r="U163" s="17"/>
      <c r="V163" s="17"/>
      <c r="W163" s="17"/>
      <c r="X163" s="17" t="s">
        <v>690</v>
      </c>
      <c r="Y163" s="17" t="s">
        <v>1123</v>
      </c>
      <c r="Z163" s="18"/>
      <c r="AA163" s="20" t="s">
        <v>1124</v>
      </c>
      <c r="AB163" s="17" t="s">
        <v>1125</v>
      </c>
      <c r="AC163" s="17" t="s">
        <v>1126</v>
      </c>
      <c r="AD163" s="17" t="s">
        <v>1124</v>
      </c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</row>
    <row r="164">
      <c r="D164" s="2" t="b">
        <v>1</v>
      </c>
      <c r="E164" s="2" t="s">
        <v>741</v>
      </c>
      <c r="G164" s="2" t="b">
        <v>0</v>
      </c>
      <c r="H164" s="2" t="b">
        <v>0</v>
      </c>
      <c r="J164" s="2" t="s">
        <v>1127</v>
      </c>
      <c r="K164" s="2" t="s">
        <v>32</v>
      </c>
      <c r="L164" s="2" t="s">
        <v>572</v>
      </c>
      <c r="M164" s="3" t="s">
        <v>60</v>
      </c>
      <c r="N164" s="3" t="s">
        <v>1092</v>
      </c>
      <c r="O164" s="3" t="s">
        <v>62</v>
      </c>
      <c r="P164" s="3">
        <v>50.0</v>
      </c>
      <c r="R164" s="3" t="s">
        <v>63</v>
      </c>
      <c r="S164" s="3" t="s">
        <v>1093</v>
      </c>
      <c r="W164" s="3">
        <v>2009.0</v>
      </c>
      <c r="X164" s="3" t="s">
        <v>331</v>
      </c>
      <c r="Y164" s="3" t="s">
        <v>332</v>
      </c>
      <c r="Z164" s="2"/>
      <c r="AA164" s="15" t="s">
        <v>1128</v>
      </c>
      <c r="AB164" s="3" t="s">
        <v>1095</v>
      </c>
      <c r="AC164" s="3" t="s">
        <v>1096</v>
      </c>
      <c r="AD164" s="3" t="s">
        <v>1128</v>
      </c>
    </row>
    <row r="165">
      <c r="A165" s="11"/>
      <c r="B165" s="11"/>
      <c r="C165" s="11"/>
      <c r="D165" s="12" t="b">
        <v>1</v>
      </c>
      <c r="E165" s="11"/>
      <c r="F165" s="11"/>
      <c r="G165" s="12" t="b">
        <v>0</v>
      </c>
      <c r="H165" s="12" t="b">
        <v>0</v>
      </c>
      <c r="I165" s="11"/>
      <c r="J165" s="12" t="s">
        <v>1129</v>
      </c>
      <c r="K165" s="12" t="s">
        <v>32</v>
      </c>
      <c r="L165" s="12" t="s">
        <v>572</v>
      </c>
      <c r="M165" s="11" t="s">
        <v>33</v>
      </c>
      <c r="N165" s="11" t="s">
        <v>1130</v>
      </c>
      <c r="O165" s="11" t="s">
        <v>1131</v>
      </c>
      <c r="P165" s="11">
        <v>9125.0</v>
      </c>
      <c r="Q165" s="11">
        <v>9125.0</v>
      </c>
      <c r="R165" s="11" t="s">
        <v>63</v>
      </c>
      <c r="S165" s="11"/>
      <c r="T165" s="11"/>
      <c r="U165" s="11"/>
      <c r="V165" s="11"/>
      <c r="W165" s="11">
        <v>2021.0</v>
      </c>
      <c r="X165" s="11" t="s">
        <v>343</v>
      </c>
      <c r="Y165" s="11" t="s">
        <v>1132</v>
      </c>
      <c r="Z165" s="12"/>
      <c r="AA165" s="14" t="s">
        <v>1133</v>
      </c>
      <c r="AB165" s="11" t="s">
        <v>1134</v>
      </c>
      <c r="AC165" s="11" t="s">
        <v>673</v>
      </c>
      <c r="AD165" s="11" t="s">
        <v>1133</v>
      </c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</row>
    <row r="166">
      <c r="A166" s="18"/>
      <c r="B166" s="18"/>
      <c r="C166" s="18"/>
      <c r="D166" s="52" t="b">
        <v>0</v>
      </c>
      <c r="E166" s="52"/>
      <c r="F166" s="52"/>
      <c r="G166" s="18" t="b">
        <v>1</v>
      </c>
      <c r="H166" s="52"/>
      <c r="I166" s="19" t="s">
        <v>1135</v>
      </c>
      <c r="J166" s="18" t="s">
        <v>1136</v>
      </c>
      <c r="K166" s="18" t="s">
        <v>1137</v>
      </c>
      <c r="L166" s="18"/>
      <c r="M166" s="18" t="s">
        <v>1138</v>
      </c>
      <c r="N166" s="19"/>
      <c r="O166" s="52" t="s">
        <v>1139</v>
      </c>
      <c r="P166" s="19"/>
      <c r="Q166" s="19">
        <v>1000.0</v>
      </c>
      <c r="R166" s="19"/>
      <c r="S166" s="17"/>
      <c r="T166" s="52"/>
      <c r="U166" s="52"/>
      <c r="V166" s="52"/>
      <c r="W166" s="52"/>
      <c r="X166" s="53" t="s">
        <v>1140</v>
      </c>
      <c r="Y166" s="17"/>
      <c r="Z166" s="17"/>
      <c r="AA166" s="53" t="s">
        <v>1140</v>
      </c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</row>
    <row r="167">
      <c r="A167" s="18"/>
      <c r="B167" s="18"/>
      <c r="C167" s="18"/>
      <c r="D167" s="19" t="b">
        <v>1</v>
      </c>
      <c r="E167" s="19" t="s">
        <v>1141</v>
      </c>
      <c r="F167" s="52"/>
      <c r="G167" s="18" t="b">
        <v>0</v>
      </c>
      <c r="H167" s="52"/>
      <c r="I167" s="52"/>
      <c r="J167" s="18" t="s">
        <v>1142</v>
      </c>
      <c r="K167" s="18" t="s">
        <v>1137</v>
      </c>
      <c r="L167" s="52" t="s">
        <v>1143</v>
      </c>
      <c r="M167" s="18" t="s">
        <v>1138</v>
      </c>
      <c r="N167" s="19" t="s">
        <v>76</v>
      </c>
      <c r="O167" s="52" t="s">
        <v>1144</v>
      </c>
      <c r="P167" s="54"/>
      <c r="Q167" s="54">
        <v>416.0</v>
      </c>
      <c r="R167" s="19"/>
      <c r="S167" s="18">
        <v>15.8</v>
      </c>
      <c r="T167" s="54">
        <v>2007.0</v>
      </c>
      <c r="U167" s="19">
        <v>3.0</v>
      </c>
      <c r="V167" s="19"/>
      <c r="W167" s="19"/>
      <c r="X167" s="53" t="s">
        <v>1145</v>
      </c>
      <c r="Y167" s="53" t="s">
        <v>1146</v>
      </c>
      <c r="Z167" s="19"/>
      <c r="AA167" s="53" t="s">
        <v>1145</v>
      </c>
      <c r="AB167" s="19" t="s">
        <v>1147</v>
      </c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</row>
    <row r="168">
      <c r="A168" s="18"/>
      <c r="B168" s="18"/>
      <c r="C168" s="18"/>
      <c r="D168" s="52" t="b">
        <v>0</v>
      </c>
      <c r="E168" s="52"/>
      <c r="F168" s="52"/>
      <c r="G168" s="18" t="b">
        <v>1</v>
      </c>
      <c r="H168" s="52"/>
      <c r="I168" s="52"/>
      <c r="J168" s="18" t="s">
        <v>1148</v>
      </c>
      <c r="K168" s="18" t="s">
        <v>1137</v>
      </c>
      <c r="L168" s="18"/>
      <c r="M168" s="18" t="s">
        <v>1149</v>
      </c>
      <c r="N168" s="19"/>
      <c r="O168" s="52"/>
      <c r="P168" s="52"/>
      <c r="Q168" s="52"/>
      <c r="R168" s="52"/>
      <c r="S168" s="17"/>
      <c r="T168" s="52"/>
      <c r="U168" s="52"/>
      <c r="V168" s="52"/>
      <c r="W168" s="52"/>
      <c r="X168" s="53"/>
      <c r="Y168" s="17"/>
      <c r="Z168" s="18"/>
      <c r="AA168" s="52"/>
      <c r="AB168" s="18" t="s">
        <v>1150</v>
      </c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</row>
    <row r="169">
      <c r="A169" s="39" t="s">
        <v>1151</v>
      </c>
      <c r="B169" s="55" t="b">
        <v>1</v>
      </c>
      <c r="C169" s="55"/>
      <c r="D169" s="56" t="b">
        <v>0</v>
      </c>
      <c r="E169" s="56"/>
      <c r="F169" s="56"/>
      <c r="G169" s="39" t="b">
        <v>0</v>
      </c>
      <c r="H169" s="56"/>
      <c r="I169" s="56"/>
      <c r="J169" s="39" t="s">
        <v>1152</v>
      </c>
      <c r="K169" s="39" t="s">
        <v>1137</v>
      </c>
      <c r="L169" s="39"/>
      <c r="M169" s="39" t="s">
        <v>235</v>
      </c>
      <c r="N169" s="55" t="s">
        <v>1153</v>
      </c>
      <c r="O169" s="55" t="s">
        <v>1154</v>
      </c>
      <c r="P169" s="55">
        <v>11187.0</v>
      </c>
      <c r="Q169" s="55">
        <v>13900.0</v>
      </c>
      <c r="R169" s="55">
        <v>60529.0</v>
      </c>
      <c r="S169" s="38"/>
      <c r="T169" s="55">
        <v>2025.0</v>
      </c>
      <c r="U169" s="55">
        <v>3.0</v>
      </c>
      <c r="V169" s="56"/>
      <c r="W169" s="56"/>
      <c r="X169" s="57" t="s">
        <v>1155</v>
      </c>
      <c r="Y169" s="38"/>
      <c r="Z169" s="39"/>
      <c r="AA169" s="57" t="s">
        <v>1155</v>
      </c>
      <c r="AB169" s="39" t="s">
        <v>1156</v>
      </c>
      <c r="AC169" s="40" t="s">
        <v>1157</v>
      </c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</row>
    <row r="170">
      <c r="A170" s="55" t="s">
        <v>1158</v>
      </c>
      <c r="B170" s="56"/>
      <c r="C170" s="56"/>
      <c r="D170" s="56" t="b">
        <v>0</v>
      </c>
      <c r="E170" s="56"/>
      <c r="F170" s="56"/>
      <c r="G170" s="39" t="b">
        <v>0</v>
      </c>
      <c r="H170" s="56"/>
      <c r="I170" s="56"/>
      <c r="J170" s="56" t="s">
        <v>1159</v>
      </c>
      <c r="K170" s="39" t="s">
        <v>1137</v>
      </c>
      <c r="L170" s="56" t="s">
        <v>1160</v>
      </c>
      <c r="M170" s="56" t="s">
        <v>235</v>
      </c>
      <c r="N170" s="56" t="s">
        <v>76</v>
      </c>
      <c r="O170" s="39" t="s">
        <v>77</v>
      </c>
      <c r="P170" s="58"/>
      <c r="Q170" s="58">
        <v>51.0</v>
      </c>
      <c r="R170" s="56"/>
      <c r="S170" s="39"/>
      <c r="T170" s="58">
        <v>2008.0</v>
      </c>
      <c r="U170" s="58">
        <v>3.0</v>
      </c>
      <c r="V170" s="59" t="s">
        <v>682</v>
      </c>
      <c r="W170" s="59"/>
      <c r="X170" s="60" t="s">
        <v>1161</v>
      </c>
      <c r="Y170" s="57" t="s">
        <v>1162</v>
      </c>
      <c r="Z170" s="55"/>
      <c r="AA170" s="57" t="s">
        <v>1163</v>
      </c>
      <c r="AB170" s="55" t="s">
        <v>1164</v>
      </c>
      <c r="AC170" s="60" t="s">
        <v>1161</v>
      </c>
      <c r="AD170" s="56"/>
      <c r="AE170" s="56"/>
      <c r="AF170" s="56"/>
      <c r="AG170" s="56"/>
      <c r="AH170" s="56"/>
      <c r="AI170" s="56"/>
      <c r="AJ170" s="56"/>
      <c r="AK170" s="56"/>
      <c r="AL170" s="56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</row>
    <row r="171">
      <c r="A171" s="55" t="s">
        <v>1158</v>
      </c>
      <c r="B171" s="56"/>
      <c r="C171" s="56"/>
      <c r="D171" s="56" t="b">
        <v>0</v>
      </c>
      <c r="E171" s="56"/>
      <c r="F171" s="56"/>
      <c r="G171" s="39" t="b">
        <v>0</v>
      </c>
      <c r="H171" s="56"/>
      <c r="I171" s="56"/>
      <c r="J171" s="56" t="s">
        <v>1165</v>
      </c>
      <c r="K171" s="39" t="s">
        <v>1137</v>
      </c>
      <c r="L171" s="56" t="s">
        <v>1137</v>
      </c>
      <c r="M171" s="56" t="s">
        <v>235</v>
      </c>
      <c r="N171" s="56" t="s">
        <v>76</v>
      </c>
      <c r="O171" s="39" t="s">
        <v>77</v>
      </c>
      <c r="P171" s="58"/>
      <c r="Q171" s="58">
        <v>20.0</v>
      </c>
      <c r="R171" s="56"/>
      <c r="S171" s="39">
        <v>0.25</v>
      </c>
      <c r="T171" s="58">
        <v>2013.0</v>
      </c>
      <c r="U171" s="58">
        <v>3.0</v>
      </c>
      <c r="V171" s="59" t="s">
        <v>1033</v>
      </c>
      <c r="W171" s="59"/>
      <c r="X171" s="57" t="s">
        <v>1166</v>
      </c>
      <c r="Y171" s="57" t="s">
        <v>1167</v>
      </c>
      <c r="Z171" s="56"/>
      <c r="AA171" s="57" t="s">
        <v>1166</v>
      </c>
      <c r="AB171" s="56"/>
      <c r="AC171" s="60" t="s">
        <v>1168</v>
      </c>
      <c r="AD171" s="56"/>
      <c r="AE171" s="56"/>
      <c r="AF171" s="56"/>
      <c r="AG171" s="56"/>
      <c r="AH171" s="56"/>
      <c r="AI171" s="56"/>
      <c r="AJ171" s="56"/>
      <c r="AK171" s="56"/>
      <c r="AL171" s="56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</row>
    <row r="172">
      <c r="A172" s="25" t="s">
        <v>1158</v>
      </c>
      <c r="B172" s="24"/>
      <c r="C172" s="24"/>
      <c r="D172" s="25" t="b">
        <v>0</v>
      </c>
      <c r="E172" s="61"/>
      <c r="F172" s="25"/>
      <c r="G172" s="23" t="b">
        <v>1</v>
      </c>
      <c r="H172" s="25"/>
      <c r="I172" s="25"/>
      <c r="J172" s="24" t="s">
        <v>1169</v>
      </c>
      <c r="K172" s="23" t="s">
        <v>1137</v>
      </c>
      <c r="L172" s="24" t="s">
        <v>1143</v>
      </c>
      <c r="M172" s="24" t="s">
        <v>108</v>
      </c>
      <c r="N172" s="24" t="s">
        <v>76</v>
      </c>
      <c r="O172" s="23" t="s">
        <v>77</v>
      </c>
      <c r="P172" s="29"/>
      <c r="Q172" s="62">
        <v>99.0</v>
      </c>
      <c r="R172" s="25">
        <v>134.0</v>
      </c>
      <c r="S172" s="23">
        <v>0.02</v>
      </c>
      <c r="T172" s="29">
        <v>2015.0</v>
      </c>
      <c r="U172" s="29">
        <v>2.0</v>
      </c>
      <c r="V172" s="62" t="s">
        <v>1170</v>
      </c>
      <c r="W172" s="62"/>
      <c r="X172" s="63" t="s">
        <v>1171</v>
      </c>
      <c r="Y172" s="30" t="s">
        <v>1172</v>
      </c>
      <c r="Z172" s="25"/>
      <c r="AA172" s="30" t="s">
        <v>1173</v>
      </c>
      <c r="AB172" s="25" t="s">
        <v>105</v>
      </c>
      <c r="AC172" s="63" t="s">
        <v>1171</v>
      </c>
      <c r="AD172" s="24"/>
      <c r="AE172" s="24"/>
      <c r="AF172" s="24"/>
      <c r="AG172" s="24"/>
      <c r="AH172" s="24"/>
      <c r="AI172" s="24"/>
      <c r="AJ172" s="24"/>
      <c r="AK172" s="24"/>
      <c r="AL172" s="24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</row>
    <row r="173">
      <c r="A173" s="4" t="s">
        <v>1151</v>
      </c>
      <c r="B173" s="16"/>
      <c r="C173" s="16"/>
      <c r="D173" s="4" t="b">
        <v>1</v>
      </c>
      <c r="E173" s="4" t="s">
        <v>1174</v>
      </c>
      <c r="F173" s="16"/>
      <c r="G173" s="2" t="b">
        <v>0</v>
      </c>
      <c r="H173" s="16"/>
      <c r="I173" s="16"/>
      <c r="J173" s="16" t="s">
        <v>1175</v>
      </c>
      <c r="K173" s="2" t="s">
        <v>1137</v>
      </c>
      <c r="L173" s="16" t="s">
        <v>1143</v>
      </c>
      <c r="M173" s="16" t="s">
        <v>108</v>
      </c>
      <c r="N173" s="16" t="s">
        <v>76</v>
      </c>
      <c r="O173" s="2" t="s">
        <v>77</v>
      </c>
      <c r="P173" s="16"/>
      <c r="R173" s="4">
        <v>5635.0</v>
      </c>
      <c r="S173" s="2">
        <v>2.26</v>
      </c>
      <c r="T173" s="31">
        <v>2016.0</v>
      </c>
      <c r="U173" s="31">
        <v>2.0</v>
      </c>
      <c r="V173" s="64" t="s">
        <v>1154</v>
      </c>
      <c r="W173" s="64"/>
      <c r="X173" s="32" t="s">
        <v>1176</v>
      </c>
      <c r="Y173" s="16" t="s">
        <v>221</v>
      </c>
      <c r="Z173" s="4"/>
      <c r="AA173" s="32" t="s">
        <v>1176</v>
      </c>
      <c r="AB173" s="4" t="s">
        <v>105</v>
      </c>
      <c r="AC173" s="33" t="s">
        <v>1177</v>
      </c>
      <c r="AD173" s="16"/>
      <c r="AE173" s="16"/>
      <c r="AF173" s="16"/>
      <c r="AG173" s="16"/>
      <c r="AH173" s="16"/>
      <c r="AI173" s="16"/>
      <c r="AJ173" s="16"/>
      <c r="AK173" s="16"/>
      <c r="AL173" s="16"/>
    </row>
    <row r="174">
      <c r="A174" s="4" t="s">
        <v>1151</v>
      </c>
      <c r="B174" s="16"/>
      <c r="C174" s="16"/>
      <c r="D174" s="4" t="b">
        <v>1</v>
      </c>
      <c r="E174" s="4" t="s">
        <v>1178</v>
      </c>
      <c r="F174" s="16"/>
      <c r="G174" s="2" t="b">
        <v>0</v>
      </c>
      <c r="H174" s="16"/>
      <c r="I174" s="16"/>
      <c r="J174" s="16" t="s">
        <v>1179</v>
      </c>
      <c r="K174" s="2" t="s">
        <v>1137</v>
      </c>
      <c r="L174" s="16" t="s">
        <v>1160</v>
      </c>
      <c r="M174" s="16" t="s">
        <v>235</v>
      </c>
      <c r="N174" s="16" t="s">
        <v>76</v>
      </c>
      <c r="O174" s="2" t="s">
        <v>77</v>
      </c>
      <c r="P174" s="31"/>
      <c r="Q174" s="31">
        <v>65.0</v>
      </c>
      <c r="R174" s="4">
        <v>387.0</v>
      </c>
      <c r="S174" s="2">
        <v>0.536</v>
      </c>
      <c r="T174" s="31">
        <v>2017.0</v>
      </c>
      <c r="U174" s="31">
        <v>3.0</v>
      </c>
      <c r="V174" s="64" t="s">
        <v>1180</v>
      </c>
      <c r="W174" s="64"/>
      <c r="X174" s="65" t="s">
        <v>1181</v>
      </c>
      <c r="Y174" s="65" t="s">
        <v>1182</v>
      </c>
      <c r="Z174" s="4"/>
      <c r="AA174" s="32" t="s">
        <v>1183</v>
      </c>
      <c r="AB174" s="4" t="s">
        <v>334</v>
      </c>
      <c r="AC174" s="32" t="s">
        <v>1183</v>
      </c>
      <c r="AD174" s="16"/>
      <c r="AE174" s="16"/>
      <c r="AF174" s="16"/>
      <c r="AG174" s="16"/>
      <c r="AH174" s="16"/>
      <c r="AI174" s="16"/>
      <c r="AJ174" s="16"/>
      <c r="AK174" s="16"/>
      <c r="AL174" s="16"/>
    </row>
    <row r="175">
      <c r="A175" s="4" t="s">
        <v>1151</v>
      </c>
      <c r="B175" s="16"/>
      <c r="C175" s="16"/>
      <c r="D175" s="4" t="b">
        <v>1</v>
      </c>
      <c r="E175" s="4" t="s">
        <v>1184</v>
      </c>
      <c r="F175" s="16"/>
      <c r="G175" s="2" t="b">
        <v>0</v>
      </c>
      <c r="H175" s="16"/>
      <c r="I175" s="16"/>
      <c r="J175" s="16" t="s">
        <v>1185</v>
      </c>
      <c r="K175" s="2" t="s">
        <v>1137</v>
      </c>
      <c r="L175" s="16" t="s">
        <v>1137</v>
      </c>
      <c r="M175" s="16" t="s">
        <v>235</v>
      </c>
      <c r="N175" s="16" t="s">
        <v>76</v>
      </c>
      <c r="O175" s="2" t="s">
        <v>77</v>
      </c>
      <c r="P175" s="31"/>
      <c r="Q175" s="31">
        <v>102.0</v>
      </c>
      <c r="R175" s="4">
        <v>607.0</v>
      </c>
      <c r="S175" s="2">
        <v>0.767</v>
      </c>
      <c r="T175" s="31">
        <v>2017.0</v>
      </c>
      <c r="U175" s="31">
        <v>3.0</v>
      </c>
      <c r="V175" s="64" t="s">
        <v>1180</v>
      </c>
      <c r="W175" s="64"/>
      <c r="X175" s="32" t="s">
        <v>1186</v>
      </c>
      <c r="Y175" s="65" t="s">
        <v>1182</v>
      </c>
      <c r="Z175" s="4"/>
      <c r="AA175" s="32" t="s">
        <v>1186</v>
      </c>
      <c r="AB175" s="4" t="s">
        <v>334</v>
      </c>
      <c r="AC175" s="32" t="s">
        <v>1186</v>
      </c>
      <c r="AD175" s="16"/>
      <c r="AE175" s="16"/>
      <c r="AF175" s="16"/>
      <c r="AG175" s="16"/>
      <c r="AH175" s="16"/>
      <c r="AI175" s="16"/>
      <c r="AJ175" s="16"/>
      <c r="AK175" s="16"/>
      <c r="AL175" s="16"/>
    </row>
    <row r="176">
      <c r="A176" s="4" t="s">
        <v>1151</v>
      </c>
      <c r="B176" s="16"/>
      <c r="C176" s="16"/>
      <c r="D176" s="4" t="b">
        <v>1</v>
      </c>
      <c r="E176" s="2" t="s">
        <v>741</v>
      </c>
      <c r="F176" s="2"/>
      <c r="G176" s="2" t="b">
        <v>0</v>
      </c>
      <c r="I176" s="2"/>
      <c r="J176" s="16" t="s">
        <v>1187</v>
      </c>
      <c r="K176" s="2" t="s">
        <v>1137</v>
      </c>
      <c r="L176" s="16" t="s">
        <v>1143</v>
      </c>
      <c r="M176" s="16" t="s">
        <v>60</v>
      </c>
      <c r="N176" s="16" t="s">
        <v>76</v>
      </c>
      <c r="O176" s="2" t="s">
        <v>77</v>
      </c>
      <c r="P176" s="31"/>
      <c r="Q176" s="31">
        <v>48.0</v>
      </c>
      <c r="R176" s="16"/>
      <c r="S176" s="2">
        <v>1.59</v>
      </c>
      <c r="T176" s="31">
        <v>2017.0</v>
      </c>
      <c r="U176" s="31">
        <v>3.0</v>
      </c>
      <c r="V176" s="64" t="s">
        <v>682</v>
      </c>
      <c r="W176" s="64"/>
      <c r="X176" s="32" t="s">
        <v>1188</v>
      </c>
      <c r="Y176" s="32" t="s">
        <v>1189</v>
      </c>
      <c r="Z176" s="4"/>
      <c r="AA176" s="32" t="s">
        <v>1188</v>
      </c>
      <c r="AB176" s="4" t="s">
        <v>1147</v>
      </c>
      <c r="AC176" s="32" t="s">
        <v>1188</v>
      </c>
      <c r="AD176" s="16"/>
      <c r="AE176" s="16"/>
      <c r="AF176" s="16"/>
      <c r="AG176" s="16"/>
      <c r="AH176" s="16"/>
      <c r="AI176" s="16"/>
      <c r="AJ176" s="16"/>
      <c r="AK176" s="16"/>
      <c r="AL176" s="16"/>
    </row>
    <row r="177">
      <c r="A177" s="55" t="s">
        <v>1151</v>
      </c>
      <c r="B177" s="56"/>
      <c r="C177" s="56"/>
      <c r="D177" s="56" t="b">
        <v>0</v>
      </c>
      <c r="E177" s="39"/>
      <c r="F177" s="39"/>
      <c r="G177" s="39" t="b">
        <v>0</v>
      </c>
      <c r="H177" s="38"/>
      <c r="I177" s="39"/>
      <c r="J177" s="56" t="s">
        <v>1190</v>
      </c>
      <c r="K177" s="39" t="s">
        <v>1137</v>
      </c>
      <c r="L177" s="55" t="s">
        <v>1191</v>
      </c>
      <c r="M177" s="55" t="s">
        <v>1192</v>
      </c>
      <c r="N177" s="55" t="s">
        <v>1193</v>
      </c>
      <c r="O177" s="55" t="s">
        <v>221</v>
      </c>
      <c r="P177" s="55">
        <v>12.0</v>
      </c>
      <c r="Q177" s="55">
        <v>36.0</v>
      </c>
      <c r="R177" s="55">
        <v>36.0</v>
      </c>
      <c r="S177" s="38"/>
      <c r="T177" s="58">
        <v>2018.0</v>
      </c>
      <c r="U177" s="55">
        <v>3.0</v>
      </c>
      <c r="V177" s="55" t="s">
        <v>1194</v>
      </c>
      <c r="W177" s="55"/>
      <c r="X177" s="60" t="s">
        <v>1195</v>
      </c>
      <c r="Y177" s="60" t="s">
        <v>1196</v>
      </c>
      <c r="Z177" s="55"/>
      <c r="AA177" s="66" t="s">
        <v>1197</v>
      </c>
      <c r="AB177" s="55" t="s">
        <v>1198</v>
      </c>
      <c r="AC177" s="57" t="s">
        <v>1197</v>
      </c>
      <c r="AD177" s="56"/>
      <c r="AE177" s="56"/>
      <c r="AF177" s="56"/>
      <c r="AG177" s="56"/>
      <c r="AH177" s="56"/>
      <c r="AI177" s="56"/>
      <c r="AJ177" s="56"/>
      <c r="AK177" s="56"/>
      <c r="AL177" s="56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</row>
    <row r="178">
      <c r="A178" s="25" t="s">
        <v>1151</v>
      </c>
      <c r="B178" s="24"/>
      <c r="C178" s="24"/>
      <c r="D178" s="24" t="b">
        <v>0</v>
      </c>
      <c r="E178" s="23"/>
      <c r="F178" s="23"/>
      <c r="G178" s="23" t="b">
        <v>1</v>
      </c>
      <c r="H178" s="22"/>
      <c r="I178" s="23"/>
      <c r="J178" s="24" t="s">
        <v>1199</v>
      </c>
      <c r="K178" s="23" t="s">
        <v>1137</v>
      </c>
      <c r="L178" s="24" t="s">
        <v>1137</v>
      </c>
      <c r="M178" s="24" t="s">
        <v>235</v>
      </c>
      <c r="N178" s="24" t="s">
        <v>76</v>
      </c>
      <c r="O178" s="23" t="s">
        <v>77</v>
      </c>
      <c r="P178" s="62">
        <v>39.0</v>
      </c>
      <c r="Q178" s="29"/>
      <c r="R178" s="24"/>
      <c r="S178" s="23"/>
      <c r="T178" s="29">
        <v>2019.0</v>
      </c>
      <c r="U178" s="29">
        <v>3.0</v>
      </c>
      <c r="V178" s="62" t="s">
        <v>682</v>
      </c>
      <c r="W178" s="62"/>
      <c r="X178" s="30" t="s">
        <v>1200</v>
      </c>
      <c r="Y178" s="63" t="s">
        <v>1201</v>
      </c>
      <c r="Z178" s="25"/>
      <c r="AA178" s="30" t="s">
        <v>1200</v>
      </c>
      <c r="AB178" s="25" t="s">
        <v>1147</v>
      </c>
      <c r="AC178" s="63" t="s">
        <v>1202</v>
      </c>
      <c r="AD178" s="24"/>
      <c r="AE178" s="24"/>
      <c r="AF178" s="24"/>
      <c r="AG178" s="24"/>
      <c r="AH178" s="24"/>
      <c r="AI178" s="24"/>
      <c r="AJ178" s="24"/>
      <c r="AK178" s="24"/>
      <c r="AL178" s="24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</row>
    <row r="179">
      <c r="A179" s="25" t="s">
        <v>1151</v>
      </c>
      <c r="B179" s="24"/>
      <c r="C179" s="24"/>
      <c r="D179" s="24" t="b">
        <v>0</v>
      </c>
      <c r="E179" s="23"/>
      <c r="F179" s="23"/>
      <c r="G179" s="23" t="b">
        <v>1</v>
      </c>
      <c r="H179" s="22"/>
      <c r="I179" s="23"/>
      <c r="J179" s="25" t="s">
        <v>1203</v>
      </c>
      <c r="K179" s="23" t="s">
        <v>1137</v>
      </c>
      <c r="L179" s="24" t="s">
        <v>1204</v>
      </c>
      <c r="M179" s="24" t="s">
        <v>60</v>
      </c>
      <c r="N179" s="24" t="s">
        <v>76</v>
      </c>
      <c r="O179" s="23" t="s">
        <v>77</v>
      </c>
      <c r="P179" s="62">
        <v>120.0</v>
      </c>
      <c r="Q179" s="62">
        <v>120.0</v>
      </c>
      <c r="R179" s="25">
        <v>1680.0</v>
      </c>
      <c r="S179" s="23"/>
      <c r="T179" s="29">
        <v>2019.0</v>
      </c>
      <c r="U179" s="29">
        <v>3.0</v>
      </c>
      <c r="V179" s="62" t="s">
        <v>644</v>
      </c>
      <c r="W179" s="62"/>
      <c r="X179" s="63" t="s">
        <v>126</v>
      </c>
      <c r="Y179" s="24" t="s">
        <v>221</v>
      </c>
      <c r="Z179" s="24"/>
      <c r="AA179" s="30" t="s">
        <v>1205</v>
      </c>
      <c r="AB179" s="24"/>
      <c r="AC179" s="30" t="s">
        <v>1206</v>
      </c>
      <c r="AD179" s="24"/>
      <c r="AE179" s="24"/>
      <c r="AF179" s="24"/>
      <c r="AG179" s="24"/>
      <c r="AH179" s="24"/>
      <c r="AI179" s="24"/>
      <c r="AJ179" s="24"/>
      <c r="AK179" s="24"/>
      <c r="AL179" s="24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</row>
    <row r="180">
      <c r="A180" s="4" t="s">
        <v>1151</v>
      </c>
      <c r="B180" s="4" t="b">
        <v>1</v>
      </c>
      <c r="C180" s="16" t="s">
        <v>1185</v>
      </c>
      <c r="D180" s="4" t="b">
        <v>1</v>
      </c>
      <c r="E180" s="2" t="s">
        <v>741</v>
      </c>
      <c r="F180" s="2"/>
      <c r="G180" s="2" t="b">
        <v>0</v>
      </c>
      <c r="I180" s="2"/>
      <c r="J180" s="16" t="s">
        <v>1207</v>
      </c>
      <c r="K180" s="2" t="s">
        <v>1137</v>
      </c>
      <c r="L180" s="16" t="s">
        <v>1160</v>
      </c>
      <c r="M180" s="16" t="s">
        <v>235</v>
      </c>
      <c r="N180" s="16" t="s">
        <v>76</v>
      </c>
      <c r="O180" s="2" t="s">
        <v>77</v>
      </c>
      <c r="P180" s="16"/>
      <c r="Q180" s="16"/>
      <c r="R180" s="4">
        <v>750.0</v>
      </c>
      <c r="S180" s="2">
        <v>7.61</v>
      </c>
      <c r="T180" s="31">
        <v>2019.0</v>
      </c>
      <c r="U180" s="31">
        <v>3.0</v>
      </c>
      <c r="V180" s="64" t="s">
        <v>1180</v>
      </c>
      <c r="W180" s="64"/>
      <c r="X180" s="32" t="s">
        <v>140</v>
      </c>
      <c r="Y180" s="16" t="s">
        <v>141</v>
      </c>
      <c r="Z180" s="4"/>
      <c r="AA180" s="32" t="s">
        <v>140</v>
      </c>
      <c r="AB180" s="4" t="s">
        <v>1208</v>
      </c>
      <c r="AC180" s="33" t="s">
        <v>1209</v>
      </c>
      <c r="AD180" s="16"/>
      <c r="AE180" s="16"/>
      <c r="AF180" s="16"/>
      <c r="AG180" s="16"/>
      <c r="AH180" s="16"/>
      <c r="AI180" s="16"/>
      <c r="AJ180" s="16"/>
      <c r="AK180" s="16"/>
      <c r="AL180" s="16"/>
    </row>
    <row r="181">
      <c r="A181" s="4" t="s">
        <v>1151</v>
      </c>
      <c r="B181" s="16"/>
      <c r="C181" s="16"/>
      <c r="D181" s="4" t="b">
        <v>1</v>
      </c>
      <c r="E181" s="2" t="s">
        <v>741</v>
      </c>
      <c r="F181" s="2"/>
      <c r="G181" s="2" t="b">
        <v>0</v>
      </c>
      <c r="I181" s="2"/>
      <c r="J181" s="16" t="s">
        <v>1210</v>
      </c>
      <c r="K181" s="2" t="s">
        <v>1137</v>
      </c>
      <c r="L181" s="16" t="s">
        <v>1160</v>
      </c>
      <c r="M181" s="16" t="s">
        <v>235</v>
      </c>
      <c r="N181" s="16" t="s">
        <v>76</v>
      </c>
      <c r="O181" s="2" t="s">
        <v>77</v>
      </c>
      <c r="P181" s="64">
        <v>195.0</v>
      </c>
      <c r="Q181" s="4">
        <v>195.0</v>
      </c>
      <c r="R181" s="4">
        <v>195.0</v>
      </c>
      <c r="S181" s="2">
        <f>28.43/1024</f>
        <v>0.02776367188</v>
      </c>
      <c r="T181" s="31">
        <v>2019.0</v>
      </c>
      <c r="U181" s="31">
        <v>3.0</v>
      </c>
      <c r="V181" s="64" t="s">
        <v>682</v>
      </c>
      <c r="W181" s="64"/>
      <c r="X181" s="32" t="s">
        <v>140</v>
      </c>
      <c r="Y181" s="16" t="s">
        <v>141</v>
      </c>
      <c r="Z181" s="4"/>
      <c r="AA181" s="32" t="s">
        <v>140</v>
      </c>
      <c r="AB181" s="4" t="s">
        <v>1208</v>
      </c>
      <c r="AC181" s="33" t="s">
        <v>1209</v>
      </c>
      <c r="AD181" s="16"/>
      <c r="AE181" s="16"/>
      <c r="AF181" s="16"/>
      <c r="AG181" s="16"/>
      <c r="AH181" s="16"/>
      <c r="AI181" s="16"/>
      <c r="AJ181" s="16"/>
      <c r="AK181" s="16"/>
      <c r="AL181" s="16"/>
    </row>
    <row r="182">
      <c r="A182" s="4" t="s">
        <v>1151</v>
      </c>
      <c r="B182" s="4" t="b">
        <v>1</v>
      </c>
      <c r="C182" s="4"/>
      <c r="D182" s="4" t="b">
        <v>1</v>
      </c>
      <c r="E182" s="50" t="s">
        <v>741</v>
      </c>
      <c r="G182" s="2" t="b">
        <v>0</v>
      </c>
      <c r="J182" s="16" t="s">
        <v>1211</v>
      </c>
      <c r="K182" s="2" t="s">
        <v>1137</v>
      </c>
      <c r="L182" s="16" t="s">
        <v>1160</v>
      </c>
      <c r="M182" s="16" t="s">
        <v>60</v>
      </c>
      <c r="N182" s="16" t="s">
        <v>34</v>
      </c>
      <c r="O182" s="16"/>
      <c r="P182" s="31"/>
      <c r="R182" s="31">
        <v>200.0</v>
      </c>
      <c r="S182" s="2"/>
      <c r="T182" s="31">
        <v>2019.0</v>
      </c>
      <c r="U182" s="31">
        <v>2.0</v>
      </c>
      <c r="V182" s="31"/>
      <c r="W182" s="31"/>
      <c r="X182" s="32" t="s">
        <v>1212</v>
      </c>
      <c r="Y182" s="16"/>
      <c r="Z182" s="4"/>
      <c r="AA182" s="32" t="s">
        <v>1212</v>
      </c>
      <c r="AB182" s="4" t="s">
        <v>105</v>
      </c>
      <c r="AC182" s="67" t="s">
        <v>1212</v>
      </c>
      <c r="AD182" s="16"/>
      <c r="AE182" s="16"/>
      <c r="AF182" s="16"/>
      <c r="AG182" s="16"/>
      <c r="AH182" s="16"/>
      <c r="AI182" s="16"/>
      <c r="AJ182" s="16"/>
      <c r="AK182" s="16"/>
      <c r="AL182" s="16"/>
    </row>
    <row r="183">
      <c r="A183" s="4" t="s">
        <v>1151</v>
      </c>
      <c r="B183" s="16"/>
      <c r="C183" s="16"/>
      <c r="D183" s="4" t="b">
        <v>1</v>
      </c>
      <c r="E183" s="2" t="s">
        <v>1213</v>
      </c>
      <c r="G183" s="2" t="b">
        <v>0</v>
      </c>
      <c r="J183" s="4" t="s">
        <v>1214</v>
      </c>
      <c r="K183" s="2" t="s">
        <v>1137</v>
      </c>
      <c r="L183" s="16" t="s">
        <v>1160</v>
      </c>
      <c r="M183" s="16" t="s">
        <v>60</v>
      </c>
      <c r="N183" s="16" t="s">
        <v>76</v>
      </c>
      <c r="O183" s="2" t="s">
        <v>77</v>
      </c>
      <c r="P183" s="31">
        <v>170.0</v>
      </c>
      <c r="Q183" s="31">
        <v>170.0</v>
      </c>
      <c r="R183" s="31">
        <v>170.0</v>
      </c>
      <c r="S183" s="2">
        <v>8.2</v>
      </c>
      <c r="T183" s="31">
        <v>2019.0</v>
      </c>
      <c r="U183" s="31">
        <v>3.0</v>
      </c>
      <c r="V183" s="64" t="s">
        <v>1215</v>
      </c>
      <c r="W183" s="64"/>
      <c r="X183" s="65" t="s">
        <v>1216</v>
      </c>
      <c r="Y183" s="65" t="s">
        <v>1217</v>
      </c>
      <c r="Z183" s="4"/>
      <c r="AA183" s="32" t="s">
        <v>1216</v>
      </c>
      <c r="AB183" s="4" t="s">
        <v>1218</v>
      </c>
      <c r="AC183" s="33" t="s">
        <v>1216</v>
      </c>
      <c r="AD183" s="16"/>
      <c r="AE183" s="16"/>
      <c r="AF183" s="16"/>
      <c r="AG183" s="16"/>
      <c r="AH183" s="16"/>
      <c r="AI183" s="16"/>
      <c r="AJ183" s="16"/>
      <c r="AK183" s="16"/>
      <c r="AL183" s="16"/>
    </row>
    <row r="184">
      <c r="A184" s="4" t="s">
        <v>1151</v>
      </c>
      <c r="B184" s="16"/>
      <c r="C184" s="16"/>
      <c r="D184" s="4" t="b">
        <v>1</v>
      </c>
      <c r="E184" s="2" t="s">
        <v>741</v>
      </c>
      <c r="G184" s="16"/>
      <c r="J184" s="16" t="s">
        <v>1219</v>
      </c>
      <c r="K184" s="2" t="s">
        <v>1137</v>
      </c>
      <c r="L184" s="16" t="s">
        <v>1220</v>
      </c>
      <c r="M184" s="16" t="s">
        <v>200</v>
      </c>
      <c r="N184" s="16" t="s">
        <v>34</v>
      </c>
      <c r="O184" s="16"/>
      <c r="P184" s="31"/>
      <c r="R184" s="31">
        <v>1224.0</v>
      </c>
      <c r="S184" s="2">
        <v>2.89</v>
      </c>
      <c r="T184" s="31">
        <v>2019.0</v>
      </c>
      <c r="U184" s="31">
        <v>2.0</v>
      </c>
      <c r="V184" s="64" t="s">
        <v>1221</v>
      </c>
      <c r="W184" s="64"/>
      <c r="X184" s="65" t="s">
        <v>1222</v>
      </c>
      <c r="Y184" s="65" t="s">
        <v>1223</v>
      </c>
      <c r="Z184" s="4"/>
      <c r="AA184" s="33" t="s">
        <v>1222</v>
      </c>
      <c r="AB184" s="4" t="s">
        <v>1224</v>
      </c>
      <c r="AC184" s="33" t="s">
        <v>1222</v>
      </c>
      <c r="AD184" s="16"/>
      <c r="AE184" s="16"/>
      <c r="AF184" s="16"/>
      <c r="AG184" s="16"/>
      <c r="AH184" s="16"/>
      <c r="AI184" s="16"/>
      <c r="AJ184" s="16"/>
      <c r="AK184" s="16"/>
      <c r="AL184" s="16"/>
    </row>
    <row r="185">
      <c r="A185" s="25" t="s">
        <v>1151</v>
      </c>
      <c r="B185" s="24"/>
      <c r="C185" s="24"/>
      <c r="D185" s="24" t="b">
        <v>0</v>
      </c>
      <c r="E185" s="22"/>
      <c r="F185" s="22"/>
      <c r="G185" s="68" t="b">
        <v>1</v>
      </c>
      <c r="H185" s="25"/>
      <c r="I185" s="22"/>
      <c r="J185" s="24" t="s">
        <v>1225</v>
      </c>
      <c r="K185" s="23" t="s">
        <v>1137</v>
      </c>
      <c r="L185" s="24" t="s">
        <v>1143</v>
      </c>
      <c r="M185" s="24" t="s">
        <v>108</v>
      </c>
      <c r="N185" s="24" t="s">
        <v>76</v>
      </c>
      <c r="O185" s="23" t="s">
        <v>77</v>
      </c>
      <c r="P185" s="62">
        <v>3644.0</v>
      </c>
      <c r="Q185" s="62">
        <v>3644.0</v>
      </c>
      <c r="R185" s="25">
        <v>3644.0</v>
      </c>
      <c r="S185" s="23"/>
      <c r="T185" s="29">
        <v>2020.0</v>
      </c>
      <c r="U185" s="29">
        <v>2.0</v>
      </c>
      <c r="V185" s="62" t="s">
        <v>644</v>
      </c>
      <c r="W185" s="62" t="s">
        <v>1226</v>
      </c>
      <c r="X185" s="30" t="s">
        <v>1227</v>
      </c>
      <c r="Y185" s="30" t="s">
        <v>1228</v>
      </c>
      <c r="Z185" s="25"/>
      <c r="AA185" s="30" t="s">
        <v>1227</v>
      </c>
      <c r="AB185" s="25"/>
      <c r="AC185" s="30" t="s">
        <v>1229</v>
      </c>
      <c r="AD185" s="24"/>
      <c r="AE185" s="24"/>
      <c r="AF185" s="24"/>
      <c r="AG185" s="24"/>
      <c r="AH185" s="24"/>
      <c r="AI185" s="24"/>
      <c r="AJ185" s="24"/>
      <c r="AK185" s="24"/>
      <c r="AL185" s="24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</row>
    <row r="186">
      <c r="A186" s="25" t="s">
        <v>1151</v>
      </c>
      <c r="B186" s="24"/>
      <c r="C186" s="24"/>
      <c r="D186" s="24" t="b">
        <v>0</v>
      </c>
      <c r="E186" s="22"/>
      <c r="F186" s="22"/>
      <c r="G186" s="25" t="b">
        <v>1</v>
      </c>
      <c r="H186" s="25"/>
      <c r="I186" s="22"/>
      <c r="J186" s="24" t="s">
        <v>1230</v>
      </c>
      <c r="K186" s="23" t="s">
        <v>1137</v>
      </c>
      <c r="L186" s="24" t="s">
        <v>1143</v>
      </c>
      <c r="M186" s="24" t="s">
        <v>235</v>
      </c>
      <c r="N186" s="24" t="s">
        <v>76</v>
      </c>
      <c r="O186" s="23" t="s">
        <v>77</v>
      </c>
      <c r="P186" s="62">
        <v>55.0</v>
      </c>
      <c r="Q186" s="62">
        <v>110.0</v>
      </c>
      <c r="R186" s="25">
        <v>6655.0</v>
      </c>
      <c r="S186" s="23">
        <v>3.52</v>
      </c>
      <c r="T186" s="29">
        <v>2020.0</v>
      </c>
      <c r="U186" s="29">
        <v>3.0</v>
      </c>
      <c r="V186" s="62" t="s">
        <v>682</v>
      </c>
      <c r="W186" s="29"/>
      <c r="X186" s="63" t="s">
        <v>1231</v>
      </c>
      <c r="Y186" s="63" t="s">
        <v>1232</v>
      </c>
      <c r="Z186" s="25"/>
      <c r="AA186" s="69" t="s">
        <v>1233</v>
      </c>
      <c r="AB186" s="25" t="s">
        <v>334</v>
      </c>
      <c r="AC186" s="63" t="s">
        <v>1233</v>
      </c>
      <c r="AD186" s="24"/>
      <c r="AE186" s="24"/>
      <c r="AF186" s="24"/>
      <c r="AG186" s="24"/>
      <c r="AH186" s="24"/>
      <c r="AI186" s="24"/>
      <c r="AJ186" s="24"/>
      <c r="AK186" s="24"/>
      <c r="AL186" s="24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</row>
    <row r="187">
      <c r="A187" s="25" t="s">
        <v>1151</v>
      </c>
      <c r="B187" s="24"/>
      <c r="C187" s="24"/>
      <c r="D187" s="24" t="b">
        <v>0</v>
      </c>
      <c r="E187" s="22"/>
      <c r="F187" s="22"/>
      <c r="G187" s="25" t="b">
        <v>1</v>
      </c>
      <c r="H187" s="22"/>
      <c r="I187" s="22"/>
      <c r="J187" s="24" t="s">
        <v>1234</v>
      </c>
      <c r="K187" s="23" t="s">
        <v>1137</v>
      </c>
      <c r="L187" s="24" t="s">
        <v>1137</v>
      </c>
      <c r="M187" s="24" t="s">
        <v>235</v>
      </c>
      <c r="N187" s="24" t="s">
        <v>76</v>
      </c>
      <c r="O187" s="23" t="s">
        <v>77</v>
      </c>
      <c r="P187" s="62">
        <v>242.0</v>
      </c>
      <c r="Q187" s="62">
        <v>1936.0</v>
      </c>
      <c r="R187" s="25">
        <v>48582.0</v>
      </c>
      <c r="S187" s="23">
        <v>28.21</v>
      </c>
      <c r="T187" s="29">
        <v>2021.0</v>
      </c>
      <c r="U187" s="29">
        <v>3.0</v>
      </c>
      <c r="V187" s="62" t="s">
        <v>1235</v>
      </c>
      <c r="W187" s="62" t="s">
        <v>1151</v>
      </c>
      <c r="X187" s="30" t="s">
        <v>1236</v>
      </c>
      <c r="Y187" s="63" t="s">
        <v>1237</v>
      </c>
      <c r="Z187" s="25"/>
      <c r="AA187" s="30" t="s">
        <v>1236</v>
      </c>
      <c r="AB187" s="25" t="s">
        <v>334</v>
      </c>
      <c r="AC187" s="63" t="s">
        <v>1238</v>
      </c>
      <c r="AD187" s="69" t="s">
        <v>1239</v>
      </c>
      <c r="AE187" s="24"/>
      <c r="AF187" s="24"/>
      <c r="AG187" s="24"/>
      <c r="AH187" s="24"/>
      <c r="AI187" s="24"/>
      <c r="AJ187" s="24"/>
      <c r="AK187" s="24"/>
      <c r="AL187" s="24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</row>
    <row r="188">
      <c r="A188" s="4" t="s">
        <v>1151</v>
      </c>
      <c r="B188" s="16"/>
      <c r="C188" s="16"/>
      <c r="D188" s="4" t="b">
        <v>1</v>
      </c>
      <c r="E188" s="2" t="s">
        <v>741</v>
      </c>
      <c r="J188" s="16" t="s">
        <v>1240</v>
      </c>
      <c r="K188" s="2" t="s">
        <v>1137</v>
      </c>
      <c r="L188" s="16" t="s">
        <v>1160</v>
      </c>
      <c r="M188" s="16" t="s">
        <v>235</v>
      </c>
      <c r="N188" s="16" t="s">
        <v>76</v>
      </c>
      <c r="O188" s="2" t="s">
        <v>77</v>
      </c>
      <c r="P188" s="16"/>
      <c r="Q188" s="16"/>
      <c r="R188" s="4">
        <v>2040.0</v>
      </c>
      <c r="S188" s="2">
        <v>14.47</v>
      </c>
      <c r="T188" s="31">
        <v>2021.0</v>
      </c>
      <c r="U188" s="31">
        <v>3.0</v>
      </c>
      <c r="V188" s="64" t="s">
        <v>1241</v>
      </c>
      <c r="W188" s="64" t="s">
        <v>1151</v>
      </c>
      <c r="X188" s="32" t="s">
        <v>1242</v>
      </c>
      <c r="Y188" s="16" t="s">
        <v>1243</v>
      </c>
      <c r="Z188" s="4"/>
      <c r="AA188" s="33" t="s">
        <v>1242</v>
      </c>
      <c r="AB188" s="4" t="s">
        <v>1244</v>
      </c>
      <c r="AC188" s="32" t="s">
        <v>1245</v>
      </c>
      <c r="AD188" s="16"/>
      <c r="AE188" s="16"/>
      <c r="AF188" s="16"/>
      <c r="AG188" s="16"/>
      <c r="AH188" s="16"/>
      <c r="AI188" s="16"/>
      <c r="AJ188" s="16"/>
      <c r="AK188" s="16"/>
      <c r="AL188" s="16"/>
    </row>
    <row r="189">
      <c r="A189" s="55" t="s">
        <v>1151</v>
      </c>
      <c r="B189" s="56"/>
      <c r="C189" s="56"/>
      <c r="D189" s="56" t="b">
        <v>0</v>
      </c>
      <c r="E189" s="38"/>
      <c r="F189" s="38"/>
      <c r="G189" s="55" t="b">
        <v>0</v>
      </c>
      <c r="H189" s="38"/>
      <c r="I189" s="38"/>
      <c r="J189" s="55" t="s">
        <v>1246</v>
      </c>
      <c r="K189" s="39" t="s">
        <v>1137</v>
      </c>
      <c r="L189" s="56" t="s">
        <v>1160</v>
      </c>
      <c r="M189" s="56" t="s">
        <v>235</v>
      </c>
      <c r="N189" s="56" t="s">
        <v>76</v>
      </c>
      <c r="O189" s="39" t="s">
        <v>77</v>
      </c>
      <c r="P189" s="55">
        <v>1271.0</v>
      </c>
      <c r="Q189" s="55">
        <v>1271.0</v>
      </c>
      <c r="R189" s="55">
        <v>1271.0</v>
      </c>
      <c r="S189" s="39">
        <v>14.39</v>
      </c>
      <c r="T189" s="58">
        <v>2021.0</v>
      </c>
      <c r="U189" s="58">
        <v>3.0</v>
      </c>
      <c r="V189" s="58"/>
      <c r="W189" s="59" t="s">
        <v>1151</v>
      </c>
      <c r="X189" s="57" t="s">
        <v>1247</v>
      </c>
      <c r="Y189" s="60" t="s">
        <v>1248</v>
      </c>
      <c r="Z189" s="55"/>
      <c r="AA189" s="57" t="s">
        <v>1247</v>
      </c>
      <c r="AB189" s="55" t="s">
        <v>1164</v>
      </c>
      <c r="AC189" s="66" t="s">
        <v>1249</v>
      </c>
      <c r="AD189" s="56"/>
      <c r="AE189" s="56"/>
      <c r="AF189" s="56"/>
      <c r="AG189" s="56"/>
      <c r="AH189" s="56"/>
      <c r="AI189" s="56"/>
      <c r="AJ189" s="56"/>
      <c r="AK189" s="56"/>
      <c r="AL189" s="56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</row>
    <row r="190">
      <c r="A190" s="25" t="s">
        <v>1151</v>
      </c>
      <c r="B190" s="24"/>
      <c r="C190" s="24"/>
      <c r="D190" s="24" t="b">
        <v>0</v>
      </c>
      <c r="E190" s="22"/>
      <c r="F190" s="22"/>
      <c r="G190" s="25" t="b">
        <v>1</v>
      </c>
      <c r="H190" s="22"/>
      <c r="I190" s="22"/>
      <c r="J190" s="24" t="s">
        <v>1250</v>
      </c>
      <c r="K190" s="23" t="s">
        <v>1137</v>
      </c>
      <c r="L190" s="24" t="s">
        <v>1137</v>
      </c>
      <c r="M190" s="24" t="s">
        <v>235</v>
      </c>
      <c r="N190" s="24" t="s">
        <v>76</v>
      </c>
      <c r="O190" s="23" t="s">
        <v>77</v>
      </c>
      <c r="P190" s="62">
        <v>50.0</v>
      </c>
      <c r="Q190" s="62">
        <v>50.0</v>
      </c>
      <c r="R190" s="62">
        <v>50.0</v>
      </c>
      <c r="S190" s="23"/>
      <c r="T190" s="29">
        <v>2021.0</v>
      </c>
      <c r="U190" s="29">
        <v>3.0</v>
      </c>
      <c r="V190" s="62" t="s">
        <v>1251</v>
      </c>
      <c r="W190" s="29"/>
      <c r="X190" s="30" t="s">
        <v>1252</v>
      </c>
      <c r="Y190" s="25" t="s">
        <v>1253</v>
      </c>
      <c r="Z190" s="24"/>
      <c r="AA190" s="30" t="s">
        <v>1252</v>
      </c>
      <c r="AB190" s="24"/>
      <c r="AC190" s="69" t="s">
        <v>1254</v>
      </c>
      <c r="AD190" s="24"/>
      <c r="AE190" s="24"/>
      <c r="AF190" s="24"/>
      <c r="AG190" s="24"/>
      <c r="AH190" s="24"/>
      <c r="AI190" s="24"/>
      <c r="AJ190" s="24"/>
      <c r="AK190" s="24"/>
      <c r="AL190" s="24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</row>
    <row r="191">
      <c r="A191" s="4" t="s">
        <v>1151</v>
      </c>
      <c r="B191" s="16"/>
      <c r="C191" s="16"/>
      <c r="D191" s="4" t="b">
        <v>1</v>
      </c>
      <c r="E191" s="2" t="s">
        <v>741</v>
      </c>
      <c r="G191" s="2" t="b">
        <v>0</v>
      </c>
      <c r="J191" s="4" t="s">
        <v>1255</v>
      </c>
      <c r="K191" s="2" t="s">
        <v>1137</v>
      </c>
      <c r="L191" s="16" t="s">
        <v>1137</v>
      </c>
      <c r="M191" s="16" t="s">
        <v>235</v>
      </c>
      <c r="N191" s="16" t="s">
        <v>76</v>
      </c>
      <c r="O191" s="2" t="s">
        <v>77</v>
      </c>
      <c r="P191" s="64">
        <v>300.0</v>
      </c>
      <c r="Q191" s="64">
        <v>300.0</v>
      </c>
      <c r="R191" s="64">
        <v>300.0</v>
      </c>
      <c r="S191" s="2"/>
      <c r="T191" s="31"/>
      <c r="U191" s="31"/>
      <c r="V191" s="64" t="s">
        <v>1256</v>
      </c>
      <c r="W191" s="64" t="s">
        <v>1151</v>
      </c>
      <c r="X191" s="65" t="s">
        <v>1257</v>
      </c>
      <c r="Y191" s="67" t="s">
        <v>1258</v>
      </c>
      <c r="Z191" s="4"/>
      <c r="AB191" s="4" t="s">
        <v>1244</v>
      </c>
      <c r="AC191" s="33" t="s">
        <v>1259</v>
      </c>
      <c r="AD191" s="16"/>
      <c r="AE191" s="16"/>
      <c r="AF191" s="16"/>
      <c r="AG191" s="16"/>
      <c r="AH191" s="16"/>
      <c r="AI191" s="16"/>
      <c r="AJ191" s="16"/>
      <c r="AK191" s="16"/>
      <c r="AL191" s="16"/>
    </row>
    <row r="192">
      <c r="A192" s="25" t="s">
        <v>1151</v>
      </c>
      <c r="B192" s="24"/>
      <c r="C192" s="24"/>
      <c r="D192" s="24" t="b">
        <v>0</v>
      </c>
      <c r="E192" s="22"/>
      <c r="F192" s="22"/>
      <c r="G192" s="23" t="b">
        <v>1</v>
      </c>
      <c r="H192" s="22"/>
      <c r="I192" s="22"/>
      <c r="J192" s="24" t="s">
        <v>1260</v>
      </c>
      <c r="K192" s="23" t="s">
        <v>1137</v>
      </c>
      <c r="L192" s="24" t="s">
        <v>1137</v>
      </c>
      <c r="M192" s="24" t="s">
        <v>235</v>
      </c>
      <c r="N192" s="24" t="s">
        <v>76</v>
      </c>
      <c r="O192" s="23" t="s">
        <v>77</v>
      </c>
      <c r="P192" s="29">
        <v>75.0</v>
      </c>
      <c r="Q192" s="22"/>
      <c r="R192" s="24"/>
      <c r="S192" s="23"/>
      <c r="T192" s="29">
        <v>2021.0</v>
      </c>
      <c r="U192" s="29">
        <v>3.0</v>
      </c>
      <c r="V192" s="62" t="s">
        <v>1261</v>
      </c>
      <c r="W192" s="62" t="s">
        <v>1151</v>
      </c>
      <c r="X192" s="30" t="s">
        <v>1262</v>
      </c>
      <c r="Y192" s="30" t="s">
        <v>1263</v>
      </c>
      <c r="Z192" s="24"/>
      <c r="AA192" s="30" t="s">
        <v>1262</v>
      </c>
      <c r="AB192" s="24"/>
      <c r="AC192" s="63" t="s">
        <v>1264</v>
      </c>
      <c r="AD192" s="24"/>
      <c r="AE192" s="24"/>
      <c r="AF192" s="24"/>
      <c r="AG192" s="24"/>
      <c r="AH192" s="24"/>
      <c r="AI192" s="24"/>
      <c r="AJ192" s="24"/>
      <c r="AK192" s="24"/>
      <c r="AL192" s="24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</row>
    <row r="193">
      <c r="A193" s="55" t="s">
        <v>1151</v>
      </c>
      <c r="B193" s="55" t="b">
        <v>1</v>
      </c>
      <c r="C193" s="55" t="s">
        <v>1265</v>
      </c>
      <c r="D193" s="56" t="b">
        <v>0</v>
      </c>
      <c r="E193" s="38"/>
      <c r="F193" s="38"/>
      <c r="G193" s="39" t="b">
        <v>0</v>
      </c>
      <c r="H193" s="38"/>
      <c r="I193" s="38"/>
      <c r="J193" s="56" t="s">
        <v>1266</v>
      </c>
      <c r="K193" s="39" t="s">
        <v>1137</v>
      </c>
      <c r="L193" s="56" t="s">
        <v>1137</v>
      </c>
      <c r="M193" s="56" t="s">
        <v>235</v>
      </c>
      <c r="N193" s="56" t="s">
        <v>76</v>
      </c>
      <c r="O193" s="39" t="s">
        <v>77</v>
      </c>
      <c r="P193" s="59">
        <v>33.0</v>
      </c>
      <c r="Q193" s="38"/>
      <c r="R193" s="56"/>
      <c r="S193" s="38"/>
      <c r="T193" s="58">
        <v>2022.0</v>
      </c>
      <c r="U193" s="58">
        <v>3.0</v>
      </c>
      <c r="V193" s="59" t="s">
        <v>682</v>
      </c>
      <c r="W193" s="59" t="s">
        <v>1226</v>
      </c>
      <c r="X193" s="57" t="s">
        <v>1267</v>
      </c>
      <c r="Y193" s="56"/>
      <c r="Z193" s="56"/>
      <c r="AA193" s="57" t="s">
        <v>1267</v>
      </c>
      <c r="AB193" s="56"/>
      <c r="AC193" s="66" t="s">
        <v>1268</v>
      </c>
      <c r="AD193" s="56"/>
      <c r="AE193" s="56"/>
      <c r="AF193" s="56"/>
      <c r="AG193" s="56"/>
      <c r="AH193" s="56"/>
      <c r="AI193" s="56"/>
      <c r="AJ193" s="56"/>
      <c r="AK193" s="56"/>
      <c r="AL193" s="56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</row>
    <row r="194">
      <c r="A194" s="25" t="s">
        <v>1151</v>
      </c>
      <c r="B194" s="25" t="b">
        <v>1</v>
      </c>
      <c r="C194" s="25" t="s">
        <v>1269</v>
      </c>
      <c r="D194" s="24" t="b">
        <v>0</v>
      </c>
      <c r="E194" s="22"/>
      <c r="F194" s="22"/>
      <c r="G194" s="23" t="b">
        <v>1</v>
      </c>
      <c r="H194" s="25"/>
      <c r="I194" s="22"/>
      <c r="J194" s="25" t="s">
        <v>1270</v>
      </c>
      <c r="K194" s="23" t="s">
        <v>1137</v>
      </c>
      <c r="L194" s="24" t="s">
        <v>1143</v>
      </c>
      <c r="M194" s="25" t="s">
        <v>1271</v>
      </c>
      <c r="N194" s="24" t="s">
        <v>76</v>
      </c>
      <c r="O194" s="23" t="s">
        <v>77</v>
      </c>
      <c r="P194" s="62">
        <v>1711.0</v>
      </c>
      <c r="Q194" s="62">
        <v>1711.0</v>
      </c>
      <c r="R194" s="62">
        <v>1711.0</v>
      </c>
      <c r="S194" s="23"/>
      <c r="T194" s="29">
        <v>2022.0</v>
      </c>
      <c r="U194" s="29">
        <v>3.0</v>
      </c>
      <c r="V194" s="62" t="s">
        <v>1272</v>
      </c>
      <c r="W194" s="29"/>
      <c r="X194" s="30" t="s">
        <v>1273</v>
      </c>
      <c r="Y194" s="30" t="s">
        <v>1274</v>
      </c>
      <c r="Z194" s="24"/>
      <c r="AA194" s="30" t="s">
        <v>1273</v>
      </c>
      <c r="AB194" s="24"/>
      <c r="AC194" s="30" t="s">
        <v>1275</v>
      </c>
      <c r="AD194" s="24"/>
      <c r="AE194" s="24"/>
      <c r="AF194" s="24"/>
      <c r="AG194" s="24"/>
      <c r="AH194" s="24"/>
      <c r="AI194" s="24"/>
      <c r="AJ194" s="24"/>
      <c r="AK194" s="24"/>
      <c r="AL194" s="24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</row>
    <row r="195">
      <c r="A195" s="25" t="s">
        <v>1151</v>
      </c>
      <c r="B195" s="24"/>
      <c r="C195" s="24"/>
      <c r="D195" s="24" t="b">
        <v>0</v>
      </c>
      <c r="E195" s="22"/>
      <c r="F195" s="22"/>
      <c r="G195" s="23" t="b">
        <v>1</v>
      </c>
      <c r="H195" s="22"/>
      <c r="I195" s="22"/>
      <c r="J195" s="25" t="s">
        <v>1269</v>
      </c>
      <c r="K195" s="23" t="s">
        <v>1137</v>
      </c>
      <c r="L195" s="24" t="s">
        <v>1143</v>
      </c>
      <c r="M195" s="25" t="s">
        <v>1271</v>
      </c>
      <c r="N195" s="24" t="s">
        <v>76</v>
      </c>
      <c r="O195" s="23" t="s">
        <v>77</v>
      </c>
      <c r="P195" s="62">
        <v>680.0</v>
      </c>
      <c r="Q195" s="62">
        <v>680.0</v>
      </c>
      <c r="R195" s="62">
        <v>680.0</v>
      </c>
      <c r="S195" s="23">
        <v>40.58</v>
      </c>
      <c r="T195" s="62">
        <v>2025.0</v>
      </c>
      <c r="U195" s="62">
        <v>3.0</v>
      </c>
      <c r="V195" s="62" t="s">
        <v>1272</v>
      </c>
      <c r="W195" s="62" t="s">
        <v>1151</v>
      </c>
      <c r="X195" s="63" t="s">
        <v>1276</v>
      </c>
      <c r="Y195" s="30" t="s">
        <v>1274</v>
      </c>
      <c r="Z195" s="25"/>
      <c r="AA195" s="22"/>
      <c r="AB195" s="25" t="s">
        <v>1147</v>
      </c>
      <c r="AC195" s="63" t="s">
        <v>1277</v>
      </c>
      <c r="AD195" s="24"/>
      <c r="AE195" s="24"/>
      <c r="AF195" s="24"/>
      <c r="AG195" s="24"/>
      <c r="AH195" s="24"/>
      <c r="AI195" s="24"/>
      <c r="AJ195" s="24"/>
      <c r="AK195" s="24"/>
      <c r="AL195" s="24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</row>
    <row r="196">
      <c r="A196" s="55" t="s">
        <v>1151</v>
      </c>
      <c r="B196" s="56"/>
      <c r="C196" s="56"/>
      <c r="D196" s="56" t="b">
        <v>0</v>
      </c>
      <c r="E196" s="38"/>
      <c r="F196" s="38"/>
      <c r="G196" s="39" t="b">
        <v>0</v>
      </c>
      <c r="H196" s="38"/>
      <c r="I196" s="38"/>
      <c r="J196" s="56" t="s">
        <v>1278</v>
      </c>
      <c r="K196" s="39" t="s">
        <v>1137</v>
      </c>
      <c r="L196" s="56" t="s">
        <v>1160</v>
      </c>
      <c r="M196" s="56" t="s">
        <v>60</v>
      </c>
      <c r="N196" s="56" t="s">
        <v>76</v>
      </c>
      <c r="O196" s="39" t="s">
        <v>77</v>
      </c>
      <c r="P196" s="56"/>
      <c r="Q196" s="55">
        <v>200.0</v>
      </c>
      <c r="R196" s="56"/>
      <c r="S196" s="39"/>
      <c r="T196" s="58">
        <v>2022.0</v>
      </c>
      <c r="U196" s="58">
        <v>3.0</v>
      </c>
      <c r="V196" s="59" t="s">
        <v>644</v>
      </c>
      <c r="W196" s="59" t="s">
        <v>1151</v>
      </c>
      <c r="X196" s="57" t="s">
        <v>1279</v>
      </c>
      <c r="Y196" s="56" t="s">
        <v>1280</v>
      </c>
      <c r="Z196" s="56"/>
      <c r="AA196" s="57" t="s">
        <v>1279</v>
      </c>
      <c r="AB196" s="56"/>
      <c r="AC196" s="57" t="s">
        <v>1281</v>
      </c>
      <c r="AD196" s="56"/>
      <c r="AE196" s="56"/>
      <c r="AF196" s="56"/>
      <c r="AG196" s="56"/>
      <c r="AH196" s="56"/>
      <c r="AI196" s="56"/>
      <c r="AJ196" s="56"/>
      <c r="AK196" s="56"/>
      <c r="AL196" s="56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</row>
    <row r="197">
      <c r="A197" s="4" t="s">
        <v>1151</v>
      </c>
      <c r="B197" s="16"/>
      <c r="C197" s="16"/>
      <c r="D197" s="4" t="b">
        <v>1</v>
      </c>
      <c r="E197" s="2" t="s">
        <v>741</v>
      </c>
      <c r="G197" s="2" t="b">
        <v>0</v>
      </c>
      <c r="J197" s="16" t="s">
        <v>1282</v>
      </c>
      <c r="K197" s="2" t="s">
        <v>1137</v>
      </c>
      <c r="L197" s="16" t="s">
        <v>1160</v>
      </c>
      <c r="M197" s="16" t="s">
        <v>235</v>
      </c>
      <c r="N197" s="16" t="s">
        <v>76</v>
      </c>
      <c r="O197" s="2" t="s">
        <v>77</v>
      </c>
      <c r="P197" s="4">
        <v>250.0</v>
      </c>
      <c r="Q197" s="4">
        <v>250.0</v>
      </c>
      <c r="R197" s="4">
        <v>250.0</v>
      </c>
      <c r="S197" s="2">
        <v>1.7</v>
      </c>
      <c r="T197" s="31">
        <v>2022.0</v>
      </c>
      <c r="U197" s="31">
        <v>3.0</v>
      </c>
      <c r="V197" s="64" t="s">
        <v>1283</v>
      </c>
      <c r="W197" s="64" t="s">
        <v>1151</v>
      </c>
      <c r="X197" s="32" t="s">
        <v>1284</v>
      </c>
      <c r="Y197" s="32" t="s">
        <v>1285</v>
      </c>
      <c r="Z197" s="4"/>
      <c r="AA197" s="32" t="s">
        <v>1284</v>
      </c>
      <c r="AB197" s="4" t="s">
        <v>72</v>
      </c>
      <c r="AC197" s="65" t="s">
        <v>1286</v>
      </c>
      <c r="AD197" s="16"/>
      <c r="AE197" s="16"/>
      <c r="AF197" s="16"/>
      <c r="AG197" s="16"/>
      <c r="AH197" s="16"/>
      <c r="AI197" s="16"/>
      <c r="AJ197" s="16"/>
      <c r="AK197" s="16"/>
      <c r="AL197" s="16"/>
    </row>
    <row r="198">
      <c r="A198" s="19" t="s">
        <v>1151</v>
      </c>
      <c r="B198" s="19" t="b">
        <v>1</v>
      </c>
      <c r="C198" s="19" t="s">
        <v>1287</v>
      </c>
      <c r="D198" s="52" t="b">
        <v>0</v>
      </c>
      <c r="E198" s="17"/>
      <c r="F198" s="17"/>
      <c r="G198" s="18" t="b">
        <v>0</v>
      </c>
      <c r="H198" s="17"/>
      <c r="I198" s="17"/>
      <c r="J198" s="52" t="s">
        <v>1288</v>
      </c>
      <c r="K198" s="18" t="s">
        <v>1137</v>
      </c>
      <c r="L198" s="52" t="s">
        <v>1137</v>
      </c>
      <c r="M198" s="19" t="s">
        <v>1289</v>
      </c>
      <c r="N198" s="52" t="s">
        <v>76</v>
      </c>
      <c r="O198" s="18" t="s">
        <v>77</v>
      </c>
      <c r="P198" s="70">
        <v>27.0</v>
      </c>
      <c r="Q198" s="70">
        <v>27.0</v>
      </c>
      <c r="R198" s="19">
        <v>27.0</v>
      </c>
      <c r="S198" s="18">
        <v>3.11</v>
      </c>
      <c r="T198" s="54">
        <v>2022.0</v>
      </c>
      <c r="U198" s="54">
        <v>3.0</v>
      </c>
      <c r="V198" s="70" t="s">
        <v>1290</v>
      </c>
      <c r="W198" s="70" t="s">
        <v>1151</v>
      </c>
      <c r="X198" s="53" t="s">
        <v>1291</v>
      </c>
      <c r="Y198" s="52" t="s">
        <v>1292</v>
      </c>
      <c r="Z198" s="19"/>
      <c r="AA198" s="53" t="s">
        <v>1291</v>
      </c>
      <c r="AB198" s="19" t="s">
        <v>1147</v>
      </c>
      <c r="AC198" s="71" t="s">
        <v>1293</v>
      </c>
      <c r="AD198" s="52"/>
      <c r="AE198" s="52"/>
      <c r="AF198" s="52"/>
      <c r="AG198" s="52"/>
      <c r="AH198" s="52"/>
      <c r="AI198" s="52"/>
      <c r="AJ198" s="52"/>
      <c r="AK198" s="52"/>
      <c r="AL198" s="52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</row>
    <row r="199">
      <c r="A199" s="25" t="s">
        <v>1151</v>
      </c>
      <c r="B199" s="24"/>
      <c r="C199" s="24"/>
      <c r="D199" s="24" t="b">
        <v>0</v>
      </c>
      <c r="E199" s="23"/>
      <c r="F199" s="22"/>
      <c r="G199" s="23" t="b">
        <v>1</v>
      </c>
      <c r="H199" s="22"/>
      <c r="I199" s="22"/>
      <c r="J199" s="24" t="s">
        <v>1294</v>
      </c>
      <c r="K199" s="23" t="s">
        <v>1137</v>
      </c>
      <c r="L199" s="25" t="s">
        <v>1295</v>
      </c>
      <c r="M199" s="24" t="s">
        <v>1296</v>
      </c>
      <c r="N199" s="24" t="s">
        <v>1297</v>
      </c>
      <c r="O199" s="24" t="s">
        <v>1298</v>
      </c>
      <c r="P199" s="25">
        <v>900.0</v>
      </c>
      <c r="Q199" s="25">
        <v>900.0</v>
      </c>
      <c r="R199" s="25">
        <v>1800.0</v>
      </c>
      <c r="S199" s="23">
        <v>9.56</v>
      </c>
      <c r="T199" s="29">
        <v>2022.0</v>
      </c>
      <c r="U199" s="25">
        <v>3.0</v>
      </c>
      <c r="V199" s="25" t="s">
        <v>1299</v>
      </c>
      <c r="W199" s="62" t="s">
        <v>5</v>
      </c>
      <c r="X199" s="63" t="s">
        <v>1300</v>
      </c>
      <c r="Y199" s="30" t="s">
        <v>1301</v>
      </c>
      <c r="Z199" s="25"/>
      <c r="AA199" s="30" t="s">
        <v>1302</v>
      </c>
      <c r="AB199" s="25" t="s">
        <v>1198</v>
      </c>
      <c r="AC199" s="30" t="s">
        <v>1303</v>
      </c>
      <c r="AD199" s="24"/>
      <c r="AE199" s="24"/>
      <c r="AF199" s="24"/>
      <c r="AG199" s="24"/>
      <c r="AH199" s="24"/>
      <c r="AI199" s="24"/>
      <c r="AJ199" s="24"/>
      <c r="AK199" s="24"/>
      <c r="AL199" s="24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</row>
    <row r="200">
      <c r="A200" s="4" t="s">
        <v>1151</v>
      </c>
      <c r="B200" s="16"/>
      <c r="C200" s="16"/>
      <c r="D200" s="4" t="b">
        <v>1</v>
      </c>
      <c r="E200" s="2" t="s">
        <v>741</v>
      </c>
      <c r="G200" s="2" t="b">
        <v>0</v>
      </c>
      <c r="J200" s="16" t="s">
        <v>1304</v>
      </c>
      <c r="K200" s="2" t="s">
        <v>1137</v>
      </c>
      <c r="L200" s="16" t="s">
        <v>1143</v>
      </c>
      <c r="M200" s="16" t="s">
        <v>108</v>
      </c>
      <c r="N200" s="16" t="s">
        <v>76</v>
      </c>
      <c r="O200" s="2" t="s">
        <v>77</v>
      </c>
      <c r="P200" s="64">
        <v>2421.0</v>
      </c>
      <c r="R200" s="31">
        <v>3493.0</v>
      </c>
      <c r="S200" s="2">
        <f>394.98/1024</f>
        <v>0.3857226563</v>
      </c>
      <c r="T200" s="31">
        <v>2021.0</v>
      </c>
      <c r="U200" s="31">
        <v>2.0</v>
      </c>
      <c r="V200" s="64" t="s">
        <v>644</v>
      </c>
      <c r="W200" s="64" t="s">
        <v>1151</v>
      </c>
      <c r="X200" s="32" t="s">
        <v>1305</v>
      </c>
      <c r="Y200" s="32" t="s">
        <v>1306</v>
      </c>
      <c r="Z200" s="4"/>
      <c r="AA200" s="32" t="s">
        <v>1305</v>
      </c>
      <c r="AB200" s="4" t="s">
        <v>1307</v>
      </c>
      <c r="AC200" s="33" t="s">
        <v>1305</v>
      </c>
      <c r="AD200" s="16"/>
      <c r="AE200" s="16"/>
      <c r="AF200" s="16"/>
      <c r="AG200" s="16"/>
      <c r="AH200" s="16"/>
      <c r="AI200" s="16"/>
      <c r="AJ200" s="16"/>
      <c r="AK200" s="16"/>
      <c r="AL200" s="16"/>
    </row>
    <row r="201">
      <c r="A201" s="4" t="s">
        <v>1151</v>
      </c>
      <c r="B201" s="16"/>
      <c r="C201" s="16"/>
      <c r="D201" s="4" t="b">
        <v>1</v>
      </c>
      <c r="E201" s="50" t="s">
        <v>741</v>
      </c>
      <c r="G201" s="2" t="b">
        <v>0</v>
      </c>
      <c r="J201" s="16" t="s">
        <v>1308</v>
      </c>
      <c r="K201" s="2" t="s">
        <v>1137</v>
      </c>
      <c r="L201" s="16" t="s">
        <v>1309</v>
      </c>
      <c r="M201" s="16" t="s">
        <v>235</v>
      </c>
      <c r="N201" s="16" t="s">
        <v>76</v>
      </c>
      <c r="O201" s="2" t="s">
        <v>77</v>
      </c>
      <c r="P201" s="31"/>
      <c r="R201" s="64">
        <v>3060.0</v>
      </c>
      <c r="S201" s="2">
        <f>84/1024</f>
        <v>0.08203125</v>
      </c>
      <c r="T201" s="31">
        <v>2022.0</v>
      </c>
      <c r="U201" s="31">
        <v>2.0</v>
      </c>
      <c r="V201" s="31"/>
      <c r="W201" s="64" t="s">
        <v>1151</v>
      </c>
      <c r="X201" s="65" t="s">
        <v>1310</v>
      </c>
      <c r="Y201" s="32"/>
      <c r="Z201" s="4"/>
      <c r="AA201" s="33" t="s">
        <v>1311</v>
      </c>
      <c r="AB201" s="4" t="s">
        <v>105</v>
      </c>
      <c r="AC201" s="33" t="s">
        <v>1310</v>
      </c>
      <c r="AD201" s="16"/>
      <c r="AE201" s="16"/>
      <c r="AF201" s="16"/>
      <c r="AG201" s="16"/>
      <c r="AH201" s="16"/>
      <c r="AI201" s="16"/>
      <c r="AJ201" s="16"/>
      <c r="AK201" s="16"/>
      <c r="AL201" s="16"/>
    </row>
    <row r="202">
      <c r="A202" s="25" t="s">
        <v>1151</v>
      </c>
      <c r="B202" s="24"/>
      <c r="C202" s="24"/>
      <c r="D202" s="24" t="b">
        <v>0</v>
      </c>
      <c r="E202" s="22"/>
      <c r="F202" s="22"/>
      <c r="G202" s="23" t="b">
        <v>1</v>
      </c>
      <c r="H202" s="25"/>
      <c r="I202" s="22"/>
      <c r="J202" s="24" t="s">
        <v>1312</v>
      </c>
      <c r="K202" s="23" t="s">
        <v>1137</v>
      </c>
      <c r="L202" s="24" t="s">
        <v>1313</v>
      </c>
      <c r="M202" s="24" t="s">
        <v>235</v>
      </c>
      <c r="N202" s="24" t="s">
        <v>76</v>
      </c>
      <c r="O202" s="23" t="s">
        <v>77</v>
      </c>
      <c r="P202" s="29"/>
      <c r="Q202" s="29">
        <v>75.0</v>
      </c>
      <c r="R202" s="25">
        <v>75.0</v>
      </c>
      <c r="S202" s="23"/>
      <c r="T202" s="29">
        <v>2022.0</v>
      </c>
      <c r="U202" s="29">
        <v>3.0</v>
      </c>
      <c r="V202" s="62" t="s">
        <v>644</v>
      </c>
      <c r="W202" s="62" t="s">
        <v>5</v>
      </c>
      <c r="X202" s="30" t="s">
        <v>1314</v>
      </c>
      <c r="Y202" s="24"/>
      <c r="Z202" s="24"/>
      <c r="AA202" s="30" t="s">
        <v>1314</v>
      </c>
      <c r="AB202" s="24"/>
      <c r="AC202" s="30" t="s">
        <v>1314</v>
      </c>
      <c r="AD202" s="24"/>
      <c r="AE202" s="24"/>
      <c r="AF202" s="24"/>
      <c r="AG202" s="24"/>
      <c r="AH202" s="24"/>
      <c r="AI202" s="24"/>
      <c r="AJ202" s="24"/>
      <c r="AK202" s="24"/>
      <c r="AL202" s="24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</row>
    <row r="203">
      <c r="A203" s="19" t="s">
        <v>1151</v>
      </c>
      <c r="B203" s="52"/>
      <c r="C203" s="52"/>
      <c r="D203" s="19" t="b">
        <v>1</v>
      </c>
      <c r="E203" s="18" t="s">
        <v>741</v>
      </c>
      <c r="F203" s="17"/>
      <c r="G203" s="18" t="b">
        <v>0</v>
      </c>
      <c r="H203" s="17"/>
      <c r="I203" s="17"/>
      <c r="J203" s="52" t="s">
        <v>1315</v>
      </c>
      <c r="K203" s="18" t="s">
        <v>1137</v>
      </c>
      <c r="L203" s="52" t="s">
        <v>1143</v>
      </c>
      <c r="M203" s="19" t="s">
        <v>75</v>
      </c>
      <c r="N203" s="52" t="s">
        <v>76</v>
      </c>
      <c r="O203" s="18" t="s">
        <v>77</v>
      </c>
      <c r="P203" s="70">
        <v>56.0</v>
      </c>
      <c r="Q203" s="70">
        <v>56.0</v>
      </c>
      <c r="R203" s="19">
        <v>56.0</v>
      </c>
      <c r="S203" s="18">
        <v>4.9</v>
      </c>
      <c r="T203" s="54">
        <v>2023.0</v>
      </c>
      <c r="U203" s="54">
        <v>3.0</v>
      </c>
      <c r="V203" s="70" t="s">
        <v>1316</v>
      </c>
      <c r="W203" s="70" t="s">
        <v>5</v>
      </c>
      <c r="X203" s="53" t="s">
        <v>1317</v>
      </c>
      <c r="Y203" s="53" t="s">
        <v>1318</v>
      </c>
      <c r="Z203" s="19"/>
      <c r="AA203" s="53" t="s">
        <v>1317</v>
      </c>
      <c r="AB203" s="19" t="s">
        <v>72</v>
      </c>
      <c r="AC203" s="71" t="s">
        <v>1319</v>
      </c>
      <c r="AD203" s="52"/>
      <c r="AE203" s="52"/>
      <c r="AF203" s="52"/>
      <c r="AG203" s="52"/>
      <c r="AH203" s="52"/>
      <c r="AI203" s="52"/>
      <c r="AJ203" s="52"/>
      <c r="AK203" s="52"/>
      <c r="AL203" s="52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</row>
    <row r="204">
      <c r="A204" s="55" t="s">
        <v>1151</v>
      </c>
      <c r="B204" s="56"/>
      <c r="C204" s="56"/>
      <c r="D204" s="56" t="b">
        <v>0</v>
      </c>
      <c r="E204" s="38"/>
      <c r="F204" s="38"/>
      <c r="G204" s="39" t="b">
        <v>0</v>
      </c>
      <c r="H204" s="38"/>
      <c r="I204" s="38"/>
      <c r="J204" s="56" t="s">
        <v>1320</v>
      </c>
      <c r="K204" s="39" t="s">
        <v>1137</v>
      </c>
      <c r="L204" s="56" t="s">
        <v>1160</v>
      </c>
      <c r="M204" s="55" t="s">
        <v>60</v>
      </c>
      <c r="N204" s="56" t="s">
        <v>76</v>
      </c>
      <c r="O204" s="39" t="s">
        <v>77</v>
      </c>
      <c r="P204" s="59">
        <v>493.0</v>
      </c>
      <c r="Q204" s="59">
        <v>493.0</v>
      </c>
      <c r="R204" s="55">
        <v>493.0</v>
      </c>
      <c r="S204" s="39">
        <v>17.61</v>
      </c>
      <c r="T204" s="58">
        <v>2023.0</v>
      </c>
      <c r="U204" s="58">
        <v>3.0</v>
      </c>
      <c r="V204" s="59" t="s">
        <v>1321</v>
      </c>
      <c r="W204" s="59" t="s">
        <v>1151</v>
      </c>
      <c r="X204" s="57" t="s">
        <v>1322</v>
      </c>
      <c r="Y204" s="60" t="s">
        <v>1323</v>
      </c>
      <c r="Z204" s="55"/>
      <c r="AA204" s="57" t="s">
        <v>1322</v>
      </c>
      <c r="AB204" s="55" t="s">
        <v>1147</v>
      </c>
      <c r="AC204" s="66" t="s">
        <v>1324</v>
      </c>
      <c r="AD204" s="56"/>
      <c r="AE204" s="56"/>
      <c r="AF204" s="56"/>
      <c r="AG204" s="56"/>
      <c r="AH204" s="56"/>
      <c r="AI204" s="56"/>
      <c r="AJ204" s="56"/>
      <c r="AK204" s="56"/>
      <c r="AL204" s="56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</row>
    <row r="205">
      <c r="A205" s="55" t="s">
        <v>1151</v>
      </c>
      <c r="B205" s="56"/>
      <c r="C205" s="56"/>
      <c r="D205" s="56" t="b">
        <v>0</v>
      </c>
      <c r="E205" s="38"/>
      <c r="F205" s="38"/>
      <c r="G205" s="39"/>
      <c r="H205" s="38"/>
      <c r="I205" s="38"/>
      <c r="J205" s="56" t="s">
        <v>1325</v>
      </c>
      <c r="K205" s="39" t="s">
        <v>1137</v>
      </c>
      <c r="L205" s="56" t="s">
        <v>1143</v>
      </c>
      <c r="M205" s="55" t="s">
        <v>60</v>
      </c>
      <c r="N205" s="56" t="s">
        <v>76</v>
      </c>
      <c r="O205" s="39" t="s">
        <v>77</v>
      </c>
      <c r="P205" s="55">
        <v>200.0</v>
      </c>
      <c r="Q205" s="55">
        <v>200.0</v>
      </c>
      <c r="R205" s="55">
        <v>200.0</v>
      </c>
      <c r="S205" s="39">
        <v>1.0</v>
      </c>
      <c r="T205" s="58">
        <v>2023.0</v>
      </c>
      <c r="U205" s="58">
        <v>3.0</v>
      </c>
      <c r="V205" s="59" t="s">
        <v>644</v>
      </c>
      <c r="W205" s="59" t="s">
        <v>1151</v>
      </c>
      <c r="X205" s="57" t="s">
        <v>1326</v>
      </c>
      <c r="Y205" s="57" t="s">
        <v>1327</v>
      </c>
      <c r="Z205" s="55"/>
      <c r="AA205" s="57" t="s">
        <v>1326</v>
      </c>
      <c r="AB205" s="55" t="s">
        <v>1307</v>
      </c>
      <c r="AC205" s="66" t="s">
        <v>1328</v>
      </c>
      <c r="AD205" s="56"/>
      <c r="AE205" s="56"/>
      <c r="AF205" s="56"/>
      <c r="AG205" s="56"/>
      <c r="AH205" s="56"/>
      <c r="AI205" s="56"/>
      <c r="AJ205" s="56"/>
      <c r="AK205" s="56"/>
      <c r="AL205" s="56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</row>
    <row r="206">
      <c r="A206" s="4" t="s">
        <v>1151</v>
      </c>
      <c r="B206" s="16"/>
      <c r="C206" s="16"/>
      <c r="D206" s="4" t="b">
        <v>1</v>
      </c>
      <c r="E206" s="2" t="s">
        <v>741</v>
      </c>
      <c r="J206" s="16" t="s">
        <v>1329</v>
      </c>
      <c r="K206" s="2" t="s">
        <v>1137</v>
      </c>
      <c r="L206" s="16" t="s">
        <v>1160</v>
      </c>
      <c r="M206" s="16" t="s">
        <v>235</v>
      </c>
      <c r="N206" s="16" t="s">
        <v>76</v>
      </c>
      <c r="O206" s="2" t="s">
        <v>77</v>
      </c>
      <c r="P206" s="64">
        <v>379.0</v>
      </c>
      <c r="Q206" s="31">
        <v>983.0</v>
      </c>
      <c r="R206" s="16"/>
      <c r="S206" s="2">
        <v>6.7</v>
      </c>
      <c r="T206" s="31">
        <v>2023.0</v>
      </c>
      <c r="U206" s="31">
        <v>3.0</v>
      </c>
      <c r="V206" s="64" t="s">
        <v>1330</v>
      </c>
      <c r="W206" s="64" t="s">
        <v>1151</v>
      </c>
      <c r="X206" s="32" t="s">
        <v>1331</v>
      </c>
      <c r="Y206" s="32" t="s">
        <v>1332</v>
      </c>
      <c r="Z206" s="4"/>
      <c r="AA206" s="32" t="s">
        <v>1333</v>
      </c>
      <c r="AB206" s="4" t="s">
        <v>72</v>
      </c>
      <c r="AC206" s="33" t="s">
        <v>1334</v>
      </c>
      <c r="AD206" s="16"/>
      <c r="AE206" s="16"/>
      <c r="AF206" s="16"/>
      <c r="AG206" s="16"/>
      <c r="AH206" s="16"/>
      <c r="AI206" s="16"/>
      <c r="AJ206" s="16"/>
      <c r="AK206" s="16"/>
      <c r="AL206" s="16"/>
    </row>
    <row r="207">
      <c r="A207" s="56"/>
      <c r="B207" s="56"/>
      <c r="C207" s="56"/>
      <c r="D207" s="56" t="b">
        <v>0</v>
      </c>
      <c r="E207" s="38"/>
      <c r="F207" s="38"/>
      <c r="G207" s="38"/>
      <c r="H207" s="38"/>
      <c r="I207" s="38"/>
      <c r="J207" s="56" t="s">
        <v>1335</v>
      </c>
      <c r="K207" s="39" t="s">
        <v>1137</v>
      </c>
      <c r="L207" s="56" t="s">
        <v>1137</v>
      </c>
      <c r="M207" s="56" t="s">
        <v>235</v>
      </c>
      <c r="N207" s="56" t="s">
        <v>76</v>
      </c>
      <c r="O207" s="39" t="s">
        <v>77</v>
      </c>
      <c r="P207" s="58"/>
      <c r="Q207" s="58"/>
      <c r="R207" s="56"/>
      <c r="S207" s="39"/>
      <c r="T207" s="58">
        <v>2023.0</v>
      </c>
      <c r="U207" s="58">
        <v>3.0</v>
      </c>
      <c r="V207" s="58"/>
      <c r="W207" s="59" t="s">
        <v>1151</v>
      </c>
      <c r="X207" s="60" t="s">
        <v>1333</v>
      </c>
      <c r="Y207" s="56"/>
      <c r="Z207" s="56"/>
      <c r="AA207" s="57" t="s">
        <v>1331</v>
      </c>
      <c r="AB207" s="56"/>
      <c r="AC207" s="57" t="s">
        <v>1336</v>
      </c>
      <c r="AD207" s="56"/>
      <c r="AE207" s="56"/>
      <c r="AF207" s="56"/>
      <c r="AG207" s="56"/>
      <c r="AH207" s="56"/>
      <c r="AI207" s="56"/>
      <c r="AJ207" s="56"/>
      <c r="AK207" s="56"/>
      <c r="AL207" s="56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</row>
    <row r="208">
      <c r="A208" s="16"/>
      <c r="B208" s="16"/>
      <c r="C208" s="16"/>
      <c r="D208" s="4" t="b">
        <v>1</v>
      </c>
      <c r="E208" s="2" t="s">
        <v>1337</v>
      </c>
      <c r="J208" s="16" t="s">
        <v>1338</v>
      </c>
      <c r="K208" s="2" t="s">
        <v>1137</v>
      </c>
      <c r="L208" s="16" t="s">
        <v>1137</v>
      </c>
      <c r="M208" s="16" t="s">
        <v>235</v>
      </c>
      <c r="N208" s="16" t="s">
        <v>76</v>
      </c>
      <c r="O208" s="2" t="s">
        <v>77</v>
      </c>
      <c r="P208" s="31"/>
      <c r="Q208" s="31">
        <v>501.0</v>
      </c>
      <c r="R208" s="16"/>
      <c r="S208" s="2">
        <v>2.97</v>
      </c>
      <c r="T208" s="31">
        <v>2023.0</v>
      </c>
      <c r="U208" s="31">
        <v>3.0</v>
      </c>
      <c r="V208" s="31"/>
      <c r="W208" s="31"/>
      <c r="X208" s="32" t="s">
        <v>1339</v>
      </c>
      <c r="Y208" s="32" t="s">
        <v>1340</v>
      </c>
      <c r="Z208" s="16"/>
      <c r="AA208" s="32" t="s">
        <v>1339</v>
      </c>
      <c r="AB208" s="16"/>
      <c r="AC208" s="32" t="s">
        <v>1339</v>
      </c>
      <c r="AD208" s="16"/>
      <c r="AE208" s="16"/>
      <c r="AF208" s="16"/>
      <c r="AG208" s="16"/>
      <c r="AH208" s="16"/>
      <c r="AI208" s="16"/>
      <c r="AJ208" s="16"/>
      <c r="AK208" s="16"/>
      <c r="AL208" s="16"/>
    </row>
    <row r="209">
      <c r="A209" s="16"/>
      <c r="B209" s="16"/>
      <c r="C209" s="16"/>
      <c r="D209" s="4" t="b">
        <v>1</v>
      </c>
      <c r="E209" s="2" t="s">
        <v>1341</v>
      </c>
      <c r="J209" s="16" t="s">
        <v>1342</v>
      </c>
      <c r="K209" s="2" t="s">
        <v>1137</v>
      </c>
      <c r="L209" s="16" t="s">
        <v>1143</v>
      </c>
      <c r="M209" s="16" t="s">
        <v>235</v>
      </c>
      <c r="N209" s="16" t="s">
        <v>76</v>
      </c>
      <c r="O209" s="2" t="s">
        <v>77</v>
      </c>
      <c r="P209" s="31"/>
      <c r="Q209" s="31">
        <v>31.0</v>
      </c>
      <c r="R209" s="16"/>
      <c r="S209" s="2">
        <v>1.01</v>
      </c>
      <c r="T209" s="31">
        <v>2023.0</v>
      </c>
      <c r="U209" s="31">
        <v>3.0</v>
      </c>
      <c r="V209" s="31"/>
      <c r="W209" s="31"/>
      <c r="X209" s="32" t="s">
        <v>1343</v>
      </c>
      <c r="Y209" s="32" t="s">
        <v>1344</v>
      </c>
      <c r="Z209" s="16"/>
      <c r="AA209" s="32" t="s">
        <v>1343</v>
      </c>
      <c r="AB209" s="16"/>
      <c r="AC209" s="32" t="s">
        <v>1343</v>
      </c>
      <c r="AD209" s="16"/>
      <c r="AE209" s="16"/>
      <c r="AF209" s="16"/>
      <c r="AG209" s="16"/>
      <c r="AH209" s="16"/>
      <c r="AI209" s="16"/>
      <c r="AJ209" s="16"/>
      <c r="AK209" s="16"/>
      <c r="AL209" s="16"/>
    </row>
    <row r="210">
      <c r="A210" s="16"/>
      <c r="B210" s="16"/>
      <c r="C210" s="16"/>
      <c r="D210" s="4" t="b">
        <v>1</v>
      </c>
      <c r="E210" s="2" t="s">
        <v>741</v>
      </c>
      <c r="J210" s="16" t="s">
        <v>1345</v>
      </c>
      <c r="K210" s="2" t="s">
        <v>1137</v>
      </c>
      <c r="L210" s="16" t="s">
        <v>1160</v>
      </c>
      <c r="M210" s="16" t="s">
        <v>235</v>
      </c>
      <c r="N210" s="16" t="s">
        <v>76</v>
      </c>
      <c r="O210" s="2" t="s">
        <v>77</v>
      </c>
      <c r="P210" s="31"/>
      <c r="Q210" s="31">
        <v>105.0</v>
      </c>
      <c r="R210" s="16"/>
      <c r="S210" s="2"/>
      <c r="T210" s="31">
        <v>2023.0</v>
      </c>
      <c r="U210" s="31">
        <v>3.0</v>
      </c>
      <c r="V210" s="31"/>
      <c r="W210" s="31"/>
      <c r="X210" s="32" t="s">
        <v>1346</v>
      </c>
      <c r="Y210" s="32" t="s">
        <v>1347</v>
      </c>
      <c r="Z210" s="16"/>
      <c r="AA210" s="32" t="s">
        <v>1346</v>
      </c>
      <c r="AB210" s="16"/>
      <c r="AC210" s="32" t="s">
        <v>1348</v>
      </c>
      <c r="AD210" s="16"/>
      <c r="AE210" s="16"/>
      <c r="AF210" s="16"/>
      <c r="AG210" s="16"/>
      <c r="AH210" s="16"/>
      <c r="AI210" s="16"/>
      <c r="AJ210" s="16"/>
      <c r="AK210" s="16"/>
      <c r="AL210" s="16"/>
    </row>
    <row r="211">
      <c r="A211" s="16"/>
      <c r="B211" s="16"/>
      <c r="C211" s="16"/>
      <c r="D211" s="4" t="b">
        <v>1</v>
      </c>
      <c r="E211" s="2" t="s">
        <v>741</v>
      </c>
      <c r="J211" s="16" t="s">
        <v>1349</v>
      </c>
      <c r="K211" s="2" t="s">
        <v>1137</v>
      </c>
      <c r="L211" s="16" t="s">
        <v>1160</v>
      </c>
      <c r="M211" s="16" t="s">
        <v>235</v>
      </c>
      <c r="N211" s="16" t="s">
        <v>76</v>
      </c>
      <c r="O211" s="2" t="s">
        <v>77</v>
      </c>
      <c r="P211" s="31"/>
      <c r="Q211" s="31">
        <v>1650.0</v>
      </c>
      <c r="R211" s="16"/>
      <c r="S211" s="2"/>
      <c r="T211" s="31">
        <v>2023.0</v>
      </c>
      <c r="U211" s="31">
        <v>3.0</v>
      </c>
      <c r="V211" s="31"/>
      <c r="W211" s="31"/>
      <c r="X211" s="32" t="s">
        <v>1350</v>
      </c>
      <c r="Y211" s="32" t="s">
        <v>1351</v>
      </c>
      <c r="Z211" s="16"/>
      <c r="AA211" s="32" t="s">
        <v>1350</v>
      </c>
      <c r="AB211" s="16"/>
      <c r="AC211" s="32" t="s">
        <v>1352</v>
      </c>
      <c r="AD211" s="16"/>
      <c r="AE211" s="16"/>
      <c r="AF211" s="16"/>
      <c r="AG211" s="16"/>
      <c r="AH211" s="16"/>
      <c r="AI211" s="16"/>
      <c r="AJ211" s="16"/>
      <c r="AK211" s="16"/>
      <c r="AL211" s="16"/>
    </row>
    <row r="212">
      <c r="A212" s="16"/>
      <c r="B212" s="16"/>
      <c r="C212" s="16"/>
      <c r="D212" s="4" t="b">
        <v>1</v>
      </c>
      <c r="E212" s="2" t="s">
        <v>741</v>
      </c>
      <c r="J212" s="16" t="s">
        <v>1353</v>
      </c>
      <c r="K212" s="2" t="s">
        <v>1137</v>
      </c>
      <c r="L212" s="16" t="s">
        <v>1160</v>
      </c>
      <c r="M212" s="16" t="s">
        <v>235</v>
      </c>
      <c r="N212" s="16" t="s">
        <v>76</v>
      </c>
      <c r="O212" s="2" t="s">
        <v>77</v>
      </c>
      <c r="P212" s="31"/>
      <c r="Q212" s="31">
        <v>228.0</v>
      </c>
      <c r="R212" s="16"/>
      <c r="S212" s="2"/>
      <c r="T212" s="31">
        <v>2023.0</v>
      </c>
      <c r="U212" s="31">
        <v>3.0</v>
      </c>
      <c r="V212" s="31"/>
      <c r="W212" s="31"/>
      <c r="X212" s="32" t="s">
        <v>1354</v>
      </c>
      <c r="Y212" s="32" t="s">
        <v>1355</v>
      </c>
      <c r="Z212" s="16"/>
      <c r="AA212" s="32" t="s">
        <v>1354</v>
      </c>
      <c r="AB212" s="16"/>
      <c r="AC212" s="32" t="s">
        <v>1356</v>
      </c>
      <c r="AD212" s="16"/>
      <c r="AE212" s="16"/>
      <c r="AF212" s="16"/>
      <c r="AG212" s="16"/>
      <c r="AH212" s="16"/>
      <c r="AI212" s="16"/>
      <c r="AJ212" s="16"/>
      <c r="AK212" s="16"/>
      <c r="AL212" s="16"/>
    </row>
    <row r="213">
      <c r="A213" s="16"/>
      <c r="B213" s="16"/>
      <c r="C213" s="16"/>
      <c r="D213" s="4" t="b">
        <v>1</v>
      </c>
      <c r="E213" s="2" t="s">
        <v>741</v>
      </c>
      <c r="J213" s="16" t="s">
        <v>1357</v>
      </c>
      <c r="K213" s="2" t="s">
        <v>1137</v>
      </c>
      <c r="L213" s="16" t="s">
        <v>1160</v>
      </c>
      <c r="M213" s="16" t="s">
        <v>235</v>
      </c>
      <c r="N213" s="16" t="s">
        <v>76</v>
      </c>
      <c r="O213" s="2" t="s">
        <v>77</v>
      </c>
      <c r="P213" s="31"/>
      <c r="Q213" s="31">
        <v>328.0</v>
      </c>
      <c r="R213" s="16"/>
      <c r="S213" s="2"/>
      <c r="T213" s="31">
        <v>2023.0</v>
      </c>
      <c r="U213" s="31">
        <v>3.0</v>
      </c>
      <c r="V213" s="31"/>
      <c r="W213" s="31"/>
      <c r="X213" s="32" t="s">
        <v>1358</v>
      </c>
      <c r="Y213" s="32" t="s">
        <v>1359</v>
      </c>
      <c r="Z213" s="16"/>
      <c r="AA213" s="32" t="s">
        <v>1358</v>
      </c>
      <c r="AB213" s="16"/>
      <c r="AC213" s="33" t="s">
        <v>1360</v>
      </c>
      <c r="AD213" s="16"/>
      <c r="AE213" s="16"/>
      <c r="AF213" s="16"/>
      <c r="AG213" s="16"/>
      <c r="AH213" s="16"/>
      <c r="AI213" s="16"/>
      <c r="AJ213" s="16"/>
      <c r="AK213" s="16"/>
      <c r="AL213" s="16"/>
    </row>
    <row r="214">
      <c r="A214" s="16"/>
      <c r="B214" s="16"/>
      <c r="C214" s="16"/>
      <c r="D214" s="4" t="b">
        <v>1</v>
      </c>
      <c r="E214" s="2" t="s">
        <v>1361</v>
      </c>
      <c r="J214" s="16" t="s">
        <v>1362</v>
      </c>
      <c r="K214" s="2" t="s">
        <v>1137</v>
      </c>
      <c r="L214" s="16" t="s">
        <v>1143</v>
      </c>
      <c r="M214" s="16" t="s">
        <v>235</v>
      </c>
      <c r="N214" s="16" t="s">
        <v>76</v>
      </c>
      <c r="O214" s="2" t="s">
        <v>77</v>
      </c>
      <c r="P214" s="31"/>
      <c r="Q214" s="31">
        <v>120.0</v>
      </c>
      <c r="R214" s="16"/>
      <c r="S214" s="2">
        <v>11.35</v>
      </c>
      <c r="T214" s="31">
        <v>2023.0</v>
      </c>
      <c r="U214" s="31">
        <v>3.0</v>
      </c>
      <c r="V214" s="31"/>
      <c r="W214" s="31"/>
      <c r="X214" s="32" t="s">
        <v>1363</v>
      </c>
      <c r="Y214" s="32" t="s">
        <v>1364</v>
      </c>
      <c r="Z214" s="16"/>
      <c r="AA214" s="32" t="s">
        <v>1363</v>
      </c>
      <c r="AB214" s="16"/>
      <c r="AC214" s="32" t="s">
        <v>1363</v>
      </c>
      <c r="AD214" s="16"/>
      <c r="AE214" s="16"/>
      <c r="AF214" s="16"/>
      <c r="AG214" s="16"/>
      <c r="AH214" s="16"/>
      <c r="AI214" s="16"/>
      <c r="AJ214" s="16"/>
      <c r="AK214" s="16"/>
      <c r="AL214" s="16"/>
    </row>
    <row r="215">
      <c r="A215" s="56"/>
      <c r="B215" s="56"/>
      <c r="C215" s="56"/>
      <c r="D215" s="56" t="b">
        <v>0</v>
      </c>
      <c r="E215" s="38"/>
      <c r="F215" s="38"/>
      <c r="G215" s="38"/>
      <c r="H215" s="39" t="b">
        <v>0</v>
      </c>
      <c r="I215" s="39" t="s">
        <v>1365</v>
      </c>
      <c r="J215" s="56" t="s">
        <v>1366</v>
      </c>
      <c r="K215" s="39" t="s">
        <v>1137</v>
      </c>
      <c r="L215" s="56" t="s">
        <v>1143</v>
      </c>
      <c r="M215" s="56" t="s">
        <v>235</v>
      </c>
      <c r="N215" s="56" t="s">
        <v>76</v>
      </c>
      <c r="O215" s="39" t="s">
        <v>77</v>
      </c>
      <c r="P215" s="58"/>
      <c r="Q215" s="58">
        <v>191.0</v>
      </c>
      <c r="R215" s="56"/>
      <c r="S215" s="39"/>
      <c r="T215" s="58">
        <v>2024.0</v>
      </c>
      <c r="U215" s="58">
        <v>3.0</v>
      </c>
      <c r="V215" s="58"/>
      <c r="W215" s="58"/>
      <c r="X215" s="57" t="s">
        <v>1367</v>
      </c>
      <c r="Y215" s="56" t="s">
        <v>275</v>
      </c>
      <c r="Z215" s="56"/>
      <c r="AA215" s="57" t="s">
        <v>1367</v>
      </c>
      <c r="AB215" s="56"/>
      <c r="AC215" s="57" t="s">
        <v>1367</v>
      </c>
      <c r="AD215" s="56"/>
      <c r="AE215" s="56"/>
      <c r="AF215" s="56"/>
      <c r="AG215" s="56"/>
      <c r="AH215" s="56"/>
      <c r="AI215" s="56"/>
      <c r="AJ215" s="56"/>
      <c r="AK215" s="56"/>
      <c r="AL215" s="56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</row>
    <row r="216">
      <c r="A216" s="56"/>
      <c r="B216" s="56"/>
      <c r="C216" s="56"/>
      <c r="D216" s="56" t="b">
        <v>0</v>
      </c>
      <c r="E216" s="38"/>
      <c r="F216" s="38"/>
      <c r="G216" s="38"/>
      <c r="H216" s="39" t="b">
        <v>0</v>
      </c>
      <c r="I216" s="38"/>
      <c r="J216" s="56" t="s">
        <v>1368</v>
      </c>
      <c r="K216" s="39" t="s">
        <v>1137</v>
      </c>
      <c r="L216" s="56" t="s">
        <v>1143</v>
      </c>
      <c r="M216" s="56" t="s">
        <v>235</v>
      </c>
      <c r="N216" s="56" t="s">
        <v>76</v>
      </c>
      <c r="O216" s="39" t="s">
        <v>77</v>
      </c>
      <c r="P216" s="56"/>
      <c r="Q216" s="55">
        <v>220.0</v>
      </c>
      <c r="R216" s="56"/>
      <c r="S216" s="39"/>
      <c r="T216" s="58">
        <v>2024.0</v>
      </c>
      <c r="U216" s="58">
        <v>2.0</v>
      </c>
      <c r="V216" s="58"/>
      <c r="W216" s="58"/>
      <c r="X216" s="57" t="s">
        <v>1369</v>
      </c>
      <c r="Y216" s="56" t="s">
        <v>275</v>
      </c>
      <c r="Z216" s="56"/>
      <c r="AA216" s="57" t="s">
        <v>1369</v>
      </c>
      <c r="AB216" s="56"/>
      <c r="AC216" s="66" t="s">
        <v>1369</v>
      </c>
      <c r="AD216" s="56"/>
      <c r="AE216" s="56"/>
      <c r="AF216" s="56"/>
      <c r="AG216" s="56"/>
      <c r="AH216" s="56"/>
      <c r="AI216" s="56"/>
      <c r="AJ216" s="56"/>
      <c r="AK216" s="56"/>
      <c r="AL216" s="56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</row>
    <row r="217">
      <c r="A217" s="56"/>
      <c r="B217" s="56"/>
      <c r="C217" s="56"/>
      <c r="D217" s="56" t="b">
        <v>0</v>
      </c>
      <c r="E217" s="38"/>
      <c r="F217" s="38"/>
      <c r="G217" s="39" t="b">
        <v>0</v>
      </c>
      <c r="H217" s="39" t="b">
        <v>0</v>
      </c>
      <c r="I217" s="38"/>
      <c r="J217" s="56" t="s">
        <v>1370</v>
      </c>
      <c r="K217" s="39" t="s">
        <v>1137</v>
      </c>
      <c r="L217" s="56" t="s">
        <v>1137</v>
      </c>
      <c r="M217" s="56" t="s">
        <v>235</v>
      </c>
      <c r="N217" s="56" t="s">
        <v>76</v>
      </c>
      <c r="O217" s="39" t="s">
        <v>77</v>
      </c>
      <c r="P217" s="58"/>
      <c r="Q217" s="58">
        <v>63.0</v>
      </c>
      <c r="R217" s="56"/>
      <c r="S217" s="39"/>
      <c r="T217" s="58">
        <v>2024.0</v>
      </c>
      <c r="U217" s="58">
        <v>3.0</v>
      </c>
      <c r="V217" s="58"/>
      <c r="W217" s="58"/>
      <c r="X217" s="57" t="s">
        <v>1371</v>
      </c>
      <c r="Y217" s="56" t="s">
        <v>275</v>
      </c>
      <c r="Z217" s="56"/>
      <c r="AA217" s="57" t="s">
        <v>1371</v>
      </c>
      <c r="AB217" s="56"/>
      <c r="AC217" s="66" t="s">
        <v>1372</v>
      </c>
      <c r="AD217" s="56"/>
      <c r="AE217" s="56"/>
      <c r="AF217" s="56"/>
      <c r="AG217" s="56"/>
      <c r="AH217" s="56"/>
      <c r="AI217" s="56"/>
      <c r="AJ217" s="56"/>
      <c r="AK217" s="56"/>
      <c r="AL217" s="56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</row>
    <row r="218">
      <c r="A218" s="16"/>
      <c r="B218" s="16"/>
      <c r="C218" s="16"/>
      <c r="D218" s="4" t="b">
        <v>1</v>
      </c>
      <c r="E218" s="2" t="s">
        <v>1373</v>
      </c>
      <c r="G218" s="2" t="b">
        <v>0</v>
      </c>
      <c r="H218" s="2" t="b">
        <v>0</v>
      </c>
      <c r="J218" s="16" t="s">
        <v>1374</v>
      </c>
      <c r="K218" s="2" t="s">
        <v>1137</v>
      </c>
      <c r="L218" s="16" t="s">
        <v>1143</v>
      </c>
      <c r="M218" s="16" t="s">
        <v>235</v>
      </c>
      <c r="N218" s="16" t="s">
        <v>76</v>
      </c>
      <c r="O218" s="2" t="s">
        <v>77</v>
      </c>
      <c r="P218" s="31"/>
      <c r="Q218" s="31">
        <v>150.0</v>
      </c>
      <c r="R218" s="16"/>
      <c r="S218" s="2"/>
      <c r="T218" s="31">
        <v>2024.0</v>
      </c>
      <c r="U218" s="31">
        <v>3.0</v>
      </c>
      <c r="V218" s="31"/>
      <c r="W218" s="31"/>
      <c r="X218" s="32" t="s">
        <v>1375</v>
      </c>
      <c r="Y218" s="16" t="s">
        <v>275</v>
      </c>
      <c r="Z218" s="16"/>
      <c r="AA218" s="32" t="s">
        <v>1375</v>
      </c>
      <c r="AB218" s="16"/>
      <c r="AC218" s="33" t="s">
        <v>1376</v>
      </c>
      <c r="AD218" s="16"/>
      <c r="AE218" s="16"/>
      <c r="AF218" s="16"/>
      <c r="AG218" s="16"/>
      <c r="AH218" s="16"/>
      <c r="AI218" s="16"/>
      <c r="AJ218" s="16"/>
      <c r="AK218" s="16"/>
      <c r="AL218" s="16"/>
    </row>
    <row r="219">
      <c r="A219" s="16"/>
      <c r="B219" s="16"/>
      <c r="C219" s="16"/>
      <c r="D219" s="4" t="b">
        <v>1</v>
      </c>
      <c r="E219" s="2" t="s">
        <v>1373</v>
      </c>
      <c r="G219" s="2" t="b">
        <v>0</v>
      </c>
      <c r="H219" s="2" t="b">
        <v>0</v>
      </c>
      <c r="J219" s="16" t="s">
        <v>1377</v>
      </c>
      <c r="K219" s="2" t="s">
        <v>1137</v>
      </c>
      <c r="L219" s="16" t="s">
        <v>1143</v>
      </c>
      <c r="M219" s="16" t="s">
        <v>235</v>
      </c>
      <c r="N219" s="16" t="s">
        <v>76</v>
      </c>
      <c r="O219" s="2" t="s">
        <v>77</v>
      </c>
      <c r="P219" s="31"/>
      <c r="Q219" s="31">
        <v>150.0</v>
      </c>
      <c r="R219" s="16"/>
      <c r="S219" s="2"/>
      <c r="T219" s="31">
        <v>2024.0</v>
      </c>
      <c r="U219" s="31">
        <v>3.0</v>
      </c>
      <c r="V219" s="31"/>
      <c r="W219" s="31"/>
      <c r="X219" s="32" t="s">
        <v>1375</v>
      </c>
      <c r="Y219" s="16" t="s">
        <v>275</v>
      </c>
      <c r="Z219" s="16"/>
      <c r="AA219" s="32" t="s">
        <v>1375</v>
      </c>
      <c r="AB219" s="16"/>
      <c r="AC219" s="32" t="s">
        <v>1376</v>
      </c>
      <c r="AD219" s="16"/>
      <c r="AE219" s="16"/>
      <c r="AF219" s="16"/>
      <c r="AG219" s="16"/>
      <c r="AH219" s="16"/>
      <c r="AI219" s="16"/>
      <c r="AJ219" s="16"/>
      <c r="AK219" s="16"/>
      <c r="AL219" s="16"/>
    </row>
    <row r="220">
      <c r="A220" s="16"/>
      <c r="B220" s="16"/>
      <c r="C220" s="16"/>
      <c r="D220" s="4" t="b">
        <v>1</v>
      </c>
      <c r="E220" s="2" t="s">
        <v>741</v>
      </c>
      <c r="G220" s="2" t="b">
        <v>0</v>
      </c>
      <c r="H220" s="2" t="b">
        <v>0</v>
      </c>
      <c r="J220" s="16" t="s">
        <v>1378</v>
      </c>
      <c r="K220" s="2" t="s">
        <v>1137</v>
      </c>
      <c r="L220" s="16" t="s">
        <v>1379</v>
      </c>
      <c r="M220" s="16" t="s">
        <v>235</v>
      </c>
      <c r="N220" s="16" t="s">
        <v>76</v>
      </c>
      <c r="O220" s="2" t="s">
        <v>77</v>
      </c>
      <c r="P220" s="16"/>
      <c r="Q220" s="4">
        <v>310.0</v>
      </c>
      <c r="R220" s="16"/>
      <c r="S220" s="2"/>
      <c r="T220" s="31">
        <v>2024.0</v>
      </c>
      <c r="U220" s="31">
        <v>4.0</v>
      </c>
      <c r="V220" s="31"/>
      <c r="W220" s="31"/>
      <c r="X220" s="32" t="s">
        <v>1380</v>
      </c>
      <c r="Y220" s="16" t="s">
        <v>275</v>
      </c>
      <c r="Z220" s="16"/>
      <c r="AA220" s="32" t="s">
        <v>1380</v>
      </c>
      <c r="AB220" s="16"/>
      <c r="AC220" s="33" t="s">
        <v>1380</v>
      </c>
      <c r="AD220" s="16"/>
      <c r="AE220" s="16"/>
      <c r="AF220" s="16"/>
      <c r="AG220" s="16"/>
      <c r="AH220" s="16"/>
      <c r="AI220" s="16"/>
      <c r="AJ220" s="16"/>
      <c r="AK220" s="16"/>
      <c r="AL220" s="16"/>
    </row>
    <row r="221">
      <c r="A221" s="35"/>
      <c r="B221" s="35"/>
      <c r="C221" s="35"/>
      <c r="D221" s="13" t="b">
        <v>1</v>
      </c>
      <c r="E221" s="12" t="s">
        <v>741</v>
      </c>
      <c r="F221" s="11"/>
      <c r="G221" s="12" t="b">
        <v>0</v>
      </c>
      <c r="H221" s="11"/>
      <c r="I221" s="11"/>
      <c r="J221" s="35" t="s">
        <v>1381</v>
      </c>
      <c r="K221" s="12" t="s">
        <v>1137</v>
      </c>
      <c r="L221" s="35" t="s">
        <v>1382</v>
      </c>
      <c r="M221" s="35" t="s">
        <v>1383</v>
      </c>
      <c r="N221" s="35" t="s">
        <v>76</v>
      </c>
      <c r="O221" s="13" t="s">
        <v>77</v>
      </c>
      <c r="P221" s="36"/>
      <c r="Q221" s="36">
        <v>20.0</v>
      </c>
      <c r="R221" s="35"/>
      <c r="S221" s="12">
        <v>0.047</v>
      </c>
      <c r="T221" s="36">
        <v>2000.0</v>
      </c>
      <c r="U221" s="36">
        <v>2.0</v>
      </c>
      <c r="V221" s="36"/>
      <c r="W221" s="36"/>
      <c r="X221" s="37" t="s">
        <v>1384</v>
      </c>
      <c r="Y221" s="37" t="s">
        <v>1385</v>
      </c>
      <c r="Z221" s="35"/>
      <c r="AA221" s="37" t="s">
        <v>1384</v>
      </c>
      <c r="AB221" s="35"/>
      <c r="AC221" s="37" t="s">
        <v>1386</v>
      </c>
      <c r="AD221" s="35"/>
      <c r="AE221" s="35"/>
      <c r="AF221" s="35"/>
      <c r="AG221" s="35"/>
      <c r="AH221" s="35"/>
      <c r="AI221" s="35"/>
      <c r="AJ221" s="35"/>
      <c r="AK221" s="35"/>
      <c r="AL221" s="35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</row>
    <row r="222">
      <c r="A222" s="35"/>
      <c r="B222" s="35"/>
      <c r="C222" s="35"/>
      <c r="D222" s="13" t="b">
        <v>1</v>
      </c>
      <c r="E222" s="12" t="s">
        <v>741</v>
      </c>
      <c r="F222" s="11"/>
      <c r="G222" s="12" t="b">
        <v>0</v>
      </c>
      <c r="H222" s="12"/>
      <c r="I222" s="11"/>
      <c r="J222" s="9" t="s">
        <v>1387</v>
      </c>
      <c r="K222" s="12" t="s">
        <v>1137</v>
      </c>
      <c r="L222" s="35" t="s">
        <v>1382</v>
      </c>
      <c r="M222" s="35" t="s">
        <v>1383</v>
      </c>
      <c r="N222" s="35" t="s">
        <v>76</v>
      </c>
      <c r="O222" s="13" t="s">
        <v>77</v>
      </c>
      <c r="P222" s="35"/>
      <c r="Q222" s="13">
        <v>40.0</v>
      </c>
      <c r="R222" s="35"/>
      <c r="S222" s="12">
        <v>0.028</v>
      </c>
      <c r="T222" s="36">
        <v>2004.0</v>
      </c>
      <c r="U222" s="36">
        <v>2.0</v>
      </c>
      <c r="V222" s="36"/>
      <c r="W222" s="36"/>
      <c r="X222" s="37" t="s">
        <v>1388</v>
      </c>
      <c r="Y222" s="37" t="s">
        <v>1389</v>
      </c>
      <c r="Z222" s="35"/>
      <c r="AA222" s="37" t="s">
        <v>1388</v>
      </c>
      <c r="AB222" s="35"/>
      <c r="AC222" s="37" t="s">
        <v>1390</v>
      </c>
      <c r="AD222" s="35"/>
      <c r="AE222" s="35"/>
      <c r="AF222" s="35"/>
      <c r="AG222" s="35"/>
      <c r="AH222" s="35"/>
      <c r="AI222" s="35"/>
      <c r="AJ222" s="35"/>
      <c r="AK222" s="35"/>
      <c r="AL222" s="35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</row>
    <row r="223">
      <c r="A223" s="35"/>
      <c r="B223" s="35"/>
      <c r="C223" s="35"/>
      <c r="D223" s="13" t="b">
        <v>1</v>
      </c>
      <c r="E223" s="12" t="s">
        <v>1391</v>
      </c>
      <c r="F223" s="11"/>
      <c r="G223" s="13" t="b">
        <v>0</v>
      </c>
      <c r="H223" s="11"/>
      <c r="I223" s="11"/>
      <c r="J223" s="35" t="s">
        <v>1392</v>
      </c>
      <c r="K223" s="12" t="s">
        <v>1137</v>
      </c>
      <c r="L223" s="35" t="s">
        <v>1382</v>
      </c>
      <c r="M223" s="35" t="s">
        <v>1383</v>
      </c>
      <c r="N223" s="35" t="s">
        <v>76</v>
      </c>
      <c r="O223" s="13" t="s">
        <v>77</v>
      </c>
      <c r="P223" s="36"/>
      <c r="Q223" s="36">
        <v>28.0</v>
      </c>
      <c r="R223" s="35"/>
      <c r="S223" s="12">
        <v>0.0097</v>
      </c>
      <c r="T223" s="36">
        <v>2011.0</v>
      </c>
      <c r="U223" s="36">
        <v>2.0</v>
      </c>
      <c r="V223" s="36"/>
      <c r="W223" s="36"/>
      <c r="X223" s="37" t="s">
        <v>1393</v>
      </c>
      <c r="Y223" s="37" t="s">
        <v>1394</v>
      </c>
      <c r="Z223" s="35"/>
      <c r="AA223" s="37" t="s">
        <v>1393</v>
      </c>
      <c r="AB223" s="35"/>
      <c r="AC223" s="72" t="s">
        <v>1393</v>
      </c>
      <c r="AD223" s="35"/>
      <c r="AE223" s="35"/>
      <c r="AF223" s="35"/>
      <c r="AG223" s="35"/>
      <c r="AH223" s="35"/>
      <c r="AI223" s="35"/>
      <c r="AJ223" s="35"/>
      <c r="AK223" s="35"/>
      <c r="AL223" s="35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</row>
    <row r="224">
      <c r="A224" s="35"/>
      <c r="B224" s="35"/>
      <c r="C224" s="35"/>
      <c r="D224" s="13" t="b">
        <v>1</v>
      </c>
      <c r="E224" s="12" t="s">
        <v>1395</v>
      </c>
      <c r="F224" s="11"/>
      <c r="G224" s="11"/>
      <c r="H224" s="11"/>
      <c r="I224" s="11"/>
      <c r="J224" s="35" t="s">
        <v>1396</v>
      </c>
      <c r="K224" s="12" t="s">
        <v>1137</v>
      </c>
      <c r="L224" s="35" t="s">
        <v>1382</v>
      </c>
      <c r="M224" s="35" t="s">
        <v>1383</v>
      </c>
      <c r="N224" s="35" t="s">
        <v>76</v>
      </c>
      <c r="O224" s="13" t="s">
        <v>77</v>
      </c>
      <c r="P224" s="36"/>
      <c r="Q224" s="36">
        <v>45.0</v>
      </c>
      <c r="R224" s="35"/>
      <c r="S224" s="12">
        <v>0.411</v>
      </c>
      <c r="T224" s="36">
        <v>2013.0</v>
      </c>
      <c r="U224" s="36">
        <v>2.0</v>
      </c>
      <c r="V224" s="36"/>
      <c r="W224" s="36"/>
      <c r="X224" s="37" t="s">
        <v>1397</v>
      </c>
      <c r="Y224" s="37" t="s">
        <v>1398</v>
      </c>
      <c r="Z224" s="35"/>
      <c r="AA224" s="37" t="s">
        <v>1397</v>
      </c>
      <c r="AB224" s="35"/>
      <c r="AC224" s="72" t="s">
        <v>1397</v>
      </c>
      <c r="AD224" s="35"/>
      <c r="AE224" s="72" t="s">
        <v>1399</v>
      </c>
      <c r="AF224" s="35"/>
      <c r="AG224" s="35"/>
      <c r="AH224" s="35"/>
      <c r="AI224" s="35"/>
      <c r="AJ224" s="35"/>
      <c r="AK224" s="35"/>
      <c r="AL224" s="35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</row>
    <row r="225">
      <c r="A225" s="35"/>
      <c r="B225" s="35"/>
      <c r="C225" s="35"/>
      <c r="D225" s="13" t="b">
        <v>1</v>
      </c>
      <c r="E225" s="12" t="s">
        <v>1400</v>
      </c>
      <c r="F225" s="11"/>
      <c r="G225" s="11"/>
      <c r="H225" s="11"/>
      <c r="I225" s="11"/>
      <c r="J225" s="35" t="s">
        <v>1401</v>
      </c>
      <c r="K225" s="12" t="s">
        <v>1137</v>
      </c>
      <c r="L225" s="35" t="s">
        <v>1382</v>
      </c>
      <c r="M225" s="35" t="s">
        <v>1383</v>
      </c>
      <c r="N225" s="35" t="s">
        <v>34</v>
      </c>
      <c r="O225" s="13" t="s">
        <v>167</v>
      </c>
      <c r="P225" s="36"/>
      <c r="Q225" s="36">
        <v>36.0</v>
      </c>
      <c r="R225" s="35"/>
      <c r="S225" s="12">
        <v>0.252</v>
      </c>
      <c r="T225" s="36">
        <v>2013.0</v>
      </c>
      <c r="U225" s="36">
        <v>2.0</v>
      </c>
      <c r="V225" s="36"/>
      <c r="W225" s="36"/>
      <c r="X225" s="37" t="s">
        <v>1397</v>
      </c>
      <c r="Y225" s="37" t="s">
        <v>1402</v>
      </c>
      <c r="Z225" s="35"/>
      <c r="AA225" s="37" t="s">
        <v>1397</v>
      </c>
      <c r="AB225" s="35"/>
      <c r="AC225" s="37" t="s">
        <v>1397</v>
      </c>
      <c r="AD225" s="35"/>
      <c r="AE225" s="35"/>
      <c r="AF225" s="35"/>
      <c r="AG225" s="35"/>
      <c r="AH225" s="35"/>
      <c r="AI225" s="35"/>
      <c r="AJ225" s="35"/>
      <c r="AK225" s="35"/>
      <c r="AL225" s="35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</row>
    <row r="226">
      <c r="A226" s="73"/>
      <c r="B226" s="73"/>
      <c r="C226" s="73"/>
      <c r="D226" s="73" t="b">
        <v>0</v>
      </c>
      <c r="E226" s="74"/>
      <c r="F226" s="74"/>
      <c r="G226" s="74"/>
      <c r="H226" s="75" t="b">
        <v>1</v>
      </c>
      <c r="I226" s="76" t="s">
        <v>1403</v>
      </c>
      <c r="J226" s="73" t="s">
        <v>1404</v>
      </c>
      <c r="K226" s="76" t="s">
        <v>1137</v>
      </c>
      <c r="L226" s="73" t="s">
        <v>1382</v>
      </c>
      <c r="M226" s="73" t="s">
        <v>1405</v>
      </c>
      <c r="N226" s="73" t="s">
        <v>34</v>
      </c>
      <c r="O226" s="75" t="s">
        <v>167</v>
      </c>
      <c r="P226" s="77"/>
      <c r="Q226" s="77">
        <v>648.0</v>
      </c>
      <c r="R226" s="73"/>
      <c r="S226" s="76">
        <v>0.11</v>
      </c>
      <c r="T226" s="77">
        <v>2013.0</v>
      </c>
      <c r="U226" s="77">
        <v>2.0</v>
      </c>
      <c r="V226" s="77"/>
      <c r="W226" s="77"/>
      <c r="X226" s="78" t="s">
        <v>1406</v>
      </c>
      <c r="Y226" s="78" t="s">
        <v>1407</v>
      </c>
      <c r="Z226" s="73"/>
      <c r="AA226" s="78" t="s">
        <v>1406</v>
      </c>
      <c r="AB226" s="73"/>
      <c r="AC226" s="78" t="s">
        <v>1406</v>
      </c>
      <c r="AD226" s="73"/>
      <c r="AE226" s="73"/>
      <c r="AF226" s="73"/>
      <c r="AG226" s="73"/>
      <c r="AH226" s="73"/>
      <c r="AI226" s="73"/>
      <c r="AJ226" s="73"/>
      <c r="AK226" s="73"/>
      <c r="AL226" s="73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</row>
    <row r="227">
      <c r="A227" s="16"/>
      <c r="B227" s="16"/>
      <c r="C227" s="16"/>
      <c r="D227" s="4" t="b">
        <v>1</v>
      </c>
      <c r="E227" s="2" t="s">
        <v>1408</v>
      </c>
      <c r="J227" s="16" t="s">
        <v>1409</v>
      </c>
      <c r="K227" s="2" t="s">
        <v>1137</v>
      </c>
      <c r="L227" s="16"/>
      <c r="M227" s="16" t="s">
        <v>1410</v>
      </c>
      <c r="N227" s="16" t="s">
        <v>76</v>
      </c>
      <c r="O227" s="4" t="s">
        <v>77</v>
      </c>
      <c r="P227" s="16"/>
      <c r="Q227" s="4">
        <v>40.0</v>
      </c>
      <c r="R227" s="16"/>
      <c r="S227" s="2" t="s">
        <v>1411</v>
      </c>
      <c r="T227" s="31">
        <v>2013.0</v>
      </c>
      <c r="U227" s="31">
        <v>2.0</v>
      </c>
      <c r="V227" s="31"/>
      <c r="W227" s="31"/>
      <c r="X227" s="32" t="s">
        <v>1412</v>
      </c>
      <c r="Y227" s="32" t="s">
        <v>1413</v>
      </c>
      <c r="Z227" s="16"/>
      <c r="AA227" s="32" t="s">
        <v>1412</v>
      </c>
      <c r="AB227" s="16"/>
      <c r="AC227" s="32" t="s">
        <v>1414</v>
      </c>
      <c r="AD227" s="16"/>
      <c r="AE227" s="4" t="s">
        <v>1415</v>
      </c>
      <c r="AF227" s="16"/>
      <c r="AG227" s="16"/>
      <c r="AH227" s="16"/>
      <c r="AI227" s="16"/>
      <c r="AJ227" s="16"/>
      <c r="AK227" s="16"/>
      <c r="AL227" s="16"/>
    </row>
    <row r="228">
      <c r="A228" s="35"/>
      <c r="B228" s="35"/>
      <c r="C228" s="35"/>
      <c r="D228" s="13" t="b">
        <v>1</v>
      </c>
      <c r="E228" s="12" t="s">
        <v>1416</v>
      </c>
      <c r="F228" s="11"/>
      <c r="G228" s="11"/>
      <c r="H228" s="11"/>
      <c r="I228" s="11"/>
      <c r="J228" s="35" t="s">
        <v>1417</v>
      </c>
      <c r="K228" s="12" t="s">
        <v>1137</v>
      </c>
      <c r="L228" s="35" t="s">
        <v>1382</v>
      </c>
      <c r="M228" s="35" t="s">
        <v>1405</v>
      </c>
      <c r="N228" s="35" t="s">
        <v>34</v>
      </c>
      <c r="O228" s="13" t="s">
        <v>167</v>
      </c>
      <c r="P228" s="36"/>
      <c r="Q228" s="36">
        <v>1748.0</v>
      </c>
      <c r="R228" s="35"/>
      <c r="S228" s="12">
        <v>0.406</v>
      </c>
      <c r="T228" s="36">
        <v>2013.0</v>
      </c>
      <c r="U228" s="36">
        <v>2.0</v>
      </c>
      <c r="V228" s="36"/>
      <c r="W228" s="36"/>
      <c r="X228" s="37" t="s">
        <v>1418</v>
      </c>
      <c r="Y228" s="37" t="s">
        <v>1419</v>
      </c>
      <c r="Z228" s="35"/>
      <c r="AA228" s="37" t="s">
        <v>1418</v>
      </c>
      <c r="AB228" s="35"/>
      <c r="AC228" s="37" t="s">
        <v>1418</v>
      </c>
      <c r="AD228" s="35"/>
      <c r="AE228" s="79" t="s">
        <v>1418</v>
      </c>
      <c r="AF228" s="35"/>
      <c r="AG228" s="35"/>
      <c r="AH228" s="35"/>
      <c r="AI228" s="35"/>
      <c r="AJ228" s="35"/>
      <c r="AK228" s="35"/>
      <c r="AL228" s="35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</row>
    <row r="229">
      <c r="A229" s="16"/>
      <c r="B229" s="16"/>
      <c r="C229" s="16"/>
      <c r="D229" s="4" t="b">
        <v>1</v>
      </c>
      <c r="E229" s="2" t="s">
        <v>1420</v>
      </c>
      <c r="J229" s="16" t="s">
        <v>1421</v>
      </c>
      <c r="K229" s="2" t="s">
        <v>1137</v>
      </c>
      <c r="L229" s="16" t="s">
        <v>1382</v>
      </c>
      <c r="M229" s="16" t="s">
        <v>1422</v>
      </c>
      <c r="N229" s="16" t="s">
        <v>76</v>
      </c>
      <c r="O229" s="4" t="s">
        <v>77</v>
      </c>
      <c r="P229" s="31"/>
      <c r="Q229" s="31">
        <v>840.0</v>
      </c>
      <c r="R229" s="16"/>
      <c r="S229" s="2">
        <v>0.044</v>
      </c>
      <c r="T229" s="31">
        <v>2013.0</v>
      </c>
      <c r="U229" s="31">
        <v>2.0</v>
      </c>
      <c r="V229" s="31"/>
      <c r="W229" s="31"/>
      <c r="X229" s="32" t="s">
        <v>1423</v>
      </c>
      <c r="Y229" s="32" t="s">
        <v>1423</v>
      </c>
      <c r="Z229" s="16"/>
      <c r="AA229" s="32" t="s">
        <v>1423</v>
      </c>
      <c r="AB229" s="16"/>
      <c r="AC229" s="32" t="s">
        <v>1423</v>
      </c>
      <c r="AD229" s="16"/>
      <c r="AE229" s="34" t="s">
        <v>1424</v>
      </c>
      <c r="AF229" s="16"/>
      <c r="AG229" s="16"/>
      <c r="AH229" s="16"/>
      <c r="AI229" s="16"/>
      <c r="AJ229" s="16"/>
      <c r="AK229" s="16"/>
      <c r="AL229" s="16"/>
    </row>
    <row r="230">
      <c r="A230" s="35"/>
      <c r="B230" s="35"/>
      <c r="C230" s="35"/>
      <c r="D230" s="13" t="b">
        <v>1</v>
      </c>
      <c r="E230" s="12" t="s">
        <v>1425</v>
      </c>
      <c r="F230" s="11"/>
      <c r="G230" s="11"/>
      <c r="H230" s="11"/>
      <c r="I230" s="11"/>
      <c r="J230" s="35" t="s">
        <v>1426</v>
      </c>
      <c r="K230" s="12" t="s">
        <v>1137</v>
      </c>
      <c r="L230" s="35" t="s">
        <v>1427</v>
      </c>
      <c r="M230" s="35" t="s">
        <v>1405</v>
      </c>
      <c r="N230" s="35" t="s">
        <v>76</v>
      </c>
      <c r="O230" s="13" t="s">
        <v>77</v>
      </c>
      <c r="P230" s="36"/>
      <c r="Q230" s="36">
        <v>101.0</v>
      </c>
      <c r="R230" s="35"/>
      <c r="S230" s="12">
        <v>0.053</v>
      </c>
      <c r="T230" s="36">
        <v>2014.0</v>
      </c>
      <c r="U230" s="36">
        <v>2.0</v>
      </c>
      <c r="V230" s="36"/>
      <c r="W230" s="36"/>
      <c r="X230" s="37" t="s">
        <v>1428</v>
      </c>
      <c r="Y230" s="37" t="s">
        <v>1429</v>
      </c>
      <c r="Z230" s="35"/>
      <c r="AA230" s="37" t="s">
        <v>1428</v>
      </c>
      <c r="AB230" s="35"/>
      <c r="AC230" s="37" t="s">
        <v>1430</v>
      </c>
      <c r="AD230" s="35"/>
      <c r="AE230" s="35"/>
      <c r="AF230" s="35"/>
      <c r="AG230" s="35"/>
      <c r="AH230" s="35"/>
      <c r="AI230" s="35"/>
      <c r="AJ230" s="35"/>
      <c r="AK230" s="35"/>
      <c r="AL230" s="35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</row>
    <row r="231">
      <c r="A231" s="16"/>
      <c r="B231" s="16"/>
      <c r="C231" s="16"/>
      <c r="D231" s="4" t="b">
        <v>1</v>
      </c>
      <c r="E231" s="2" t="s">
        <v>1431</v>
      </c>
      <c r="J231" s="16" t="s">
        <v>1432</v>
      </c>
      <c r="K231" s="2" t="s">
        <v>1137</v>
      </c>
      <c r="L231" s="16"/>
      <c r="M231" s="16" t="s">
        <v>1410</v>
      </c>
      <c r="N231" s="16" t="s">
        <v>34</v>
      </c>
      <c r="O231" s="4" t="s">
        <v>167</v>
      </c>
      <c r="P231" s="31"/>
      <c r="Q231" s="31">
        <v>216.0</v>
      </c>
      <c r="R231" s="16"/>
      <c r="S231" s="2"/>
      <c r="T231" s="31">
        <v>2014.0</v>
      </c>
      <c r="U231" s="31">
        <v>2.0</v>
      </c>
      <c r="V231" s="31"/>
      <c r="W231" s="31"/>
      <c r="X231" s="32" t="s">
        <v>1433</v>
      </c>
      <c r="Y231" s="32" t="s">
        <v>1434</v>
      </c>
      <c r="Z231" s="16"/>
      <c r="AA231" s="32" t="s">
        <v>1433</v>
      </c>
      <c r="AB231" s="16"/>
      <c r="AC231" s="16" t="s">
        <v>1435</v>
      </c>
      <c r="AD231" s="16"/>
      <c r="AE231" s="16"/>
      <c r="AF231" s="16"/>
      <c r="AG231" s="16"/>
      <c r="AH231" s="16"/>
      <c r="AI231" s="16"/>
      <c r="AJ231" s="16"/>
      <c r="AK231" s="16"/>
      <c r="AL231" s="16"/>
    </row>
    <row r="232">
      <c r="A232" s="24"/>
      <c r="B232" s="24"/>
      <c r="C232" s="24"/>
      <c r="D232" s="25" t="b">
        <v>0</v>
      </c>
      <c r="E232" s="22"/>
      <c r="F232" s="22"/>
      <c r="G232" s="25" t="b">
        <v>1</v>
      </c>
      <c r="H232" s="22"/>
      <c r="I232" s="22"/>
      <c r="J232" s="24" t="s">
        <v>1436</v>
      </c>
      <c r="K232" s="23" t="s">
        <v>1137</v>
      </c>
      <c r="L232" s="24" t="s">
        <v>1382</v>
      </c>
      <c r="M232" s="24" t="s">
        <v>1410</v>
      </c>
      <c r="N232" s="24" t="s">
        <v>34</v>
      </c>
      <c r="O232" s="25" t="s">
        <v>167</v>
      </c>
      <c r="P232" s="29"/>
      <c r="Q232" s="29">
        <v>601.0</v>
      </c>
      <c r="R232" s="24"/>
      <c r="S232" s="23"/>
      <c r="T232" s="29">
        <v>2016.0</v>
      </c>
      <c r="U232" s="29">
        <v>2.0</v>
      </c>
      <c r="V232" s="29"/>
      <c r="W232" s="29"/>
      <c r="X232" s="24" t="s">
        <v>275</v>
      </c>
      <c r="Y232" s="24" t="s">
        <v>275</v>
      </c>
      <c r="Z232" s="24"/>
      <c r="AA232" s="24" t="s">
        <v>275</v>
      </c>
      <c r="AB232" s="24"/>
      <c r="AC232" s="24" t="s">
        <v>275</v>
      </c>
      <c r="AD232" s="24"/>
      <c r="AE232" s="24"/>
      <c r="AF232" s="24"/>
      <c r="AG232" s="24"/>
      <c r="AH232" s="24"/>
      <c r="AI232" s="24"/>
      <c r="AJ232" s="24"/>
      <c r="AK232" s="24"/>
      <c r="AL232" s="24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</row>
    <row r="233">
      <c r="A233" s="35"/>
      <c r="B233" s="35"/>
      <c r="C233" s="35"/>
      <c r="D233" s="13" t="b">
        <v>1</v>
      </c>
      <c r="E233" s="12" t="s">
        <v>1437</v>
      </c>
      <c r="F233" s="11"/>
      <c r="G233" s="11"/>
      <c r="H233" s="11"/>
      <c r="I233" s="11"/>
      <c r="J233" s="35" t="s">
        <v>1438</v>
      </c>
      <c r="K233" s="12" t="s">
        <v>1137</v>
      </c>
      <c r="L233" s="35" t="s">
        <v>1382</v>
      </c>
      <c r="M233" s="35" t="s">
        <v>1405</v>
      </c>
      <c r="N233" s="35" t="s">
        <v>34</v>
      </c>
      <c r="O233" s="13" t="s">
        <v>167</v>
      </c>
      <c r="P233" s="36"/>
      <c r="Q233" s="36">
        <v>35126.0</v>
      </c>
      <c r="R233" s="13">
        <v>35126.0</v>
      </c>
      <c r="S233" s="12" t="s">
        <v>1411</v>
      </c>
      <c r="T233" s="36">
        <v>2016.0</v>
      </c>
      <c r="U233" s="36">
        <v>2.0</v>
      </c>
      <c r="V233" s="36"/>
      <c r="W233" s="36"/>
      <c r="X233" s="37" t="s">
        <v>1439</v>
      </c>
      <c r="Y233" s="37" t="s">
        <v>1440</v>
      </c>
      <c r="Z233" s="35"/>
      <c r="AA233" s="37" t="s">
        <v>1439</v>
      </c>
      <c r="AB233" s="35"/>
      <c r="AC233" s="37" t="s">
        <v>1439</v>
      </c>
      <c r="AD233" s="35"/>
      <c r="AE233" s="35"/>
      <c r="AF233" s="35"/>
      <c r="AG233" s="35"/>
      <c r="AH233" s="35"/>
      <c r="AI233" s="35"/>
      <c r="AJ233" s="35"/>
      <c r="AK233" s="35"/>
      <c r="AL233" s="35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</row>
    <row r="234">
      <c r="A234" s="24"/>
      <c r="B234" s="24"/>
      <c r="C234" s="24"/>
      <c r="D234" s="24" t="b">
        <v>0</v>
      </c>
      <c r="E234" s="23"/>
      <c r="F234" s="22"/>
      <c r="G234" s="25" t="b">
        <v>1</v>
      </c>
      <c r="H234" s="22"/>
      <c r="I234" s="22"/>
      <c r="J234" s="24" t="s">
        <v>1441</v>
      </c>
      <c r="K234" s="23" t="s">
        <v>1137</v>
      </c>
      <c r="L234" s="24" t="s">
        <v>1382</v>
      </c>
      <c r="M234" s="25" t="s">
        <v>1442</v>
      </c>
      <c r="N234" s="24" t="s">
        <v>76</v>
      </c>
      <c r="O234" s="25" t="s">
        <v>77</v>
      </c>
      <c r="P234" s="29"/>
      <c r="Q234" s="29">
        <v>112.0</v>
      </c>
      <c r="R234" s="24"/>
      <c r="S234" s="23"/>
      <c r="T234" s="29">
        <v>2017.0</v>
      </c>
      <c r="U234" s="29">
        <v>2.0</v>
      </c>
      <c r="V234" s="29"/>
      <c r="W234" s="29"/>
      <c r="X234" s="30" t="s">
        <v>1443</v>
      </c>
      <c r="Y234" s="30" t="s">
        <v>1444</v>
      </c>
      <c r="Z234" s="24"/>
      <c r="AA234" s="30" t="s">
        <v>1443</v>
      </c>
      <c r="AB234" s="24"/>
      <c r="AC234" s="30" t="s">
        <v>1443</v>
      </c>
      <c r="AD234" s="24"/>
      <c r="AE234" s="24"/>
      <c r="AF234" s="24"/>
      <c r="AG234" s="24"/>
      <c r="AH234" s="24"/>
      <c r="AI234" s="24"/>
      <c r="AJ234" s="24"/>
      <c r="AK234" s="24"/>
      <c r="AL234" s="24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</row>
    <row r="235">
      <c r="A235" s="35"/>
      <c r="B235" s="35"/>
      <c r="C235" s="35"/>
      <c r="D235" s="35" t="b">
        <v>0</v>
      </c>
      <c r="E235" s="11"/>
      <c r="F235" s="11"/>
      <c r="G235" s="13" t="b">
        <v>1</v>
      </c>
      <c r="H235" s="11"/>
      <c r="I235" s="11"/>
      <c r="J235" s="35" t="s">
        <v>1445</v>
      </c>
      <c r="K235" s="12" t="s">
        <v>1137</v>
      </c>
      <c r="L235" s="35" t="s">
        <v>1382</v>
      </c>
      <c r="M235" s="35" t="s">
        <v>1383</v>
      </c>
      <c r="N235" s="35" t="s">
        <v>76</v>
      </c>
      <c r="O235" s="13" t="s">
        <v>77</v>
      </c>
      <c r="P235" s="36"/>
      <c r="Q235" s="36">
        <v>22.0</v>
      </c>
      <c r="R235" s="35"/>
      <c r="S235" s="12">
        <v>0.022</v>
      </c>
      <c r="T235" s="36">
        <v>2018.0</v>
      </c>
      <c r="U235" s="36">
        <v>2.0</v>
      </c>
      <c r="V235" s="36"/>
      <c r="W235" s="36"/>
      <c r="X235" s="37" t="s">
        <v>1446</v>
      </c>
      <c r="Y235" s="37" t="s">
        <v>1447</v>
      </c>
      <c r="Z235" s="35"/>
      <c r="AA235" s="37" t="s">
        <v>1446</v>
      </c>
      <c r="AB235" s="35"/>
      <c r="AC235" s="37" t="s">
        <v>1446</v>
      </c>
      <c r="AD235" s="35"/>
      <c r="AE235" s="35"/>
      <c r="AF235" s="35"/>
      <c r="AG235" s="35"/>
      <c r="AH235" s="35"/>
      <c r="AI235" s="35"/>
      <c r="AJ235" s="35"/>
      <c r="AK235" s="35"/>
      <c r="AL235" s="35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</row>
    <row r="236">
      <c r="A236" s="80"/>
      <c r="B236" s="80"/>
      <c r="C236" s="80"/>
      <c r="D236" s="4" t="b">
        <v>1</v>
      </c>
      <c r="E236" s="2" t="s">
        <v>1448</v>
      </c>
      <c r="J236" s="80">
        <v>43009.0</v>
      </c>
      <c r="K236" s="2" t="s">
        <v>1137</v>
      </c>
      <c r="L236" s="16" t="s">
        <v>1382</v>
      </c>
      <c r="M236" s="4" t="s">
        <v>1442</v>
      </c>
      <c r="N236" s="16" t="s">
        <v>34</v>
      </c>
      <c r="O236" s="4" t="s">
        <v>167</v>
      </c>
      <c r="P236" s="31"/>
      <c r="Q236" s="31">
        <v>35126.0</v>
      </c>
      <c r="R236" s="4">
        <v>35126.0</v>
      </c>
      <c r="S236" s="2">
        <v>2.1</v>
      </c>
      <c r="T236" s="31">
        <v>2018.0</v>
      </c>
      <c r="U236" s="31">
        <v>2.0</v>
      </c>
      <c r="V236" s="31"/>
      <c r="W236" s="31"/>
      <c r="X236" s="32" t="s">
        <v>1449</v>
      </c>
      <c r="Y236" s="32" t="s">
        <v>1450</v>
      </c>
      <c r="Z236" s="16"/>
      <c r="AA236" s="32" t="s">
        <v>1449</v>
      </c>
      <c r="AB236" s="16"/>
      <c r="AC236" s="32" t="s">
        <v>1450</v>
      </c>
      <c r="AD236" s="16"/>
      <c r="AE236" s="16"/>
      <c r="AF236" s="16"/>
      <c r="AG236" s="16"/>
      <c r="AH236" s="16"/>
      <c r="AI236" s="16"/>
      <c r="AJ236" s="16"/>
      <c r="AK236" s="16"/>
      <c r="AL236" s="16"/>
    </row>
    <row r="237">
      <c r="A237" s="16"/>
      <c r="B237" s="16"/>
      <c r="C237" s="16"/>
      <c r="D237" s="4" t="b">
        <v>1</v>
      </c>
      <c r="E237" s="2" t="s">
        <v>1451</v>
      </c>
      <c r="J237" s="16" t="s">
        <v>1452</v>
      </c>
      <c r="K237" s="2" t="s">
        <v>1137</v>
      </c>
      <c r="L237" s="16" t="s">
        <v>1382</v>
      </c>
      <c r="M237" s="16" t="s">
        <v>1405</v>
      </c>
      <c r="N237" s="16" t="s">
        <v>34</v>
      </c>
      <c r="O237" s="4" t="s">
        <v>167</v>
      </c>
      <c r="P237" s="31"/>
      <c r="Q237" s="31">
        <v>1369.0</v>
      </c>
      <c r="R237" s="16"/>
      <c r="S237" s="2">
        <v>0.001</v>
      </c>
      <c r="T237" s="31">
        <v>2018.0</v>
      </c>
      <c r="U237" s="31">
        <v>2.0</v>
      </c>
      <c r="V237" s="31"/>
      <c r="W237" s="31"/>
      <c r="X237" s="32" t="s">
        <v>1453</v>
      </c>
      <c r="Y237" s="16" t="s">
        <v>275</v>
      </c>
      <c r="Z237" s="16"/>
      <c r="AA237" s="32" t="s">
        <v>1453</v>
      </c>
      <c r="AB237" s="16"/>
      <c r="AC237" s="32" t="s">
        <v>1453</v>
      </c>
      <c r="AD237" s="16"/>
      <c r="AE237" s="16"/>
      <c r="AF237" s="16"/>
      <c r="AG237" s="16"/>
      <c r="AH237" s="16"/>
      <c r="AI237" s="16"/>
      <c r="AJ237" s="16"/>
      <c r="AK237" s="16"/>
      <c r="AL237" s="16"/>
    </row>
    <row r="238">
      <c r="A238" s="16"/>
      <c r="B238" s="16"/>
      <c r="C238" s="16"/>
      <c r="D238" s="4" t="b">
        <v>1</v>
      </c>
      <c r="E238" s="2" t="s">
        <v>1454</v>
      </c>
      <c r="J238" s="16" t="s">
        <v>1455</v>
      </c>
      <c r="K238" s="2" t="s">
        <v>1137</v>
      </c>
      <c r="L238" s="16" t="s">
        <v>1382</v>
      </c>
      <c r="M238" s="16" t="s">
        <v>1383</v>
      </c>
      <c r="N238" s="16" t="s">
        <v>76</v>
      </c>
      <c r="O238" s="4" t="s">
        <v>77</v>
      </c>
      <c r="P238" s="31"/>
      <c r="Q238" s="31">
        <v>81.0</v>
      </c>
      <c r="R238" s="16"/>
      <c r="S238" s="2"/>
      <c r="T238" s="31">
        <v>2018.0</v>
      </c>
      <c r="U238" s="31">
        <v>2.0</v>
      </c>
      <c r="V238" s="31"/>
      <c r="W238" s="31"/>
      <c r="X238" s="32" t="s">
        <v>1456</v>
      </c>
      <c r="Y238" s="32" t="s">
        <v>1457</v>
      </c>
      <c r="Z238" s="16"/>
      <c r="AA238" s="32" t="s">
        <v>1456</v>
      </c>
      <c r="AB238" s="16"/>
      <c r="AC238" s="32" t="s">
        <v>1458</v>
      </c>
      <c r="AD238" s="16"/>
      <c r="AE238" s="16"/>
      <c r="AF238" s="16"/>
      <c r="AG238" s="16"/>
      <c r="AH238" s="16"/>
      <c r="AI238" s="16"/>
      <c r="AJ238" s="16"/>
      <c r="AK238" s="16"/>
      <c r="AL238" s="16"/>
    </row>
    <row r="239">
      <c r="A239" s="24"/>
      <c r="B239" s="24"/>
      <c r="C239" s="24"/>
      <c r="D239" s="24" t="b">
        <v>0</v>
      </c>
      <c r="E239" s="22"/>
      <c r="F239" s="22"/>
      <c r="G239" s="22"/>
      <c r="H239" s="25" t="b">
        <v>1</v>
      </c>
      <c r="I239" s="23" t="s">
        <v>1459</v>
      </c>
      <c r="J239" s="24" t="s">
        <v>1460</v>
      </c>
      <c r="K239" s="23" t="s">
        <v>1137</v>
      </c>
      <c r="L239" s="24"/>
      <c r="M239" s="24" t="s">
        <v>1383</v>
      </c>
      <c r="N239" s="24" t="s">
        <v>76</v>
      </c>
      <c r="O239" s="25" t="s">
        <v>77</v>
      </c>
      <c r="P239" s="24"/>
      <c r="Q239" s="25">
        <v>1200.0</v>
      </c>
      <c r="R239" s="24"/>
      <c r="S239" s="23" t="s">
        <v>1411</v>
      </c>
      <c r="T239" s="29">
        <v>2019.0</v>
      </c>
      <c r="U239" s="29">
        <v>2.0</v>
      </c>
      <c r="V239" s="29"/>
      <c r="W239" s="29"/>
      <c r="X239" s="30" t="s">
        <v>1461</v>
      </c>
      <c r="Y239" s="30" t="s">
        <v>1462</v>
      </c>
      <c r="Z239" s="24"/>
      <c r="AA239" s="30" t="s">
        <v>1461</v>
      </c>
      <c r="AB239" s="24"/>
      <c r="AC239" s="30" t="s">
        <v>1462</v>
      </c>
      <c r="AD239" s="24"/>
      <c r="AE239" s="24"/>
      <c r="AF239" s="24"/>
      <c r="AG239" s="24"/>
      <c r="AH239" s="24"/>
      <c r="AI239" s="24"/>
      <c r="AJ239" s="24"/>
      <c r="AK239" s="24"/>
      <c r="AL239" s="24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</row>
    <row r="240">
      <c r="A240" s="24"/>
      <c r="B240" s="24"/>
      <c r="C240" s="24"/>
      <c r="D240" s="24" t="b">
        <v>0</v>
      </c>
      <c r="E240" s="22"/>
      <c r="F240" s="22"/>
      <c r="G240" s="22"/>
      <c r="H240" s="25" t="b">
        <v>1</v>
      </c>
      <c r="I240" s="23" t="s">
        <v>1459</v>
      </c>
      <c r="J240" s="24" t="s">
        <v>1463</v>
      </c>
      <c r="K240" s="23" t="s">
        <v>1137</v>
      </c>
      <c r="L240" s="24" t="s">
        <v>1143</v>
      </c>
      <c r="M240" s="24" t="s">
        <v>1405</v>
      </c>
      <c r="N240" s="24" t="s">
        <v>34</v>
      </c>
      <c r="O240" s="25" t="s">
        <v>167</v>
      </c>
      <c r="P240" s="29"/>
      <c r="Q240" s="29">
        <v>11760.0</v>
      </c>
      <c r="R240" s="24"/>
      <c r="S240" s="23">
        <v>1.1</v>
      </c>
      <c r="T240" s="29">
        <v>2019.0</v>
      </c>
      <c r="U240" s="29">
        <v>2.0</v>
      </c>
      <c r="V240" s="29"/>
      <c r="W240" s="29"/>
      <c r="X240" s="30" t="s">
        <v>1464</v>
      </c>
      <c r="Y240" s="30" t="s">
        <v>1465</v>
      </c>
      <c r="Z240" s="24"/>
      <c r="AA240" s="30" t="s">
        <v>1464</v>
      </c>
      <c r="AB240" s="24"/>
      <c r="AC240" s="30" t="s">
        <v>1464</v>
      </c>
      <c r="AD240" s="24"/>
      <c r="AE240" s="24"/>
      <c r="AF240" s="24"/>
      <c r="AG240" s="24"/>
      <c r="AH240" s="24"/>
      <c r="AI240" s="24"/>
      <c r="AJ240" s="24"/>
      <c r="AK240" s="24"/>
      <c r="AL240" s="24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</row>
    <row r="241">
      <c r="A241" s="16"/>
      <c r="B241" s="16"/>
      <c r="C241" s="16"/>
      <c r="D241" s="4" t="b">
        <v>1</v>
      </c>
      <c r="E241" s="2" t="s">
        <v>1466</v>
      </c>
      <c r="J241" s="16" t="s">
        <v>1467</v>
      </c>
      <c r="K241" s="2" t="s">
        <v>1137</v>
      </c>
      <c r="L241" s="16" t="s">
        <v>1382</v>
      </c>
      <c r="M241" s="16" t="s">
        <v>1405</v>
      </c>
      <c r="N241" s="16" t="s">
        <v>34</v>
      </c>
      <c r="O241" s="4" t="s">
        <v>167</v>
      </c>
      <c r="P241" s="31"/>
      <c r="Q241" s="31">
        <v>705.0</v>
      </c>
      <c r="R241" s="16"/>
      <c r="S241" s="2">
        <v>0.026</v>
      </c>
      <c r="T241" s="31">
        <v>2019.0</v>
      </c>
      <c r="U241" s="31">
        <v>2.0</v>
      </c>
      <c r="V241" s="31"/>
      <c r="W241" s="31"/>
      <c r="X241" s="32" t="s">
        <v>1468</v>
      </c>
      <c r="Y241" s="32" t="s">
        <v>1469</v>
      </c>
      <c r="Z241" s="16"/>
      <c r="AA241" s="32" t="s">
        <v>1468</v>
      </c>
      <c r="AB241" s="16"/>
      <c r="AC241" s="32" t="s">
        <v>1468</v>
      </c>
      <c r="AD241" s="16"/>
      <c r="AE241" s="16"/>
      <c r="AF241" s="16"/>
      <c r="AG241" s="16"/>
      <c r="AH241" s="16"/>
      <c r="AI241" s="16"/>
      <c r="AJ241" s="16"/>
      <c r="AK241" s="16"/>
      <c r="AL241" s="16"/>
    </row>
    <row r="242">
      <c r="A242" s="35"/>
      <c r="B242" s="35"/>
      <c r="C242" s="35"/>
      <c r="D242" s="13" t="b">
        <v>1</v>
      </c>
      <c r="E242" s="12" t="s">
        <v>1470</v>
      </c>
      <c r="F242" s="11"/>
      <c r="G242" s="11"/>
      <c r="H242" s="13"/>
      <c r="I242" s="11"/>
      <c r="J242" s="35" t="s">
        <v>1471</v>
      </c>
      <c r="K242" s="12" t="s">
        <v>1137</v>
      </c>
      <c r="L242" s="35" t="s">
        <v>1405</v>
      </c>
      <c r="M242" s="35" t="s">
        <v>1472</v>
      </c>
      <c r="N242" s="35" t="s">
        <v>76</v>
      </c>
      <c r="O242" s="13" t="s">
        <v>77</v>
      </c>
      <c r="P242" s="36"/>
      <c r="Q242" s="36">
        <v>229.0</v>
      </c>
      <c r="R242" s="35"/>
      <c r="S242" s="12">
        <v>0.201</v>
      </c>
      <c r="T242" s="36">
        <v>2020.0</v>
      </c>
      <c r="U242" s="36">
        <v>2.0</v>
      </c>
      <c r="V242" s="36"/>
      <c r="W242" s="36"/>
      <c r="X242" s="37" t="s">
        <v>1473</v>
      </c>
      <c r="Y242" s="37" t="s">
        <v>1474</v>
      </c>
      <c r="Z242" s="35"/>
      <c r="AA242" s="37" t="s">
        <v>1473</v>
      </c>
      <c r="AB242" s="35"/>
      <c r="AC242" s="37" t="s">
        <v>1473</v>
      </c>
      <c r="AD242" s="35"/>
      <c r="AE242" s="35"/>
      <c r="AF242" s="35"/>
      <c r="AG242" s="35"/>
      <c r="AH242" s="35"/>
      <c r="AI242" s="35"/>
      <c r="AJ242" s="35"/>
      <c r="AK242" s="35"/>
      <c r="AL242" s="35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</row>
    <row r="243">
      <c r="A243" s="35"/>
      <c r="B243" s="35"/>
      <c r="C243" s="35"/>
      <c r="D243" s="35" t="b">
        <v>0</v>
      </c>
      <c r="E243" s="11"/>
      <c r="F243" s="11"/>
      <c r="G243" s="11"/>
      <c r="H243" s="13" t="b">
        <v>1</v>
      </c>
      <c r="I243" s="12" t="s">
        <v>1459</v>
      </c>
      <c r="J243" s="35" t="s">
        <v>1475</v>
      </c>
      <c r="K243" s="12" t="s">
        <v>1137</v>
      </c>
      <c r="L243" s="35" t="s">
        <v>1382</v>
      </c>
      <c r="M243" s="35" t="s">
        <v>1383</v>
      </c>
      <c r="N243" s="35" t="s">
        <v>76</v>
      </c>
      <c r="O243" s="13" t="s">
        <v>77</v>
      </c>
      <c r="P243" s="35"/>
      <c r="Q243" s="35"/>
      <c r="R243" s="13">
        <v>300.0</v>
      </c>
      <c r="S243" s="12" t="s">
        <v>1411</v>
      </c>
      <c r="T243" s="36">
        <v>2020.0</v>
      </c>
      <c r="U243" s="36">
        <v>2.0</v>
      </c>
      <c r="V243" s="36"/>
      <c r="W243" s="36"/>
      <c r="X243" s="37" t="s">
        <v>1476</v>
      </c>
      <c r="Y243" s="37" t="s">
        <v>1477</v>
      </c>
      <c r="Z243" s="35"/>
      <c r="AA243" s="37" t="s">
        <v>1476</v>
      </c>
      <c r="AB243" s="35"/>
      <c r="AC243" s="37" t="s">
        <v>1476</v>
      </c>
      <c r="AD243" s="35"/>
      <c r="AE243" s="35"/>
      <c r="AF243" s="35"/>
      <c r="AG243" s="35"/>
      <c r="AH243" s="35"/>
      <c r="AI243" s="35"/>
      <c r="AJ243" s="35"/>
      <c r="AK243" s="35"/>
      <c r="AL243" s="35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</row>
    <row r="244">
      <c r="A244" s="35"/>
      <c r="B244" s="35"/>
      <c r="C244" s="35"/>
      <c r="D244" s="13" t="b">
        <v>1</v>
      </c>
      <c r="E244" s="12" t="s">
        <v>1478</v>
      </c>
      <c r="F244" s="11"/>
      <c r="G244" s="11"/>
      <c r="H244" s="11"/>
      <c r="I244" s="11"/>
      <c r="J244" s="35" t="s">
        <v>1479</v>
      </c>
      <c r="K244" s="12" t="s">
        <v>1137</v>
      </c>
      <c r="L244" s="35" t="s">
        <v>1382</v>
      </c>
      <c r="M244" s="35" t="s">
        <v>1405</v>
      </c>
      <c r="N244" s="13" t="s">
        <v>85</v>
      </c>
      <c r="O244" s="12" t="s">
        <v>101</v>
      </c>
      <c r="P244" s="36"/>
      <c r="Q244" s="36">
        <v>485.0</v>
      </c>
      <c r="R244" s="35"/>
      <c r="S244" s="12"/>
      <c r="T244" s="36">
        <v>2020.0</v>
      </c>
      <c r="U244" s="36">
        <v>2.0</v>
      </c>
      <c r="V244" s="36"/>
      <c r="W244" s="36"/>
      <c r="X244" s="37" t="s">
        <v>1480</v>
      </c>
      <c r="Y244" s="37" t="s">
        <v>1481</v>
      </c>
      <c r="Z244" s="35"/>
      <c r="AA244" s="37" t="s">
        <v>1480</v>
      </c>
      <c r="AB244" s="35"/>
      <c r="AC244" s="37" t="s">
        <v>1480</v>
      </c>
      <c r="AD244" s="35"/>
      <c r="AE244" s="35"/>
      <c r="AF244" s="35"/>
      <c r="AG244" s="35"/>
      <c r="AH244" s="35"/>
      <c r="AI244" s="35"/>
      <c r="AJ244" s="35"/>
      <c r="AK244" s="35"/>
      <c r="AL244" s="35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</row>
    <row r="245">
      <c r="A245" s="24"/>
      <c r="B245" s="24"/>
      <c r="C245" s="24"/>
      <c r="D245" s="24" t="b">
        <v>0</v>
      </c>
      <c r="E245" s="22"/>
      <c r="F245" s="22"/>
      <c r="G245" s="25" t="b">
        <v>1</v>
      </c>
      <c r="H245" s="22"/>
      <c r="I245" s="22"/>
      <c r="J245" s="24" t="s">
        <v>1482</v>
      </c>
      <c r="K245" s="23" t="s">
        <v>1137</v>
      </c>
      <c r="L245" s="24" t="s">
        <v>1382</v>
      </c>
      <c r="M245" s="24" t="s">
        <v>1383</v>
      </c>
      <c r="N245" s="24" t="s">
        <v>76</v>
      </c>
      <c r="O245" s="25" t="s">
        <v>77</v>
      </c>
      <c r="P245" s="29"/>
      <c r="Q245" s="29">
        <v>49.0</v>
      </c>
      <c r="R245" s="24"/>
      <c r="S245" s="23">
        <v>0.026</v>
      </c>
      <c r="T245" s="29">
        <v>2020.0</v>
      </c>
      <c r="U245" s="29">
        <v>2.0</v>
      </c>
      <c r="V245" s="29"/>
      <c r="W245" s="29"/>
      <c r="X245" s="30" t="s">
        <v>1483</v>
      </c>
      <c r="Y245" s="30" t="s">
        <v>1484</v>
      </c>
      <c r="Z245" s="24"/>
      <c r="AA245" s="30" t="s">
        <v>1483</v>
      </c>
      <c r="AB245" s="24"/>
      <c r="AC245" s="30" t="s">
        <v>1483</v>
      </c>
      <c r="AD245" s="24"/>
      <c r="AE245" s="24"/>
      <c r="AF245" s="24"/>
      <c r="AG245" s="24"/>
      <c r="AH245" s="24"/>
      <c r="AI245" s="24"/>
      <c r="AJ245" s="24"/>
      <c r="AK245" s="24"/>
      <c r="AL245" s="24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</row>
    <row r="246">
      <c r="A246" s="16"/>
      <c r="B246" s="16"/>
      <c r="C246" s="16"/>
      <c r="D246" s="4" t="b">
        <v>1</v>
      </c>
      <c r="E246" s="2" t="s">
        <v>1485</v>
      </c>
      <c r="J246" s="16" t="s">
        <v>1486</v>
      </c>
      <c r="K246" s="2" t="s">
        <v>1137</v>
      </c>
      <c r="L246" s="16" t="s">
        <v>1382</v>
      </c>
      <c r="M246" s="16" t="s">
        <v>1405</v>
      </c>
      <c r="N246" s="16" t="s">
        <v>34</v>
      </c>
      <c r="O246" s="4" t="s">
        <v>167</v>
      </c>
      <c r="P246" s="31"/>
      <c r="Q246" s="31">
        <v>1000.0</v>
      </c>
      <c r="R246" s="16"/>
      <c r="S246" s="2">
        <v>1.26</v>
      </c>
      <c r="T246" s="31">
        <v>2021.0</v>
      </c>
      <c r="U246" s="31">
        <v>2.0</v>
      </c>
      <c r="V246" s="31"/>
      <c r="W246" s="31"/>
      <c r="X246" s="32" t="s">
        <v>1487</v>
      </c>
      <c r="Y246" s="32" t="s">
        <v>1488</v>
      </c>
      <c r="Z246" s="16"/>
      <c r="AA246" s="32" t="s">
        <v>1487</v>
      </c>
      <c r="AB246" s="16"/>
      <c r="AC246" s="32" t="s">
        <v>1487</v>
      </c>
      <c r="AD246" s="16"/>
      <c r="AE246" s="16"/>
      <c r="AF246" s="16"/>
      <c r="AG246" s="16"/>
      <c r="AH246" s="16"/>
      <c r="AI246" s="16"/>
      <c r="AJ246" s="16"/>
      <c r="AK246" s="16"/>
      <c r="AL246" s="16"/>
    </row>
    <row r="247">
      <c r="A247" s="16"/>
      <c r="B247" s="16"/>
      <c r="C247" s="16"/>
      <c r="D247" s="4" t="b">
        <v>1</v>
      </c>
      <c r="E247" s="2" t="s">
        <v>1489</v>
      </c>
      <c r="J247" s="16" t="s">
        <v>1490</v>
      </c>
      <c r="K247" s="2" t="s">
        <v>1137</v>
      </c>
      <c r="L247" s="16"/>
      <c r="M247" s="16" t="s">
        <v>1383</v>
      </c>
      <c r="N247" s="16" t="s">
        <v>34</v>
      </c>
      <c r="O247" s="4" t="s">
        <v>167</v>
      </c>
      <c r="P247" s="16"/>
      <c r="Q247" s="4">
        <v>5000.0</v>
      </c>
      <c r="R247" s="16"/>
      <c r="S247" s="2">
        <v>2.16</v>
      </c>
      <c r="T247" s="31">
        <v>2021.0</v>
      </c>
      <c r="U247" s="31">
        <v>2.0</v>
      </c>
      <c r="V247" s="31"/>
      <c r="W247" s="31"/>
      <c r="X247" s="32" t="s">
        <v>1491</v>
      </c>
      <c r="Y247" s="16" t="s">
        <v>275</v>
      </c>
      <c r="Z247" s="16"/>
      <c r="AA247" s="32" t="s">
        <v>1491</v>
      </c>
      <c r="AB247" s="16"/>
      <c r="AC247" s="32" t="s">
        <v>1491</v>
      </c>
      <c r="AD247" s="16"/>
      <c r="AE247" s="16"/>
      <c r="AF247" s="16"/>
      <c r="AG247" s="16"/>
      <c r="AH247" s="16"/>
      <c r="AI247" s="16"/>
      <c r="AJ247" s="16"/>
      <c r="AK247" s="16"/>
      <c r="AL247" s="16"/>
    </row>
    <row r="248">
      <c r="A248" s="16"/>
      <c r="B248" s="16"/>
      <c r="C248" s="16"/>
      <c r="D248" s="4" t="b">
        <v>1</v>
      </c>
      <c r="E248" s="2" t="s">
        <v>1492</v>
      </c>
      <c r="J248" s="16" t="s">
        <v>1493</v>
      </c>
      <c r="K248" s="2" t="s">
        <v>1137</v>
      </c>
      <c r="L248" s="16" t="s">
        <v>1382</v>
      </c>
      <c r="M248" s="16" t="s">
        <v>1405</v>
      </c>
      <c r="N248" s="16" t="s">
        <v>34</v>
      </c>
      <c r="O248" s="4" t="s">
        <v>167</v>
      </c>
      <c r="P248" s="31"/>
      <c r="Q248" s="31">
        <v>35127.0</v>
      </c>
      <c r="R248" s="16"/>
      <c r="S248" s="2"/>
      <c r="T248" s="31">
        <v>2021.0</v>
      </c>
      <c r="U248" s="31">
        <v>2.0</v>
      </c>
      <c r="V248" s="31"/>
      <c r="W248" s="31"/>
      <c r="X248" s="32" t="s">
        <v>1494</v>
      </c>
      <c r="Y248" s="16" t="s">
        <v>275</v>
      </c>
      <c r="Z248" s="16"/>
      <c r="AA248" s="32" t="s">
        <v>1494</v>
      </c>
      <c r="AB248" s="16"/>
      <c r="AC248" s="32" t="s">
        <v>1494</v>
      </c>
      <c r="AD248" s="16"/>
      <c r="AE248" s="16"/>
      <c r="AF248" s="16"/>
      <c r="AG248" s="16"/>
      <c r="AH248" s="16"/>
      <c r="AI248" s="16"/>
      <c r="AJ248" s="16"/>
      <c r="AK248" s="16"/>
      <c r="AL248" s="16"/>
    </row>
    <row r="249">
      <c r="A249" s="35"/>
      <c r="B249" s="35"/>
      <c r="C249" s="35"/>
      <c r="D249" s="13" t="b">
        <v>1</v>
      </c>
      <c r="E249" s="12" t="s">
        <v>1495</v>
      </c>
      <c r="F249" s="11"/>
      <c r="G249" s="11"/>
      <c r="H249" s="11"/>
      <c r="I249" s="11"/>
      <c r="J249" s="35" t="s">
        <v>1496</v>
      </c>
      <c r="K249" s="12" t="s">
        <v>1137</v>
      </c>
      <c r="L249" s="35"/>
      <c r="M249" s="35" t="s">
        <v>1497</v>
      </c>
      <c r="N249" s="35" t="s">
        <v>34</v>
      </c>
      <c r="O249" s="13" t="s">
        <v>167</v>
      </c>
      <c r="P249" s="35"/>
      <c r="Q249" s="13">
        <v>14800.0</v>
      </c>
      <c r="R249" s="35"/>
      <c r="S249" s="12">
        <v>1.02</v>
      </c>
      <c r="T249" s="36">
        <v>2021.0</v>
      </c>
      <c r="U249" s="36">
        <v>2.0</v>
      </c>
      <c r="V249" s="36"/>
      <c r="W249" s="36"/>
      <c r="X249" s="37" t="s">
        <v>1498</v>
      </c>
      <c r="Y249" s="35" t="s">
        <v>275</v>
      </c>
      <c r="Z249" s="35"/>
      <c r="AA249" s="37" t="s">
        <v>1498</v>
      </c>
      <c r="AB249" s="35"/>
      <c r="AC249" s="37" t="s">
        <v>1498</v>
      </c>
      <c r="AD249" s="35"/>
      <c r="AE249" s="35"/>
      <c r="AF249" s="35"/>
      <c r="AG249" s="35"/>
      <c r="AH249" s="35"/>
      <c r="AI249" s="35"/>
      <c r="AJ249" s="35"/>
      <c r="AK249" s="35"/>
      <c r="AL249" s="35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</row>
    <row r="250">
      <c r="A250" s="16"/>
      <c r="B250" s="16"/>
      <c r="C250" s="16"/>
      <c r="D250" s="4" t="b">
        <v>1</v>
      </c>
      <c r="E250" s="2" t="s">
        <v>1499</v>
      </c>
      <c r="J250" s="16" t="s">
        <v>1500</v>
      </c>
      <c r="K250" s="2" t="s">
        <v>1137</v>
      </c>
      <c r="L250" s="16"/>
      <c r="M250" s="16" t="s">
        <v>1501</v>
      </c>
      <c r="N250" s="16" t="s">
        <v>34</v>
      </c>
      <c r="O250" s="4" t="s">
        <v>167</v>
      </c>
      <c r="P250" s="31"/>
      <c r="Q250" s="31">
        <v>634.0</v>
      </c>
      <c r="R250" s="16"/>
      <c r="S250" s="2">
        <v>1.1</v>
      </c>
      <c r="T250" s="31">
        <v>2021.0</v>
      </c>
      <c r="U250" s="31">
        <v>2.0</v>
      </c>
      <c r="V250" s="31"/>
      <c r="W250" s="31"/>
      <c r="X250" s="32" t="s">
        <v>1502</v>
      </c>
      <c r="Y250" s="32" t="s">
        <v>1503</v>
      </c>
      <c r="Z250" s="16"/>
      <c r="AA250" s="32" t="s">
        <v>1502</v>
      </c>
      <c r="AB250" s="16"/>
      <c r="AC250" s="32" t="s">
        <v>1504</v>
      </c>
      <c r="AD250" s="16"/>
      <c r="AE250" s="16"/>
      <c r="AF250" s="16"/>
      <c r="AG250" s="16"/>
      <c r="AH250" s="16"/>
      <c r="AI250" s="16"/>
      <c r="AJ250" s="16"/>
      <c r="AK250" s="16"/>
      <c r="AL250" s="16"/>
    </row>
    <row r="251">
      <c r="A251" s="16"/>
      <c r="B251" s="16"/>
      <c r="C251" s="16"/>
      <c r="D251" s="4" t="b">
        <v>1</v>
      </c>
      <c r="E251" s="2" t="s">
        <v>1505</v>
      </c>
      <c r="J251" s="16" t="s">
        <v>1506</v>
      </c>
      <c r="K251" s="2" t="s">
        <v>1137</v>
      </c>
      <c r="L251" s="16" t="s">
        <v>1382</v>
      </c>
      <c r="M251" s="16" t="s">
        <v>1405</v>
      </c>
      <c r="N251" s="16" t="s">
        <v>34</v>
      </c>
      <c r="O251" s="4" t="s">
        <v>167</v>
      </c>
      <c r="P251" s="16"/>
      <c r="Q251" s="16" t="s">
        <v>221</v>
      </c>
      <c r="R251" s="16"/>
      <c r="S251" s="2"/>
      <c r="T251" s="31">
        <v>2022.0</v>
      </c>
      <c r="U251" s="31">
        <v>2.0</v>
      </c>
      <c r="V251" s="31"/>
      <c r="W251" s="31"/>
      <c r="X251" s="32" t="s">
        <v>1507</v>
      </c>
      <c r="Y251" s="32" t="s">
        <v>1508</v>
      </c>
      <c r="Z251" s="16"/>
      <c r="AA251" s="32" t="s">
        <v>1507</v>
      </c>
      <c r="AB251" s="16"/>
      <c r="AC251" s="32" t="s">
        <v>1507</v>
      </c>
      <c r="AD251" s="16"/>
      <c r="AE251" s="16"/>
      <c r="AF251" s="16"/>
      <c r="AG251" s="16"/>
      <c r="AH251" s="16"/>
      <c r="AI251" s="16"/>
      <c r="AJ251" s="16"/>
      <c r="AK251" s="16"/>
      <c r="AL251" s="16"/>
    </row>
    <row r="252">
      <c r="A252" s="16"/>
      <c r="B252" s="16"/>
      <c r="C252" s="16"/>
      <c r="D252" s="4" t="b">
        <v>1</v>
      </c>
      <c r="E252" s="2" t="s">
        <v>1509</v>
      </c>
      <c r="G252" s="4"/>
      <c r="J252" s="16" t="s">
        <v>1510</v>
      </c>
      <c r="K252" s="2" t="s">
        <v>1137</v>
      </c>
      <c r="L252" s="16" t="s">
        <v>1382</v>
      </c>
      <c r="M252" s="16" t="s">
        <v>1405</v>
      </c>
      <c r="N252" s="16" t="s">
        <v>34</v>
      </c>
      <c r="O252" s="4" t="s">
        <v>167</v>
      </c>
      <c r="P252" s="16"/>
      <c r="Q252" s="4">
        <v>800.0</v>
      </c>
      <c r="R252" s="16"/>
      <c r="S252" s="2"/>
      <c r="T252" s="31">
        <v>2022.0</v>
      </c>
      <c r="U252" s="31">
        <v>2.0</v>
      </c>
      <c r="V252" s="31"/>
      <c r="W252" s="31"/>
      <c r="X252" s="32" t="s">
        <v>1511</v>
      </c>
      <c r="Y252" s="32" t="s">
        <v>1512</v>
      </c>
      <c r="Z252" s="16"/>
      <c r="AA252" s="32" t="s">
        <v>1511</v>
      </c>
      <c r="AB252" s="16"/>
      <c r="AC252" s="32" t="s">
        <v>1513</v>
      </c>
      <c r="AD252" s="16"/>
      <c r="AE252" s="16"/>
      <c r="AF252" s="16"/>
      <c r="AG252" s="16"/>
      <c r="AH252" s="16"/>
      <c r="AI252" s="16"/>
      <c r="AJ252" s="16"/>
      <c r="AK252" s="16"/>
      <c r="AL252" s="16"/>
    </row>
    <row r="253">
      <c r="A253" s="16"/>
      <c r="B253" s="16"/>
      <c r="C253" s="16"/>
      <c r="D253" s="4" t="b">
        <v>1</v>
      </c>
      <c r="E253" s="2" t="s">
        <v>1514</v>
      </c>
      <c r="J253" s="16" t="s">
        <v>1515</v>
      </c>
      <c r="K253" s="2" t="s">
        <v>1137</v>
      </c>
      <c r="L253" s="16" t="s">
        <v>1516</v>
      </c>
      <c r="M253" s="4" t="s">
        <v>1442</v>
      </c>
      <c r="N253" s="16" t="s">
        <v>34</v>
      </c>
      <c r="O253" s="4" t="s">
        <v>167</v>
      </c>
      <c r="P253" s="31"/>
      <c r="Q253" s="31">
        <v>24000.0</v>
      </c>
      <c r="R253" s="4">
        <v>24000.0</v>
      </c>
      <c r="S253" s="2">
        <v>2.1</v>
      </c>
      <c r="T253" s="31">
        <v>2022.0</v>
      </c>
      <c r="U253" s="31">
        <v>2.0</v>
      </c>
      <c r="V253" s="31"/>
      <c r="W253" s="31"/>
      <c r="X253" s="32" t="s">
        <v>1517</v>
      </c>
      <c r="Y253" s="32" t="s">
        <v>1518</v>
      </c>
      <c r="Z253" s="16"/>
      <c r="AA253" s="32" t="s">
        <v>1517</v>
      </c>
      <c r="AB253" s="16"/>
      <c r="AC253" s="32" t="s">
        <v>1517</v>
      </c>
      <c r="AD253" s="16"/>
      <c r="AE253" s="16"/>
      <c r="AF253" s="16"/>
      <c r="AG253" s="16"/>
      <c r="AH253" s="16"/>
      <c r="AI253" s="16"/>
      <c r="AJ253" s="16"/>
      <c r="AK253" s="16"/>
      <c r="AL253" s="16"/>
    </row>
    <row r="254">
      <c r="A254" s="16"/>
      <c r="B254" s="16"/>
      <c r="C254" s="16"/>
      <c r="D254" s="4" t="b">
        <v>1</v>
      </c>
      <c r="E254" s="2" t="s">
        <v>1519</v>
      </c>
      <c r="J254" s="16" t="s">
        <v>1520</v>
      </c>
      <c r="K254" s="2" t="s">
        <v>1137</v>
      </c>
      <c r="L254" s="16" t="s">
        <v>1436</v>
      </c>
      <c r="M254" s="4" t="s">
        <v>1521</v>
      </c>
      <c r="N254" s="16" t="s">
        <v>76</v>
      </c>
      <c r="O254" s="4" t="s">
        <v>77</v>
      </c>
      <c r="P254" s="31"/>
      <c r="Q254" s="31">
        <v>46.0</v>
      </c>
      <c r="R254" s="16"/>
      <c r="S254" s="2"/>
      <c r="T254" s="31">
        <v>2022.0</v>
      </c>
      <c r="U254" s="31">
        <v>2.0</v>
      </c>
      <c r="V254" s="31"/>
      <c r="W254" s="31"/>
      <c r="X254" s="32" t="s">
        <v>1522</v>
      </c>
      <c r="Y254" s="32" t="s">
        <v>1523</v>
      </c>
      <c r="Z254" s="16"/>
      <c r="AA254" s="32" t="s">
        <v>1522</v>
      </c>
      <c r="AB254" s="16"/>
      <c r="AC254" s="32" t="s">
        <v>1522</v>
      </c>
      <c r="AD254" s="16"/>
      <c r="AE254" s="16"/>
      <c r="AF254" s="16"/>
      <c r="AG254" s="16"/>
      <c r="AH254" s="16"/>
      <c r="AI254" s="16"/>
      <c r="AJ254" s="16"/>
      <c r="AK254" s="16"/>
      <c r="AL254" s="16"/>
    </row>
    <row r="255">
      <c r="A255" s="16"/>
      <c r="B255" s="16"/>
      <c r="C255" s="16"/>
      <c r="D255" s="4" t="b">
        <v>1</v>
      </c>
      <c r="E255" s="2" t="s">
        <v>1524</v>
      </c>
      <c r="J255" s="16" t="s">
        <v>1525</v>
      </c>
      <c r="K255" s="2" t="s">
        <v>1137</v>
      </c>
      <c r="L255" s="16" t="s">
        <v>1382</v>
      </c>
      <c r="M255" s="16" t="s">
        <v>1410</v>
      </c>
      <c r="N255" s="16" t="s">
        <v>34</v>
      </c>
      <c r="O255" s="4" t="s">
        <v>167</v>
      </c>
      <c r="P255" s="31"/>
      <c r="Q255" s="31">
        <v>2451.0</v>
      </c>
      <c r="R255" s="16"/>
      <c r="S255" s="2">
        <v>2.02</v>
      </c>
      <c r="T255" s="31">
        <v>2022.0</v>
      </c>
      <c r="U255" s="31">
        <v>2.0</v>
      </c>
      <c r="V255" s="31"/>
      <c r="W255" s="31"/>
      <c r="X255" s="32" t="s">
        <v>1526</v>
      </c>
      <c r="Y255" s="32" t="s">
        <v>1527</v>
      </c>
      <c r="Z255" s="16"/>
      <c r="AA255" s="32" t="s">
        <v>1526</v>
      </c>
      <c r="AB255" s="16"/>
      <c r="AC255" s="32" t="s">
        <v>1528</v>
      </c>
      <c r="AD255" s="16"/>
      <c r="AE255" s="16"/>
      <c r="AF255" s="16"/>
      <c r="AG255" s="16"/>
      <c r="AH255" s="16"/>
      <c r="AI255" s="16"/>
      <c r="AJ255" s="16"/>
      <c r="AK255" s="16"/>
      <c r="AL255" s="16"/>
    </row>
    <row r="256">
      <c r="A256" s="35"/>
      <c r="B256" s="35"/>
      <c r="C256" s="35"/>
      <c r="D256" s="13" t="b">
        <v>1</v>
      </c>
      <c r="E256" s="12" t="s">
        <v>1529</v>
      </c>
      <c r="F256" s="11"/>
      <c r="G256" s="13"/>
      <c r="H256" s="11"/>
      <c r="I256" s="11"/>
      <c r="J256" s="35" t="s">
        <v>1530</v>
      </c>
      <c r="K256" s="12" t="s">
        <v>1137</v>
      </c>
      <c r="L256" s="35" t="s">
        <v>1436</v>
      </c>
      <c r="M256" s="35" t="s">
        <v>1531</v>
      </c>
      <c r="N256" s="35" t="s">
        <v>76</v>
      </c>
      <c r="O256" s="13" t="s">
        <v>77</v>
      </c>
      <c r="P256" s="36"/>
      <c r="Q256" s="36">
        <v>800.0</v>
      </c>
      <c r="R256" s="35"/>
      <c r="S256" s="12">
        <v>1.2</v>
      </c>
      <c r="T256" s="36">
        <v>2022.0</v>
      </c>
      <c r="U256" s="36">
        <v>2.0</v>
      </c>
      <c r="V256" s="36"/>
      <c r="W256" s="36"/>
      <c r="X256" s="37" t="s">
        <v>1532</v>
      </c>
      <c r="Y256" s="37" t="s">
        <v>1533</v>
      </c>
      <c r="Z256" s="35"/>
      <c r="AA256" s="37" t="s">
        <v>1532</v>
      </c>
      <c r="AB256" s="35"/>
      <c r="AC256" s="37" t="s">
        <v>1532</v>
      </c>
      <c r="AD256" s="35"/>
      <c r="AE256" s="35"/>
      <c r="AF256" s="35"/>
      <c r="AG256" s="35"/>
      <c r="AH256" s="35"/>
      <c r="AI256" s="35"/>
      <c r="AJ256" s="35"/>
      <c r="AK256" s="35"/>
      <c r="AL256" s="35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</row>
    <row r="257">
      <c r="A257" s="16"/>
      <c r="B257" s="16"/>
      <c r="C257" s="16"/>
      <c r="D257" s="4" t="b">
        <v>1</v>
      </c>
      <c r="E257" s="2" t="s">
        <v>1534</v>
      </c>
      <c r="J257" s="16" t="s">
        <v>1535</v>
      </c>
      <c r="K257" s="2" t="s">
        <v>1137</v>
      </c>
      <c r="L257" s="16" t="s">
        <v>1382</v>
      </c>
      <c r="M257" s="16" t="s">
        <v>1536</v>
      </c>
      <c r="N257" s="16" t="s">
        <v>34</v>
      </c>
      <c r="O257" s="4" t="s">
        <v>167</v>
      </c>
      <c r="P257" s="31"/>
      <c r="Q257" s="31">
        <v>412.0</v>
      </c>
      <c r="R257" s="16"/>
      <c r="S257" s="2">
        <v>3.2</v>
      </c>
      <c r="T257" s="31">
        <v>2022.0</v>
      </c>
      <c r="U257" s="31">
        <v>2.0</v>
      </c>
      <c r="V257" s="31"/>
      <c r="W257" s="31"/>
      <c r="X257" s="32" t="s">
        <v>1537</v>
      </c>
      <c r="Y257" s="32" t="s">
        <v>1538</v>
      </c>
      <c r="Z257" s="16"/>
      <c r="AA257" s="32" t="s">
        <v>1537</v>
      </c>
      <c r="AB257" s="16"/>
      <c r="AC257" s="32" t="s">
        <v>1537</v>
      </c>
      <c r="AD257" s="16"/>
      <c r="AE257" s="16"/>
      <c r="AF257" s="16"/>
      <c r="AG257" s="16"/>
      <c r="AH257" s="16"/>
      <c r="AI257" s="16"/>
      <c r="AJ257" s="16"/>
      <c r="AK257" s="16"/>
      <c r="AL257" s="16"/>
    </row>
    <row r="258">
      <c r="A258" s="16"/>
      <c r="B258" s="16"/>
      <c r="C258" s="16"/>
      <c r="D258" s="4" t="b">
        <v>1</v>
      </c>
      <c r="E258" s="2" t="s">
        <v>1539</v>
      </c>
      <c r="J258" s="16" t="s">
        <v>1540</v>
      </c>
      <c r="K258" s="2" t="s">
        <v>1137</v>
      </c>
      <c r="L258" s="16" t="s">
        <v>1382</v>
      </c>
      <c r="M258" s="16" t="s">
        <v>1383</v>
      </c>
      <c r="N258" s="16" t="s">
        <v>34</v>
      </c>
      <c r="O258" s="4" t="s">
        <v>167</v>
      </c>
      <c r="P258" s="16"/>
      <c r="Q258" s="4">
        <v>5000.0</v>
      </c>
      <c r="R258" s="16"/>
      <c r="S258" s="2"/>
      <c r="T258" s="31">
        <v>2023.0</v>
      </c>
      <c r="U258" s="31">
        <v>2.0</v>
      </c>
      <c r="V258" s="31"/>
      <c r="W258" s="31"/>
      <c r="X258" s="32" t="s">
        <v>1541</v>
      </c>
      <c r="Y258" s="16" t="s">
        <v>275</v>
      </c>
      <c r="Z258" s="16"/>
      <c r="AA258" s="32" t="s">
        <v>1541</v>
      </c>
      <c r="AB258" s="16"/>
      <c r="AC258" s="32" t="s">
        <v>1542</v>
      </c>
      <c r="AD258" s="16"/>
      <c r="AE258" s="16"/>
      <c r="AF258" s="16"/>
      <c r="AG258" s="16"/>
      <c r="AH258" s="16"/>
      <c r="AI258" s="16"/>
      <c r="AJ258" s="16"/>
      <c r="AK258" s="16"/>
      <c r="AL258" s="16"/>
    </row>
    <row r="259">
      <c r="A259" s="16"/>
      <c r="B259" s="16"/>
      <c r="C259" s="16"/>
      <c r="D259" s="4" t="b">
        <v>1</v>
      </c>
      <c r="E259" s="2" t="s">
        <v>1543</v>
      </c>
      <c r="J259" s="16" t="s">
        <v>1544</v>
      </c>
      <c r="K259" s="2" t="s">
        <v>1137</v>
      </c>
      <c r="L259" s="16" t="s">
        <v>1382</v>
      </c>
      <c r="M259" s="16" t="s">
        <v>1405</v>
      </c>
      <c r="N259" s="16" t="s">
        <v>34</v>
      </c>
      <c r="O259" s="4" t="s">
        <v>167</v>
      </c>
      <c r="P259" s="31"/>
      <c r="Q259" s="31">
        <v>101442.0</v>
      </c>
      <c r="R259" s="4">
        <v>101442.0</v>
      </c>
      <c r="S259" s="2"/>
      <c r="T259" s="31">
        <v>2023.0</v>
      </c>
      <c r="U259" s="31">
        <v>2.0</v>
      </c>
      <c r="V259" s="31"/>
      <c r="W259" s="31"/>
      <c r="X259" s="32" t="s">
        <v>1545</v>
      </c>
      <c r="Y259" s="32" t="s">
        <v>1546</v>
      </c>
      <c r="Z259" s="16"/>
      <c r="AA259" s="32" t="s">
        <v>1545</v>
      </c>
      <c r="AB259" s="16"/>
      <c r="AC259" s="32" t="s">
        <v>1545</v>
      </c>
      <c r="AD259" s="16"/>
      <c r="AE259" s="16"/>
      <c r="AF259" s="16"/>
      <c r="AG259" s="16"/>
      <c r="AH259" s="16"/>
      <c r="AI259" s="16"/>
      <c r="AJ259" s="16"/>
      <c r="AK259" s="16"/>
      <c r="AL259" s="16"/>
    </row>
    <row r="260">
      <c r="A260" s="16"/>
      <c r="B260" s="16"/>
      <c r="C260" s="16"/>
      <c r="D260" s="4" t="b">
        <v>1</v>
      </c>
      <c r="E260" s="2" t="s">
        <v>1547</v>
      </c>
      <c r="J260" s="16" t="s">
        <v>1548</v>
      </c>
      <c r="K260" s="2" t="s">
        <v>1137</v>
      </c>
      <c r="L260" s="16" t="s">
        <v>1382</v>
      </c>
      <c r="M260" s="16" t="s">
        <v>1383</v>
      </c>
      <c r="N260" s="16" t="s">
        <v>34</v>
      </c>
      <c r="O260" s="4" t="s">
        <v>167</v>
      </c>
      <c r="P260" s="16"/>
      <c r="Q260" s="4">
        <v>3200.0</v>
      </c>
      <c r="R260" s="16"/>
      <c r="S260" s="2"/>
      <c r="T260" s="31">
        <v>2023.0</v>
      </c>
      <c r="U260" s="31">
        <v>2.0</v>
      </c>
      <c r="V260" s="31"/>
      <c r="W260" s="31"/>
      <c r="X260" s="32" t="s">
        <v>1549</v>
      </c>
      <c r="Y260" s="32" t="s">
        <v>1550</v>
      </c>
      <c r="Z260" s="16"/>
      <c r="AA260" s="32" t="s">
        <v>1549</v>
      </c>
      <c r="AB260" s="16"/>
      <c r="AC260" s="32" t="s">
        <v>1551</v>
      </c>
      <c r="AD260" s="16"/>
      <c r="AE260" s="16"/>
      <c r="AF260" s="16"/>
      <c r="AG260" s="16"/>
      <c r="AH260" s="16"/>
      <c r="AI260" s="16"/>
      <c r="AJ260" s="16"/>
      <c r="AK260" s="16"/>
      <c r="AL260" s="16"/>
    </row>
    <row r="261">
      <c r="A261" s="16"/>
      <c r="B261" s="16"/>
      <c r="C261" s="16"/>
      <c r="D261" s="4" t="b">
        <v>1</v>
      </c>
      <c r="E261" s="2" t="s">
        <v>1552</v>
      </c>
      <c r="J261" s="16" t="s">
        <v>1553</v>
      </c>
      <c r="K261" s="2" t="s">
        <v>1137</v>
      </c>
      <c r="L261" s="16" t="s">
        <v>1382</v>
      </c>
      <c r="M261" s="16" t="s">
        <v>1531</v>
      </c>
      <c r="N261" s="16" t="s">
        <v>34</v>
      </c>
      <c r="O261" s="4" t="s">
        <v>167</v>
      </c>
      <c r="P261" s="31"/>
      <c r="Q261" s="31">
        <v>412.0</v>
      </c>
      <c r="R261" s="16"/>
      <c r="S261" s="2">
        <v>0.024</v>
      </c>
      <c r="T261" s="31">
        <v>2023.0</v>
      </c>
      <c r="U261" s="31">
        <v>2.0</v>
      </c>
      <c r="V261" s="31"/>
      <c r="W261" s="31"/>
      <c r="X261" s="32" t="s">
        <v>1554</v>
      </c>
      <c r="Y261" s="32" t="s">
        <v>1555</v>
      </c>
      <c r="Z261" s="16"/>
      <c r="AA261" s="32" t="s">
        <v>1554</v>
      </c>
      <c r="AB261" s="16"/>
      <c r="AC261" s="32" t="s">
        <v>1554</v>
      </c>
      <c r="AD261" s="16"/>
      <c r="AE261" s="16"/>
      <c r="AF261" s="16"/>
      <c r="AG261" s="16"/>
      <c r="AH261" s="16"/>
      <c r="AI261" s="16"/>
      <c r="AJ261" s="16"/>
      <c r="AK261" s="16"/>
      <c r="AL261" s="16"/>
    </row>
    <row r="262">
      <c r="A262" s="16"/>
      <c r="B262" s="16"/>
      <c r="C262" s="16"/>
      <c r="D262" s="4" t="b">
        <v>1</v>
      </c>
      <c r="E262" s="2" t="s">
        <v>1556</v>
      </c>
      <c r="J262" s="16" t="s">
        <v>1557</v>
      </c>
      <c r="K262" s="2" t="s">
        <v>1137</v>
      </c>
      <c r="L262" s="16" t="s">
        <v>1382</v>
      </c>
      <c r="M262" s="16" t="s">
        <v>1501</v>
      </c>
      <c r="N262" s="16" t="s">
        <v>34</v>
      </c>
      <c r="O262" s="4" t="s">
        <v>167</v>
      </c>
      <c r="P262" s="31"/>
      <c r="Q262" s="31">
        <v>1544.0</v>
      </c>
      <c r="R262" s="16"/>
      <c r="S262" s="2"/>
      <c r="T262" s="31">
        <v>2023.0</v>
      </c>
      <c r="U262" s="31">
        <v>2.0</v>
      </c>
      <c r="V262" s="31"/>
      <c r="W262" s="31"/>
      <c r="X262" s="32" t="s">
        <v>1558</v>
      </c>
      <c r="Y262" s="32" t="s">
        <v>1559</v>
      </c>
      <c r="Z262" s="16"/>
      <c r="AA262" s="32" t="s">
        <v>1558</v>
      </c>
      <c r="AB262" s="16"/>
      <c r="AC262" s="32" t="s">
        <v>1558</v>
      </c>
      <c r="AD262" s="16"/>
      <c r="AE262" s="16"/>
      <c r="AF262" s="16"/>
      <c r="AG262" s="16"/>
      <c r="AH262" s="16"/>
      <c r="AI262" s="16"/>
      <c r="AJ262" s="16"/>
      <c r="AK262" s="16"/>
      <c r="AL262" s="16"/>
    </row>
    <row r="263">
      <c r="A263" s="16"/>
      <c r="B263" s="16"/>
      <c r="C263" s="16"/>
      <c r="D263" s="4" t="b">
        <v>1</v>
      </c>
      <c r="E263" s="2" t="s">
        <v>1560</v>
      </c>
      <c r="J263" s="16" t="s">
        <v>1561</v>
      </c>
      <c r="K263" s="2" t="s">
        <v>1137</v>
      </c>
      <c r="L263" s="16" t="s">
        <v>1436</v>
      </c>
      <c r="M263" s="16" t="s">
        <v>1410</v>
      </c>
      <c r="N263" s="16" t="s">
        <v>34</v>
      </c>
      <c r="O263" s="4" t="s">
        <v>167</v>
      </c>
      <c r="P263" s="31"/>
      <c r="Q263" s="31">
        <v>2838.0</v>
      </c>
      <c r="R263" s="16"/>
      <c r="S263" s="2">
        <v>0.02</v>
      </c>
      <c r="T263" s="31">
        <v>2023.0</v>
      </c>
      <c r="U263" s="31">
        <v>2.0</v>
      </c>
      <c r="V263" s="31"/>
      <c r="W263" s="31"/>
      <c r="X263" s="32" t="s">
        <v>1562</v>
      </c>
      <c r="Y263" s="32" t="s">
        <v>1563</v>
      </c>
      <c r="Z263" s="16"/>
      <c r="AA263" s="32" t="s">
        <v>1562</v>
      </c>
      <c r="AB263" s="16"/>
      <c r="AC263" s="32" t="s">
        <v>1562</v>
      </c>
      <c r="AD263" s="16"/>
      <c r="AE263" s="16"/>
      <c r="AF263" s="16"/>
      <c r="AG263" s="16"/>
      <c r="AH263" s="16"/>
      <c r="AI263" s="16"/>
      <c r="AJ263" s="16"/>
      <c r="AK263" s="16"/>
      <c r="AL263" s="16"/>
    </row>
    <row r="264">
      <c r="A264" s="16"/>
      <c r="B264" s="16"/>
      <c r="C264" s="16"/>
      <c r="D264" s="4" t="b">
        <v>1</v>
      </c>
      <c r="E264" s="2" t="s">
        <v>1564</v>
      </c>
      <c r="J264" s="16" t="s">
        <v>1565</v>
      </c>
      <c r="K264" s="2" t="s">
        <v>1137</v>
      </c>
      <c r="L264" s="16" t="s">
        <v>1436</v>
      </c>
      <c r="M264" s="16" t="s">
        <v>1410</v>
      </c>
      <c r="N264" s="4" t="s">
        <v>85</v>
      </c>
      <c r="O264" s="2" t="s">
        <v>101</v>
      </c>
      <c r="P264" s="31"/>
      <c r="Q264" s="31">
        <v>1200.0</v>
      </c>
      <c r="R264" s="16"/>
      <c r="S264" s="2"/>
      <c r="T264" s="31">
        <v>2024.0</v>
      </c>
      <c r="U264" s="31">
        <v>2.0</v>
      </c>
      <c r="V264" s="31"/>
      <c r="W264" s="31"/>
      <c r="X264" s="32" t="s">
        <v>1566</v>
      </c>
      <c r="Y264" s="32" t="s">
        <v>1566</v>
      </c>
      <c r="Z264" s="16"/>
      <c r="AA264" s="32" t="s">
        <v>1566</v>
      </c>
      <c r="AB264" s="16"/>
      <c r="AC264" s="32" t="s">
        <v>1567</v>
      </c>
      <c r="AD264" s="16"/>
      <c r="AE264" s="16"/>
      <c r="AF264" s="16"/>
      <c r="AG264" s="16"/>
      <c r="AH264" s="16"/>
      <c r="AI264" s="16"/>
      <c r="AJ264" s="16"/>
      <c r="AK264" s="16"/>
      <c r="AL264" s="16"/>
    </row>
    <row r="265">
      <c r="A265" s="16"/>
      <c r="B265" s="16"/>
      <c r="C265" s="16"/>
      <c r="D265" s="4" t="b">
        <v>1</v>
      </c>
      <c r="E265" s="2" t="s">
        <v>1505</v>
      </c>
      <c r="J265" s="16" t="s">
        <v>1568</v>
      </c>
      <c r="K265" s="2" t="s">
        <v>1137</v>
      </c>
      <c r="L265" s="16" t="s">
        <v>1382</v>
      </c>
      <c r="M265" s="16" t="s">
        <v>1405</v>
      </c>
      <c r="N265" s="16" t="s">
        <v>34</v>
      </c>
      <c r="O265" s="4" t="s">
        <v>167</v>
      </c>
      <c r="P265" s="16"/>
      <c r="Q265" s="4">
        <v>204.0</v>
      </c>
      <c r="R265" s="16"/>
      <c r="S265" s="2"/>
      <c r="T265" s="31">
        <v>2024.0</v>
      </c>
      <c r="U265" s="31">
        <v>2.0</v>
      </c>
      <c r="V265" s="31"/>
      <c r="W265" s="31"/>
      <c r="X265" s="32" t="s">
        <v>1569</v>
      </c>
      <c r="Y265" s="32" t="s">
        <v>1570</v>
      </c>
      <c r="Z265" s="16"/>
      <c r="AA265" s="32" t="s">
        <v>1569</v>
      </c>
      <c r="AB265" s="16"/>
      <c r="AC265" s="32" t="s">
        <v>1571</v>
      </c>
      <c r="AD265" s="16"/>
      <c r="AE265" s="16"/>
      <c r="AF265" s="16"/>
      <c r="AG265" s="16"/>
      <c r="AH265" s="16"/>
      <c r="AI265" s="16"/>
      <c r="AJ265" s="16"/>
      <c r="AK265" s="16"/>
      <c r="AL265" s="16"/>
    </row>
    <row r="266">
      <c r="A266" s="24"/>
      <c r="B266" s="24"/>
      <c r="C266" s="24"/>
      <c r="D266" s="25" t="b">
        <v>1</v>
      </c>
      <c r="E266" s="23" t="s">
        <v>1572</v>
      </c>
      <c r="F266" s="22"/>
      <c r="G266" s="22"/>
      <c r="H266" s="25"/>
      <c r="I266" s="23" t="s">
        <v>1573</v>
      </c>
      <c r="J266" s="24" t="s">
        <v>1574</v>
      </c>
      <c r="K266" s="23" t="s">
        <v>1137</v>
      </c>
      <c r="L266" s="24" t="s">
        <v>1382</v>
      </c>
      <c r="M266" s="24" t="s">
        <v>1575</v>
      </c>
      <c r="N266" s="25" t="s">
        <v>85</v>
      </c>
      <c r="O266" s="23" t="s">
        <v>101</v>
      </c>
      <c r="P266" s="29"/>
      <c r="Q266" s="29">
        <v>1000.0</v>
      </c>
      <c r="R266" s="24"/>
      <c r="S266" s="23"/>
      <c r="T266" s="29">
        <v>2024.0</v>
      </c>
      <c r="U266" s="29">
        <v>2.0</v>
      </c>
      <c r="V266" s="29"/>
      <c r="W266" s="29"/>
      <c r="X266" s="30" t="s">
        <v>1576</v>
      </c>
      <c r="Y266" s="30" t="s">
        <v>1577</v>
      </c>
      <c r="Z266" s="24"/>
      <c r="AA266" s="30" t="s">
        <v>1576</v>
      </c>
      <c r="AB266" s="24"/>
      <c r="AC266" s="30" t="s">
        <v>1578</v>
      </c>
      <c r="AD266" s="24"/>
      <c r="AE266" s="24"/>
      <c r="AF266" s="24"/>
      <c r="AG266" s="24"/>
      <c r="AH266" s="24"/>
      <c r="AI266" s="24"/>
      <c r="AJ266" s="24"/>
      <c r="AK266" s="24"/>
      <c r="AL266" s="24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</row>
    <row r="267">
      <c r="A267" s="24"/>
      <c r="B267" s="24"/>
      <c r="C267" s="24"/>
      <c r="D267" s="24" t="b">
        <v>0</v>
      </c>
      <c r="E267" s="22"/>
      <c r="F267" s="22"/>
      <c r="G267" s="22"/>
      <c r="H267" s="25" t="b">
        <v>1</v>
      </c>
      <c r="I267" s="23" t="s">
        <v>1459</v>
      </c>
      <c r="J267" s="24" t="s">
        <v>1579</v>
      </c>
      <c r="K267" s="23" t="s">
        <v>1137</v>
      </c>
      <c r="L267" s="24" t="s">
        <v>1382</v>
      </c>
      <c r="M267" s="24" t="s">
        <v>1575</v>
      </c>
      <c r="N267" s="25" t="s">
        <v>34</v>
      </c>
      <c r="O267" s="25" t="s">
        <v>167</v>
      </c>
      <c r="P267" s="29"/>
      <c r="Q267" s="29">
        <v>2278.0</v>
      </c>
      <c r="R267" s="24"/>
      <c r="S267" s="23"/>
      <c r="T267" s="29">
        <v>2024.0</v>
      </c>
      <c r="U267" s="29">
        <v>2.0</v>
      </c>
      <c r="V267" s="29"/>
      <c r="W267" s="29"/>
      <c r="X267" s="30" t="s">
        <v>1580</v>
      </c>
      <c r="Y267" s="30" t="s">
        <v>1581</v>
      </c>
      <c r="Z267" s="24"/>
      <c r="AA267" s="30" t="s">
        <v>1580</v>
      </c>
      <c r="AB267" s="24"/>
      <c r="AC267" s="30" t="s">
        <v>1580</v>
      </c>
      <c r="AD267" s="24"/>
      <c r="AE267" s="24"/>
      <c r="AF267" s="24"/>
      <c r="AG267" s="24"/>
      <c r="AH267" s="24"/>
      <c r="AI267" s="24"/>
      <c r="AJ267" s="24"/>
      <c r="AK267" s="24"/>
      <c r="AL267" s="24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</row>
    <row r="268">
      <c r="A268" s="24"/>
      <c r="B268" s="24"/>
      <c r="C268" s="24"/>
      <c r="D268" s="24" t="b">
        <v>0</v>
      </c>
      <c r="E268" s="22"/>
      <c r="F268" s="22"/>
      <c r="G268" s="25" t="b">
        <v>1</v>
      </c>
      <c r="H268" s="22"/>
      <c r="I268" s="22"/>
      <c r="J268" s="24" t="s">
        <v>1582</v>
      </c>
      <c r="K268" s="23" t="s">
        <v>1137</v>
      </c>
      <c r="L268" s="24" t="s">
        <v>1143</v>
      </c>
      <c r="M268" s="24" t="s">
        <v>1405</v>
      </c>
      <c r="N268" s="24" t="s">
        <v>76</v>
      </c>
      <c r="O268" s="25" t="s">
        <v>77</v>
      </c>
      <c r="P268" s="29"/>
      <c r="Q268" s="29">
        <v>198.0</v>
      </c>
      <c r="R268" s="24"/>
      <c r="S268" s="23"/>
      <c r="T268" s="29">
        <v>2024.0</v>
      </c>
      <c r="U268" s="29">
        <v>2.0</v>
      </c>
      <c r="V268" s="29"/>
      <c r="W268" s="29"/>
      <c r="X268" s="30" t="s">
        <v>1583</v>
      </c>
      <c r="Y268" s="30" t="s">
        <v>1583</v>
      </c>
      <c r="Z268" s="24"/>
      <c r="AA268" s="30" t="s">
        <v>1583</v>
      </c>
      <c r="AB268" s="24"/>
      <c r="AC268" s="24" t="s">
        <v>1584</v>
      </c>
      <c r="AD268" s="24"/>
      <c r="AE268" s="24"/>
      <c r="AF268" s="24"/>
      <c r="AG268" s="24"/>
      <c r="AH268" s="24"/>
      <c r="AI268" s="24"/>
      <c r="AJ268" s="24"/>
      <c r="AK268" s="24"/>
      <c r="AL268" s="24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</row>
    <row r="269">
      <c r="A269" s="16"/>
      <c r="B269" s="16"/>
      <c r="C269" s="16"/>
      <c r="D269" s="4" t="b">
        <v>1</v>
      </c>
      <c r="E269" s="2" t="s">
        <v>1585</v>
      </c>
      <c r="G269" s="4"/>
      <c r="J269" s="16" t="s">
        <v>1586</v>
      </c>
      <c r="K269" s="2" t="s">
        <v>1137</v>
      </c>
      <c r="L269" s="16" t="s">
        <v>1436</v>
      </c>
      <c r="M269" s="4" t="s">
        <v>1442</v>
      </c>
      <c r="N269" s="16" t="s">
        <v>76</v>
      </c>
      <c r="O269" s="4" t="s">
        <v>77</v>
      </c>
      <c r="P269" s="31"/>
      <c r="Q269" s="31">
        <v>3049.0</v>
      </c>
      <c r="R269" s="16"/>
      <c r="S269" s="2">
        <v>2.4</v>
      </c>
      <c r="T269" s="31">
        <v>2024.0</v>
      </c>
      <c r="U269" s="31">
        <v>2.0</v>
      </c>
      <c r="V269" s="31"/>
      <c r="W269" s="31"/>
      <c r="X269" s="32" t="s">
        <v>1587</v>
      </c>
      <c r="Y269" s="32" t="s">
        <v>1587</v>
      </c>
      <c r="Z269" s="16"/>
      <c r="AA269" s="32" t="s">
        <v>1587</v>
      </c>
      <c r="AB269" s="16"/>
      <c r="AC269" s="32" t="s">
        <v>1588</v>
      </c>
      <c r="AD269" s="16"/>
      <c r="AE269" s="16"/>
      <c r="AF269" s="16"/>
      <c r="AG269" s="16"/>
      <c r="AH269" s="16"/>
      <c r="AI269" s="16"/>
      <c r="AJ269" s="16"/>
      <c r="AK269" s="16"/>
      <c r="AL269" s="16"/>
    </row>
    <row r="270">
      <c r="A270" s="24"/>
      <c r="B270" s="24"/>
      <c r="C270" s="24"/>
      <c r="D270" s="24" t="b">
        <v>0</v>
      </c>
      <c r="E270" s="22"/>
      <c r="F270" s="22"/>
      <c r="G270" s="25" t="b">
        <v>1</v>
      </c>
      <c r="H270" s="22"/>
      <c r="I270" s="22"/>
      <c r="J270" s="24" t="s">
        <v>1589</v>
      </c>
      <c r="K270" s="23" t="s">
        <v>1137</v>
      </c>
      <c r="L270" s="24" t="s">
        <v>1382</v>
      </c>
      <c r="M270" s="24" t="s">
        <v>1536</v>
      </c>
      <c r="N270" s="24" t="s">
        <v>34</v>
      </c>
      <c r="O270" s="25" t="s">
        <v>167</v>
      </c>
      <c r="P270" s="29"/>
      <c r="Q270" s="29">
        <v>1533.0</v>
      </c>
      <c r="R270" s="24"/>
      <c r="S270" s="23"/>
      <c r="T270" s="29">
        <v>2024.0</v>
      </c>
      <c r="U270" s="29">
        <v>2.0</v>
      </c>
      <c r="V270" s="29"/>
      <c r="W270" s="29"/>
      <c r="X270" s="30" t="s">
        <v>1590</v>
      </c>
      <c r="Y270" s="30" t="s">
        <v>1590</v>
      </c>
      <c r="Z270" s="24"/>
      <c r="AA270" s="30" t="s">
        <v>1590</v>
      </c>
      <c r="AB270" s="24"/>
      <c r="AC270" s="30" t="s">
        <v>1590</v>
      </c>
      <c r="AD270" s="24"/>
      <c r="AE270" s="24"/>
      <c r="AF270" s="24"/>
      <c r="AG270" s="24"/>
      <c r="AH270" s="24"/>
      <c r="AI270" s="24"/>
      <c r="AJ270" s="24"/>
      <c r="AK270" s="24"/>
      <c r="AL270" s="24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</row>
    <row r="271">
      <c r="A271" s="2"/>
      <c r="B271" s="2"/>
      <c r="C271" s="2"/>
      <c r="D271" s="4" t="b">
        <v>1</v>
      </c>
      <c r="E271" s="2" t="s">
        <v>1591</v>
      </c>
      <c r="J271" s="2" t="s">
        <v>1592</v>
      </c>
      <c r="K271" s="2" t="s">
        <v>1137</v>
      </c>
      <c r="L271" s="2" t="s">
        <v>1137</v>
      </c>
      <c r="M271" s="2" t="s">
        <v>60</v>
      </c>
      <c r="N271" s="16" t="s">
        <v>76</v>
      </c>
      <c r="O271" s="4" t="s">
        <v>77</v>
      </c>
      <c r="P271" s="2"/>
      <c r="Q271" s="2">
        <v>874000.0</v>
      </c>
      <c r="R271" s="2">
        <v>874000.0</v>
      </c>
      <c r="S271" s="2">
        <v>458.97</v>
      </c>
      <c r="T271" s="2">
        <v>2019.0</v>
      </c>
      <c r="U271" s="2">
        <v>2.0</v>
      </c>
      <c r="V271" s="2"/>
      <c r="W271" s="2"/>
      <c r="X271" s="15" t="s">
        <v>1593</v>
      </c>
      <c r="Z271" s="2"/>
      <c r="AA271" s="32" t="s">
        <v>1593</v>
      </c>
      <c r="AB271" s="2" t="s">
        <v>105</v>
      </c>
      <c r="AC271" s="15" t="s">
        <v>1594</v>
      </c>
    </row>
    <row r="272">
      <c r="A272" s="18"/>
      <c r="B272" s="18"/>
      <c r="C272" s="18"/>
      <c r="D272" s="52" t="b">
        <v>0</v>
      </c>
      <c r="E272" s="17"/>
      <c r="F272" s="17"/>
      <c r="G272" s="19" t="b">
        <v>1</v>
      </c>
      <c r="H272" s="17"/>
      <c r="I272" s="17"/>
      <c r="J272" s="18" t="s">
        <v>1595</v>
      </c>
      <c r="K272" s="18" t="s">
        <v>1137</v>
      </c>
      <c r="L272" s="18" t="s">
        <v>1137</v>
      </c>
      <c r="M272" s="52" t="s">
        <v>1596</v>
      </c>
      <c r="N272" s="52" t="s">
        <v>685</v>
      </c>
      <c r="O272" s="52" t="s">
        <v>1597</v>
      </c>
      <c r="P272" s="54"/>
      <c r="Q272" s="54">
        <v>10.0</v>
      </c>
      <c r="R272" s="52"/>
      <c r="S272" s="52"/>
      <c r="T272" s="52"/>
      <c r="U272" s="52" t="s">
        <v>1598</v>
      </c>
      <c r="V272" s="52"/>
      <c r="W272" s="52"/>
      <c r="X272" s="81" t="s">
        <v>1599</v>
      </c>
      <c r="Y272" s="52"/>
      <c r="Z272" s="52"/>
      <c r="AA272" s="53" t="s">
        <v>1599</v>
      </c>
      <c r="AB272" s="52"/>
      <c r="AC272" s="52"/>
      <c r="AD272" s="52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</row>
    <row r="273">
      <c r="A273" s="82"/>
      <c r="B273" s="82"/>
      <c r="C273" s="82"/>
      <c r="D273" s="83" t="b">
        <v>1</v>
      </c>
      <c r="E273" s="82" t="s">
        <v>1600</v>
      </c>
      <c r="F273" s="84"/>
      <c r="G273" s="84"/>
      <c r="H273" s="84"/>
      <c r="I273" s="84"/>
      <c r="J273" s="82" t="s">
        <v>1601</v>
      </c>
      <c r="K273" s="82" t="s">
        <v>1137</v>
      </c>
      <c r="L273" s="82" t="s">
        <v>1137</v>
      </c>
      <c r="M273" s="85" t="s">
        <v>235</v>
      </c>
      <c r="N273" s="85" t="s">
        <v>76</v>
      </c>
      <c r="O273" s="85" t="s">
        <v>1602</v>
      </c>
      <c r="P273" s="86"/>
      <c r="Q273" s="86">
        <v>30.0</v>
      </c>
      <c r="R273" s="83">
        <v>30.0</v>
      </c>
      <c r="S273" s="85"/>
      <c r="T273" s="85"/>
      <c r="U273" s="85" t="s">
        <v>331</v>
      </c>
      <c r="V273" s="85"/>
      <c r="W273" s="85"/>
      <c r="X273" s="87" t="s">
        <v>1603</v>
      </c>
      <c r="Y273" s="85"/>
      <c r="Z273" s="85"/>
      <c r="AA273" s="88" t="s">
        <v>1603</v>
      </c>
      <c r="AB273" s="85" t="s">
        <v>1604</v>
      </c>
      <c r="AC273" s="89" t="s">
        <v>1605</v>
      </c>
      <c r="AD273" s="85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</row>
    <row r="274">
      <c r="A274" s="2"/>
      <c r="B274" s="2"/>
      <c r="C274" s="2"/>
      <c r="D274" s="4" t="b">
        <v>1</v>
      </c>
      <c r="E274" s="2" t="s">
        <v>1606</v>
      </c>
      <c r="J274" s="2" t="s">
        <v>1607</v>
      </c>
      <c r="K274" s="2" t="s">
        <v>1137</v>
      </c>
      <c r="L274" s="2" t="s">
        <v>1137</v>
      </c>
      <c r="M274" s="16" t="s">
        <v>1608</v>
      </c>
      <c r="N274" s="16" t="s">
        <v>1609</v>
      </c>
      <c r="O274" s="16" t="s">
        <v>1610</v>
      </c>
      <c r="P274" s="16"/>
      <c r="Q274" s="16"/>
      <c r="R274" s="16"/>
      <c r="S274" s="16"/>
      <c r="T274" s="31">
        <v>2018.0</v>
      </c>
      <c r="U274" s="16" t="s">
        <v>331</v>
      </c>
      <c r="V274" s="16"/>
      <c r="W274" s="16"/>
      <c r="X274" s="90" t="s">
        <v>1611</v>
      </c>
      <c r="Y274" s="16" t="s">
        <v>1612</v>
      </c>
      <c r="Z274" s="16"/>
      <c r="AA274" s="32" t="s">
        <v>1611</v>
      </c>
      <c r="AB274" s="16" t="s">
        <v>1613</v>
      </c>
      <c r="AC274" s="33" t="s">
        <v>1614</v>
      </c>
      <c r="AD274" s="16"/>
    </row>
    <row r="275">
      <c r="A275" s="2"/>
      <c r="B275" s="2"/>
      <c r="C275" s="2"/>
      <c r="D275" s="4" t="b">
        <v>1</v>
      </c>
      <c r="E275" s="2" t="s">
        <v>1615</v>
      </c>
      <c r="J275" s="2" t="s">
        <v>1616</v>
      </c>
      <c r="K275" s="2" t="s">
        <v>1137</v>
      </c>
      <c r="L275" s="2" t="s">
        <v>1137</v>
      </c>
      <c r="M275" s="16" t="s">
        <v>1617</v>
      </c>
      <c r="N275" s="16" t="s">
        <v>1618</v>
      </c>
      <c r="O275" s="16" t="s">
        <v>1619</v>
      </c>
      <c r="P275" s="31"/>
      <c r="Q275" s="31">
        <v>22.0</v>
      </c>
      <c r="R275" s="16"/>
      <c r="S275" s="16"/>
      <c r="T275" s="31">
        <v>2015.0</v>
      </c>
      <c r="U275" s="16" t="s">
        <v>331</v>
      </c>
      <c r="V275" s="16"/>
      <c r="W275" s="16"/>
      <c r="X275" s="90" t="s">
        <v>1620</v>
      </c>
      <c r="Y275" s="16" t="s">
        <v>1621</v>
      </c>
      <c r="Z275" s="16"/>
      <c r="AA275" s="32" t="s">
        <v>1620</v>
      </c>
      <c r="AB275" s="16" t="s">
        <v>1622</v>
      </c>
      <c r="AC275" s="33" t="s">
        <v>1620</v>
      </c>
      <c r="AD275" s="16"/>
    </row>
    <row r="276">
      <c r="A276" s="18"/>
      <c r="B276" s="18"/>
      <c r="C276" s="18"/>
      <c r="D276" s="52" t="b">
        <v>0</v>
      </c>
      <c r="E276" s="17"/>
      <c r="F276" s="17"/>
      <c r="G276" s="19" t="b">
        <v>1</v>
      </c>
      <c r="H276" s="17"/>
      <c r="I276" s="17"/>
      <c r="J276" s="18" t="s">
        <v>1623</v>
      </c>
      <c r="K276" s="18" t="s">
        <v>1137</v>
      </c>
      <c r="L276" s="18" t="s">
        <v>1137</v>
      </c>
      <c r="M276" s="52" t="s">
        <v>1624</v>
      </c>
      <c r="N276" s="52" t="s">
        <v>1625</v>
      </c>
      <c r="O276" s="52" t="s">
        <v>1626</v>
      </c>
      <c r="P276" s="19"/>
      <c r="Q276" s="19">
        <v>30.0</v>
      </c>
      <c r="R276" s="52"/>
      <c r="S276" s="52"/>
      <c r="T276" s="52"/>
      <c r="U276" s="52" t="s">
        <v>343</v>
      </c>
      <c r="V276" s="52"/>
      <c r="W276" s="52"/>
      <c r="X276" s="81" t="s">
        <v>1627</v>
      </c>
      <c r="Y276" s="52"/>
      <c r="Z276" s="52"/>
      <c r="AA276" s="53" t="s">
        <v>1627</v>
      </c>
      <c r="AB276" s="52" t="s">
        <v>1628</v>
      </c>
      <c r="AC276" s="71" t="s">
        <v>1627</v>
      </c>
      <c r="AD276" s="52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</row>
    <row r="277">
      <c r="A277" s="18"/>
      <c r="B277" s="18"/>
      <c r="C277" s="18"/>
      <c r="D277" s="52" t="b">
        <v>0</v>
      </c>
      <c r="E277" s="17"/>
      <c r="F277" s="17"/>
      <c r="G277" s="19" t="b">
        <v>1</v>
      </c>
      <c r="H277" s="19"/>
      <c r="I277" s="17"/>
      <c r="J277" s="18" t="s">
        <v>1629</v>
      </c>
      <c r="K277" s="18" t="s">
        <v>1137</v>
      </c>
      <c r="L277" s="18" t="s">
        <v>1137</v>
      </c>
      <c r="M277" s="52" t="s">
        <v>1630</v>
      </c>
      <c r="N277" s="52" t="s">
        <v>1631</v>
      </c>
      <c r="O277" s="52" t="s">
        <v>1632</v>
      </c>
      <c r="P277" s="52"/>
      <c r="Q277" s="19">
        <v>11500.0</v>
      </c>
      <c r="R277" s="52"/>
      <c r="S277" s="52"/>
      <c r="T277" s="54">
        <v>2018.0</v>
      </c>
      <c r="U277" s="52" t="s">
        <v>331</v>
      </c>
      <c r="V277" s="52"/>
      <c r="W277" s="52"/>
      <c r="X277" s="81" t="s">
        <v>1633</v>
      </c>
      <c r="Y277" s="52" t="s">
        <v>1634</v>
      </c>
      <c r="Z277" s="52"/>
      <c r="AA277" s="53" t="s">
        <v>1633</v>
      </c>
      <c r="AB277" s="52" t="s">
        <v>1635</v>
      </c>
      <c r="AC277" s="71" t="s">
        <v>1636</v>
      </c>
      <c r="AD277" s="52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</row>
    <row r="278">
      <c r="A278" s="2"/>
      <c r="B278" s="2"/>
      <c r="C278" s="2"/>
      <c r="D278" s="4" t="b">
        <v>1</v>
      </c>
      <c r="E278" s="2" t="s">
        <v>1637</v>
      </c>
      <c r="J278" s="2" t="s">
        <v>1638</v>
      </c>
      <c r="K278" s="2" t="s">
        <v>1137</v>
      </c>
      <c r="L278" s="2" t="s">
        <v>1137</v>
      </c>
      <c r="M278" s="16" t="s">
        <v>1639</v>
      </c>
      <c r="N278" s="16" t="s">
        <v>1640</v>
      </c>
      <c r="O278" s="16" t="s">
        <v>1641</v>
      </c>
      <c r="P278" s="31"/>
      <c r="Q278" s="31">
        <v>1112.0</v>
      </c>
      <c r="R278" s="4">
        <v>1112.0</v>
      </c>
      <c r="S278" s="16"/>
      <c r="T278" s="31">
        <v>2012.0</v>
      </c>
      <c r="U278" s="16" t="s">
        <v>331</v>
      </c>
      <c r="V278" s="16"/>
      <c r="W278" s="16"/>
      <c r="X278" s="90" t="s">
        <v>1642</v>
      </c>
      <c r="Y278" s="16" t="s">
        <v>1643</v>
      </c>
      <c r="Z278" s="16"/>
      <c r="AA278" s="32" t="s">
        <v>1642</v>
      </c>
      <c r="AB278" s="16" t="s">
        <v>1164</v>
      </c>
      <c r="AC278" s="33" t="s">
        <v>1644</v>
      </c>
      <c r="AD278" s="16"/>
    </row>
    <row r="279">
      <c r="A279" s="18"/>
      <c r="B279" s="18"/>
      <c r="C279" s="18"/>
      <c r="D279" s="52" t="b">
        <v>0</v>
      </c>
      <c r="E279" s="17"/>
      <c r="F279" s="17"/>
      <c r="G279" s="19" t="b">
        <v>1</v>
      </c>
      <c r="H279" s="17"/>
      <c r="I279" s="17"/>
      <c r="J279" s="18" t="s">
        <v>1645</v>
      </c>
      <c r="K279" s="18" t="s">
        <v>1137</v>
      </c>
      <c r="L279" s="18" t="s">
        <v>1137</v>
      </c>
      <c r="M279" s="52" t="s">
        <v>1646</v>
      </c>
      <c r="N279" s="52" t="s">
        <v>1647</v>
      </c>
      <c r="O279" s="52" t="s">
        <v>1648</v>
      </c>
      <c r="P279" s="54"/>
      <c r="Q279" s="54">
        <v>85.0</v>
      </c>
      <c r="R279" s="19">
        <v>376003.0</v>
      </c>
      <c r="S279" s="52"/>
      <c r="T279" s="54">
        <v>2021.0</v>
      </c>
      <c r="U279" s="52" t="s">
        <v>331</v>
      </c>
      <c r="V279" s="52"/>
      <c r="W279" s="52"/>
      <c r="X279" s="81" t="s">
        <v>1649</v>
      </c>
      <c r="Y279" s="52" t="s">
        <v>1650</v>
      </c>
      <c r="Z279" s="52"/>
      <c r="AA279" s="53" t="s">
        <v>1649</v>
      </c>
      <c r="AB279" s="52" t="s">
        <v>334</v>
      </c>
      <c r="AC279" s="71" t="s">
        <v>1651</v>
      </c>
      <c r="AD279" s="52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</row>
    <row r="280">
      <c r="A280" s="2"/>
      <c r="B280" s="2"/>
      <c r="C280" s="2"/>
      <c r="D280" s="4" t="b">
        <v>1</v>
      </c>
      <c r="E280" s="2" t="s">
        <v>1652</v>
      </c>
      <c r="G280" s="4"/>
      <c r="J280" s="2" t="s">
        <v>1653</v>
      </c>
      <c r="K280" s="2" t="s">
        <v>1137</v>
      </c>
      <c r="L280" s="2" t="s">
        <v>1137</v>
      </c>
      <c r="M280" s="16" t="s">
        <v>1617</v>
      </c>
      <c r="N280" s="16" t="s">
        <v>1654</v>
      </c>
      <c r="O280" s="16" t="s">
        <v>1655</v>
      </c>
      <c r="P280" s="16"/>
      <c r="Q280" s="16"/>
      <c r="R280" s="16"/>
      <c r="S280" s="16"/>
      <c r="T280" s="31">
        <v>2015.0</v>
      </c>
      <c r="U280" s="16" t="s">
        <v>331</v>
      </c>
      <c r="V280" s="16"/>
      <c r="W280" s="16"/>
      <c r="X280" s="90" t="s">
        <v>1656</v>
      </c>
      <c r="Y280" s="16"/>
      <c r="Z280" s="16"/>
      <c r="AA280" s="32" t="s">
        <v>1656</v>
      </c>
      <c r="AB280" s="16" t="s">
        <v>1657</v>
      </c>
      <c r="AC280" s="33" t="s">
        <v>1658</v>
      </c>
      <c r="AD280" s="16"/>
    </row>
    <row r="281">
      <c r="A281" s="2"/>
      <c r="B281" s="2"/>
      <c r="C281" s="2"/>
      <c r="D281" s="4" t="b">
        <v>1</v>
      </c>
      <c r="E281" s="2" t="s">
        <v>1659</v>
      </c>
      <c r="G281" s="4"/>
      <c r="J281" s="2" t="s">
        <v>1660</v>
      </c>
      <c r="K281" s="2" t="s">
        <v>1137</v>
      </c>
      <c r="L281" s="2" t="s">
        <v>1137</v>
      </c>
      <c r="M281" s="16" t="s">
        <v>1639</v>
      </c>
      <c r="N281" s="16" t="s">
        <v>1661</v>
      </c>
      <c r="O281" s="16" t="s">
        <v>1662</v>
      </c>
      <c r="P281" s="31"/>
      <c r="Q281" s="31">
        <v>158.0</v>
      </c>
      <c r="R281" s="31">
        <v>314.0</v>
      </c>
      <c r="S281" s="16"/>
      <c r="T281" s="16"/>
      <c r="U281" s="16" t="s">
        <v>331</v>
      </c>
      <c r="V281" s="16"/>
      <c r="W281" s="16"/>
      <c r="X281" s="90" t="s">
        <v>1663</v>
      </c>
      <c r="Y281" s="16"/>
      <c r="Z281" s="16"/>
      <c r="AA281" s="32" t="s">
        <v>1663</v>
      </c>
      <c r="AB281" s="16" t="s">
        <v>1657</v>
      </c>
      <c r="AC281" s="33" t="s">
        <v>1658</v>
      </c>
      <c r="AD281" s="16"/>
    </row>
    <row r="282">
      <c r="A282" s="2"/>
      <c r="B282" s="2"/>
      <c r="C282" s="2"/>
      <c r="D282" s="4" t="b">
        <v>1</v>
      </c>
      <c r="E282" s="2" t="s">
        <v>1664</v>
      </c>
      <c r="G282" s="4"/>
      <c r="J282" s="2" t="s">
        <v>1665</v>
      </c>
      <c r="K282" s="2" t="s">
        <v>1137</v>
      </c>
      <c r="L282" s="2" t="s">
        <v>1137</v>
      </c>
      <c r="M282" s="16" t="s">
        <v>1617</v>
      </c>
      <c r="N282" s="16" t="s">
        <v>1661</v>
      </c>
      <c r="O282" s="16" t="s">
        <v>1666</v>
      </c>
      <c r="P282" s="31"/>
      <c r="Q282" s="31">
        <v>53.0</v>
      </c>
      <c r="R282" s="16"/>
      <c r="S282" s="16"/>
      <c r="T282" s="16"/>
      <c r="U282" s="16" t="s">
        <v>331</v>
      </c>
      <c r="V282" s="16"/>
      <c r="W282" s="16"/>
      <c r="X282" s="90" t="s">
        <v>1667</v>
      </c>
      <c r="Y282" s="16" t="s">
        <v>1668</v>
      </c>
      <c r="Z282" s="16"/>
      <c r="AA282" s="32" t="s">
        <v>1667</v>
      </c>
      <c r="AB282" s="16" t="s">
        <v>1657</v>
      </c>
      <c r="AC282" s="33" t="s">
        <v>1658</v>
      </c>
      <c r="AD282" s="16"/>
    </row>
    <row r="283">
      <c r="A283" s="2"/>
      <c r="B283" s="2"/>
      <c r="C283" s="2"/>
      <c r="D283" s="4" t="b">
        <v>1</v>
      </c>
      <c r="E283" s="2" t="s">
        <v>1669</v>
      </c>
      <c r="J283" s="2" t="s">
        <v>1670</v>
      </c>
      <c r="K283" s="2" t="s">
        <v>1137</v>
      </c>
      <c r="L283" s="2" t="s">
        <v>1137</v>
      </c>
      <c r="M283" s="16" t="s">
        <v>1639</v>
      </c>
      <c r="N283" s="16" t="s">
        <v>1671</v>
      </c>
      <c r="O283" s="16" t="s">
        <v>1672</v>
      </c>
      <c r="P283" s="31"/>
      <c r="Q283" s="31">
        <v>776.0</v>
      </c>
      <c r="R283" s="16"/>
      <c r="S283" s="16"/>
      <c r="T283" s="31">
        <v>2011.0</v>
      </c>
      <c r="U283" s="16" t="s">
        <v>331</v>
      </c>
      <c r="V283" s="16"/>
      <c r="W283" s="16"/>
      <c r="X283" s="90" t="s">
        <v>1673</v>
      </c>
      <c r="Y283" s="16" t="s">
        <v>1674</v>
      </c>
      <c r="Z283" s="16"/>
      <c r="AA283" s="32" t="s">
        <v>1673</v>
      </c>
      <c r="AB283" s="16" t="s">
        <v>1675</v>
      </c>
      <c r="AC283" s="33" t="s">
        <v>1676</v>
      </c>
      <c r="AD283" s="16"/>
    </row>
    <row r="284">
      <c r="A284" s="23"/>
      <c r="B284" s="23"/>
      <c r="C284" s="23"/>
      <c r="D284" s="24" t="b">
        <v>0</v>
      </c>
      <c r="E284" s="22"/>
      <c r="F284" s="22"/>
      <c r="G284" s="25" t="b">
        <v>1</v>
      </c>
      <c r="H284" s="22"/>
      <c r="I284" s="22"/>
      <c r="J284" s="23" t="s">
        <v>1677</v>
      </c>
      <c r="K284" s="23" t="s">
        <v>1137</v>
      </c>
      <c r="L284" s="23" t="s">
        <v>1137</v>
      </c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91" t="s">
        <v>1678</v>
      </c>
      <c r="Y284" s="24"/>
      <c r="Z284" s="24"/>
      <c r="AA284" s="30" t="s">
        <v>1678</v>
      </c>
      <c r="AB284" s="24"/>
      <c r="AC284" s="24"/>
      <c r="AD284" s="24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</row>
    <row r="285">
      <c r="A285" s="23"/>
      <c r="B285" s="23"/>
      <c r="C285" s="23"/>
      <c r="D285" s="25" t="b">
        <v>0</v>
      </c>
      <c r="E285" s="22"/>
      <c r="F285" s="22"/>
      <c r="G285" s="25" t="b">
        <v>1</v>
      </c>
      <c r="H285" s="22"/>
      <c r="I285" s="22"/>
      <c r="J285" s="23" t="s">
        <v>1679</v>
      </c>
      <c r="K285" s="23" t="s">
        <v>1137</v>
      </c>
      <c r="L285" s="23" t="s">
        <v>1137</v>
      </c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91" t="s">
        <v>1680</v>
      </c>
      <c r="Y285" s="24"/>
      <c r="Z285" s="24"/>
      <c r="AA285" s="30" t="s">
        <v>1680</v>
      </c>
      <c r="AB285" s="24"/>
      <c r="AC285" s="24"/>
      <c r="AD285" s="24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</row>
    <row r="286">
      <c r="A286" s="2"/>
      <c r="B286" s="2"/>
      <c r="C286" s="2"/>
      <c r="D286" s="4" t="b">
        <v>1</v>
      </c>
      <c r="E286" s="2" t="s">
        <v>1681</v>
      </c>
      <c r="G286" s="4"/>
      <c r="J286" s="2" t="s">
        <v>1682</v>
      </c>
      <c r="K286" s="2" t="s">
        <v>1137</v>
      </c>
      <c r="L286" s="2" t="s">
        <v>1137</v>
      </c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90" t="s">
        <v>1683</v>
      </c>
      <c r="Y286" s="16"/>
      <c r="Z286" s="16"/>
      <c r="AA286" s="32" t="s">
        <v>1683</v>
      </c>
      <c r="AB286" s="16"/>
      <c r="AC286" s="16"/>
      <c r="AD286" s="16"/>
    </row>
    <row r="287">
      <c r="A287" s="18"/>
      <c r="B287" s="18"/>
      <c r="C287" s="18"/>
      <c r="D287" s="52" t="b">
        <v>0</v>
      </c>
      <c r="E287" s="17"/>
      <c r="F287" s="17"/>
      <c r="G287" s="17"/>
      <c r="H287" s="19" t="b">
        <v>1</v>
      </c>
      <c r="I287" s="18" t="s">
        <v>1459</v>
      </c>
      <c r="J287" s="18" t="s">
        <v>1684</v>
      </c>
      <c r="K287" s="18" t="s">
        <v>1137</v>
      </c>
      <c r="L287" s="18" t="s">
        <v>1137</v>
      </c>
      <c r="M287" s="52" t="s">
        <v>1685</v>
      </c>
      <c r="N287" s="52" t="s">
        <v>1686</v>
      </c>
      <c r="O287" s="52" t="s">
        <v>1687</v>
      </c>
      <c r="P287" s="54"/>
      <c r="Q287" s="54">
        <v>60.0</v>
      </c>
      <c r="R287" s="52"/>
      <c r="S287" s="52"/>
      <c r="T287" s="54">
        <v>2022.0</v>
      </c>
      <c r="U287" s="52" t="s">
        <v>331</v>
      </c>
      <c r="V287" s="52"/>
      <c r="W287" s="52"/>
      <c r="X287" s="81" t="s">
        <v>1688</v>
      </c>
      <c r="Y287" s="52" t="s">
        <v>1689</v>
      </c>
      <c r="Z287" s="52"/>
      <c r="AA287" s="53" t="s">
        <v>1688</v>
      </c>
      <c r="AB287" s="52" t="s">
        <v>1690</v>
      </c>
      <c r="AC287" s="71" t="s">
        <v>1688</v>
      </c>
      <c r="AD287" s="52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</row>
    <row r="288">
      <c r="A288" s="2"/>
      <c r="B288" s="2"/>
      <c r="C288" s="2"/>
      <c r="D288" s="4" t="b">
        <v>1</v>
      </c>
      <c r="E288" s="2" t="s">
        <v>1691</v>
      </c>
      <c r="J288" s="2" t="s">
        <v>1692</v>
      </c>
      <c r="K288" s="2" t="s">
        <v>1137</v>
      </c>
      <c r="L288" s="2" t="s">
        <v>1137</v>
      </c>
      <c r="M288" s="16" t="s">
        <v>1693</v>
      </c>
      <c r="N288" s="16" t="s">
        <v>1694</v>
      </c>
      <c r="O288" s="16" t="s">
        <v>1695</v>
      </c>
      <c r="P288" s="31"/>
      <c r="Q288" s="31">
        <v>229.0</v>
      </c>
      <c r="R288" s="16"/>
      <c r="S288" s="16"/>
      <c r="T288" s="31">
        <v>2018.0</v>
      </c>
      <c r="U288" s="16" t="s">
        <v>331</v>
      </c>
      <c r="V288" s="16"/>
      <c r="W288" s="16"/>
      <c r="X288" s="90" t="s">
        <v>1696</v>
      </c>
      <c r="Y288" s="16" t="s">
        <v>1697</v>
      </c>
      <c r="Z288" s="16"/>
      <c r="AA288" s="32" t="s">
        <v>1696</v>
      </c>
      <c r="AB288" s="16" t="s">
        <v>1164</v>
      </c>
      <c r="AC288" s="33" t="s">
        <v>1696</v>
      </c>
      <c r="AD288" s="16"/>
    </row>
    <row r="289">
      <c r="A289" s="2"/>
      <c r="B289" s="2"/>
      <c r="C289" s="2"/>
      <c r="D289" s="4" t="b">
        <v>1</v>
      </c>
      <c r="E289" s="2" t="s">
        <v>1698</v>
      </c>
      <c r="H289" s="4"/>
      <c r="J289" s="2" t="s">
        <v>1699</v>
      </c>
      <c r="K289" s="2" t="s">
        <v>1137</v>
      </c>
      <c r="L289" s="2" t="s">
        <v>1137</v>
      </c>
      <c r="M289" s="16" t="s">
        <v>1700</v>
      </c>
      <c r="N289" s="16" t="s">
        <v>1701</v>
      </c>
      <c r="O289" s="16" t="s">
        <v>1702</v>
      </c>
      <c r="P289" s="31"/>
      <c r="Q289" s="31">
        <v>180.0</v>
      </c>
      <c r="R289" s="16"/>
      <c r="S289" s="16"/>
      <c r="T289" s="31">
        <v>2013.0</v>
      </c>
      <c r="U289" s="16" t="s">
        <v>331</v>
      </c>
      <c r="V289" s="16"/>
      <c r="W289" s="16"/>
      <c r="X289" s="90" t="s">
        <v>1703</v>
      </c>
      <c r="Y289" s="16" t="s">
        <v>1704</v>
      </c>
      <c r="Z289" s="16"/>
      <c r="AA289" s="32" t="s">
        <v>1703</v>
      </c>
      <c r="AB289" s="16" t="s">
        <v>1164</v>
      </c>
      <c r="AC289" s="33" t="s">
        <v>1703</v>
      </c>
      <c r="AD289" s="16"/>
    </row>
    <row r="290">
      <c r="A290" s="2"/>
      <c r="B290" s="2"/>
      <c r="C290" s="2"/>
      <c r="D290" s="4" t="b">
        <v>1</v>
      </c>
      <c r="E290" s="2" t="s">
        <v>1705</v>
      </c>
      <c r="H290" s="4"/>
      <c r="J290" s="2" t="s">
        <v>1706</v>
      </c>
      <c r="K290" s="2" t="s">
        <v>1137</v>
      </c>
      <c r="L290" s="2" t="s">
        <v>1137</v>
      </c>
      <c r="M290" s="16" t="s">
        <v>1707</v>
      </c>
      <c r="N290" s="16" t="s">
        <v>1708</v>
      </c>
      <c r="O290" s="16" t="s">
        <v>1709</v>
      </c>
      <c r="P290" s="31"/>
      <c r="Q290" s="31">
        <v>28.0</v>
      </c>
      <c r="R290" s="16"/>
      <c r="S290" s="16"/>
      <c r="T290" s="16"/>
      <c r="U290" s="16" t="s">
        <v>331</v>
      </c>
      <c r="V290" s="16"/>
      <c r="W290" s="16"/>
      <c r="X290" s="90" t="s">
        <v>1710</v>
      </c>
      <c r="Y290" s="16"/>
      <c r="Z290" s="16"/>
      <c r="AA290" s="32" t="s">
        <v>1710</v>
      </c>
      <c r="AB290" s="16" t="s">
        <v>1164</v>
      </c>
      <c r="AC290" s="33" t="s">
        <v>1711</v>
      </c>
      <c r="AD290" s="16"/>
    </row>
    <row r="291">
      <c r="A291" s="2"/>
      <c r="B291" s="2"/>
      <c r="C291" s="2"/>
      <c r="D291" s="4" t="b">
        <v>1</v>
      </c>
      <c r="E291" s="2" t="s">
        <v>1712</v>
      </c>
      <c r="H291" s="4"/>
      <c r="J291" s="2" t="s">
        <v>1713</v>
      </c>
      <c r="K291" s="2" t="s">
        <v>1137</v>
      </c>
      <c r="L291" s="2" t="s">
        <v>1137</v>
      </c>
      <c r="M291" s="16" t="s">
        <v>1714</v>
      </c>
      <c r="N291" s="16" t="s">
        <v>1715</v>
      </c>
      <c r="O291" s="16" t="s">
        <v>1716</v>
      </c>
      <c r="P291" s="31"/>
      <c r="Q291" s="31">
        <v>48.0</v>
      </c>
      <c r="R291" s="16"/>
      <c r="S291" s="16"/>
      <c r="T291" s="16"/>
      <c r="U291" s="16" t="s">
        <v>331</v>
      </c>
      <c r="V291" s="16"/>
      <c r="W291" s="16"/>
      <c r="X291" s="90" t="s">
        <v>1717</v>
      </c>
      <c r="Y291" s="16"/>
      <c r="Z291" s="16"/>
      <c r="AA291" s="32" t="s">
        <v>1717</v>
      </c>
      <c r="AB291" s="16" t="s">
        <v>1164</v>
      </c>
      <c r="AC291" s="33" t="s">
        <v>1717</v>
      </c>
      <c r="AD291" s="16"/>
    </row>
    <row r="292">
      <c r="A292" s="2"/>
      <c r="B292" s="2"/>
      <c r="C292" s="2"/>
      <c r="D292" s="4" t="b">
        <v>1</v>
      </c>
      <c r="E292" s="2" t="s">
        <v>1718</v>
      </c>
      <c r="J292" s="2" t="s">
        <v>1719</v>
      </c>
      <c r="K292" s="2" t="s">
        <v>1137</v>
      </c>
      <c r="L292" s="2" t="s">
        <v>1137</v>
      </c>
      <c r="M292" s="16" t="s">
        <v>60</v>
      </c>
      <c r="N292" s="16" t="s">
        <v>1720</v>
      </c>
      <c r="O292" s="16" t="s">
        <v>1721</v>
      </c>
      <c r="P292" s="31"/>
      <c r="Q292" s="31">
        <v>192.0</v>
      </c>
      <c r="R292" s="31">
        <v>2200.0</v>
      </c>
      <c r="S292" s="16"/>
      <c r="T292" s="31">
        <v>2023.0</v>
      </c>
      <c r="U292" s="16" t="s">
        <v>331</v>
      </c>
      <c r="V292" s="16"/>
      <c r="W292" s="16"/>
      <c r="X292" s="90" t="s">
        <v>1722</v>
      </c>
      <c r="Y292" s="16" t="s">
        <v>1723</v>
      </c>
      <c r="Z292" s="16"/>
      <c r="AA292" s="32" t="s">
        <v>1722</v>
      </c>
      <c r="AB292" s="16" t="s">
        <v>1724</v>
      </c>
      <c r="AC292" s="16" t="s">
        <v>1722</v>
      </c>
      <c r="AD292" s="16"/>
    </row>
    <row r="293">
      <c r="A293" s="2"/>
      <c r="B293" s="2"/>
      <c r="C293" s="2"/>
      <c r="D293" s="4" t="b">
        <v>1</v>
      </c>
      <c r="E293" s="2" t="s">
        <v>1725</v>
      </c>
      <c r="J293" s="2" t="s">
        <v>1726</v>
      </c>
      <c r="K293" s="2" t="s">
        <v>1137</v>
      </c>
      <c r="L293" s="2" t="s">
        <v>1137</v>
      </c>
      <c r="M293" s="16" t="s">
        <v>1727</v>
      </c>
      <c r="N293" s="16" t="s">
        <v>1728</v>
      </c>
      <c r="O293" s="16"/>
      <c r="P293" s="31"/>
      <c r="Q293" s="31">
        <v>1.0</v>
      </c>
      <c r="R293" s="31">
        <v>7404.0</v>
      </c>
      <c r="S293" s="16" t="s">
        <v>1729</v>
      </c>
      <c r="T293" s="31">
        <v>2013.0</v>
      </c>
      <c r="U293" s="16" t="s">
        <v>331</v>
      </c>
      <c r="V293" s="16"/>
      <c r="W293" s="16"/>
      <c r="X293" s="90" t="s">
        <v>1730</v>
      </c>
      <c r="Y293" s="16" t="s">
        <v>1731</v>
      </c>
      <c r="Z293" s="16"/>
      <c r="AA293" s="32" t="s">
        <v>1730</v>
      </c>
      <c r="AB293" s="16" t="s">
        <v>1732</v>
      </c>
      <c r="AC293" s="16" t="s">
        <v>1730</v>
      </c>
      <c r="AD293" s="16"/>
    </row>
    <row r="294">
      <c r="A294" s="2"/>
      <c r="B294" s="2"/>
      <c r="C294" s="2"/>
      <c r="D294" s="4" t="b">
        <v>1</v>
      </c>
      <c r="E294" s="2" t="s">
        <v>1733</v>
      </c>
      <c r="J294" s="2" t="s">
        <v>1734</v>
      </c>
      <c r="K294" s="2" t="s">
        <v>1137</v>
      </c>
      <c r="L294" s="2" t="s">
        <v>1137</v>
      </c>
      <c r="M294" s="16" t="s">
        <v>1735</v>
      </c>
      <c r="N294" s="16" t="s">
        <v>1736</v>
      </c>
      <c r="O294" s="16" t="s">
        <v>1737</v>
      </c>
      <c r="P294" s="31"/>
      <c r="Q294" s="31">
        <v>133.0</v>
      </c>
      <c r="R294" s="16"/>
      <c r="S294" s="16"/>
      <c r="T294" s="31">
        <v>2023.0</v>
      </c>
      <c r="U294" s="16" t="s">
        <v>331</v>
      </c>
      <c r="V294" s="16"/>
      <c r="W294" s="16"/>
      <c r="X294" s="90" t="s">
        <v>1738</v>
      </c>
      <c r="Y294" s="16" t="s">
        <v>1739</v>
      </c>
      <c r="Z294" s="16"/>
      <c r="AA294" s="33" t="s">
        <v>1738</v>
      </c>
      <c r="AB294" s="16" t="s">
        <v>72</v>
      </c>
      <c r="AC294" s="16" t="s">
        <v>1740</v>
      </c>
      <c r="AD294" s="16"/>
    </row>
    <row r="295">
      <c r="A295" s="2"/>
      <c r="B295" s="2"/>
      <c r="C295" s="2"/>
      <c r="D295" s="4" t="b">
        <v>1</v>
      </c>
      <c r="E295" s="2" t="s">
        <v>1741</v>
      </c>
      <c r="J295" s="2" t="s">
        <v>1742</v>
      </c>
      <c r="K295" s="2" t="s">
        <v>1137</v>
      </c>
      <c r="L295" s="2" t="s">
        <v>1137</v>
      </c>
      <c r="M295" s="16" t="s">
        <v>1743</v>
      </c>
      <c r="N295" s="16" t="s">
        <v>1744</v>
      </c>
      <c r="O295" s="16" t="s">
        <v>1745</v>
      </c>
      <c r="P295" s="31"/>
      <c r="Q295" s="31">
        <v>237.0</v>
      </c>
      <c r="R295" s="16"/>
      <c r="S295" s="16"/>
      <c r="T295" s="31">
        <v>2024.0</v>
      </c>
      <c r="U295" s="16" t="s">
        <v>331</v>
      </c>
      <c r="V295" s="16"/>
      <c r="W295" s="16"/>
      <c r="X295" s="90" t="s">
        <v>1746</v>
      </c>
      <c r="Y295" s="16" t="s">
        <v>1747</v>
      </c>
      <c r="Z295" s="16"/>
      <c r="AA295" s="32" t="s">
        <v>1746</v>
      </c>
      <c r="AB295" s="16" t="s">
        <v>72</v>
      </c>
      <c r="AC295" s="16" t="s">
        <v>1748</v>
      </c>
      <c r="AD295" s="16"/>
    </row>
    <row r="296">
      <c r="A296" s="2"/>
      <c r="B296" s="2"/>
      <c r="C296" s="2"/>
      <c r="D296" s="4" t="b">
        <v>1</v>
      </c>
      <c r="E296" s="2" t="s">
        <v>1749</v>
      </c>
      <c r="J296" s="2" t="s">
        <v>1750</v>
      </c>
      <c r="K296" s="2" t="s">
        <v>1137</v>
      </c>
      <c r="L296" s="2" t="s">
        <v>1137</v>
      </c>
      <c r="M296" s="16" t="s">
        <v>235</v>
      </c>
      <c r="N296" s="16" t="s">
        <v>34</v>
      </c>
      <c r="O296" s="16" t="s">
        <v>1751</v>
      </c>
      <c r="P296" s="31"/>
      <c r="Q296" s="31">
        <v>3060.0</v>
      </c>
      <c r="R296" s="16"/>
      <c r="S296" s="16"/>
      <c r="T296" s="31">
        <v>2020.0</v>
      </c>
      <c r="U296" s="16" t="s">
        <v>343</v>
      </c>
      <c r="V296" s="16"/>
      <c r="W296" s="16"/>
      <c r="X296" s="90" t="s">
        <v>1752</v>
      </c>
      <c r="Y296" s="16" t="s">
        <v>1753</v>
      </c>
      <c r="Z296" s="16"/>
      <c r="AA296" s="32" t="s">
        <v>1752</v>
      </c>
      <c r="AB296" s="16" t="s">
        <v>105</v>
      </c>
      <c r="AC296" s="33" t="s">
        <v>1752</v>
      </c>
      <c r="AD296" s="16"/>
    </row>
    <row r="297">
      <c r="A297" s="2"/>
      <c r="B297" s="2"/>
      <c r="C297" s="2"/>
      <c r="D297" s="4" t="b">
        <v>1</v>
      </c>
      <c r="E297" s="2" t="s">
        <v>1754</v>
      </c>
      <c r="J297" s="2" t="s">
        <v>1755</v>
      </c>
      <c r="K297" s="2" t="s">
        <v>1137</v>
      </c>
      <c r="L297" s="2" t="s">
        <v>1137</v>
      </c>
      <c r="M297" s="16" t="s">
        <v>1756</v>
      </c>
      <c r="N297" s="16" t="s">
        <v>34</v>
      </c>
      <c r="O297" s="16" t="s">
        <v>1757</v>
      </c>
      <c r="P297" s="31"/>
      <c r="Q297" s="31">
        <v>3264.0</v>
      </c>
      <c r="R297" s="16"/>
      <c r="S297" s="16"/>
      <c r="T297" s="31">
        <v>2025.0</v>
      </c>
      <c r="U297" s="16" t="s">
        <v>343</v>
      </c>
      <c r="V297" s="16"/>
      <c r="W297" s="16"/>
      <c r="X297" s="90" t="s">
        <v>1758</v>
      </c>
      <c r="Y297" s="16"/>
      <c r="Z297" s="16"/>
      <c r="AA297" s="32" t="s">
        <v>1758</v>
      </c>
      <c r="AB297" s="16" t="s">
        <v>105</v>
      </c>
      <c r="AC297" s="33" t="s">
        <v>1758</v>
      </c>
      <c r="AD297" s="16"/>
    </row>
    <row r="298">
      <c r="A298" s="2"/>
      <c r="B298" s="2"/>
      <c r="C298" s="2"/>
      <c r="D298" s="4" t="b">
        <v>1</v>
      </c>
      <c r="E298" s="2" t="s">
        <v>1759</v>
      </c>
      <c r="J298" s="2" t="s">
        <v>1760</v>
      </c>
      <c r="K298" s="2" t="s">
        <v>1137</v>
      </c>
      <c r="L298" s="2" t="s">
        <v>1137</v>
      </c>
      <c r="M298" s="16" t="s">
        <v>33</v>
      </c>
      <c r="N298" s="16" t="s">
        <v>34</v>
      </c>
      <c r="O298" s="16" t="s">
        <v>1761</v>
      </c>
      <c r="P298" s="31"/>
      <c r="Q298" s="31">
        <v>4600.0</v>
      </c>
      <c r="R298" s="16"/>
      <c r="S298" s="16"/>
      <c r="T298" s="31">
        <v>2024.0</v>
      </c>
      <c r="U298" s="16" t="s">
        <v>343</v>
      </c>
      <c r="V298" s="16"/>
      <c r="W298" s="16"/>
      <c r="X298" s="90" t="s">
        <v>1762</v>
      </c>
      <c r="Y298" s="16"/>
      <c r="Z298" s="16"/>
      <c r="AA298" s="32" t="s">
        <v>1762</v>
      </c>
      <c r="AB298" s="16" t="s">
        <v>105</v>
      </c>
      <c r="AC298" s="33" t="s">
        <v>1762</v>
      </c>
      <c r="AD298" s="16"/>
    </row>
    <row r="299">
      <c r="A299" s="2"/>
      <c r="B299" s="2"/>
      <c r="C299" s="2"/>
      <c r="D299" s="4" t="b">
        <v>1</v>
      </c>
      <c r="E299" s="2" t="s">
        <v>1763</v>
      </c>
      <c r="J299" s="2" t="s">
        <v>1764</v>
      </c>
      <c r="K299" s="2" t="s">
        <v>1137</v>
      </c>
      <c r="L299" s="2" t="s">
        <v>1137</v>
      </c>
      <c r="M299" s="16" t="s">
        <v>1765</v>
      </c>
      <c r="N299" s="16" t="s">
        <v>76</v>
      </c>
      <c r="O299" s="16" t="s">
        <v>1766</v>
      </c>
      <c r="P299" s="31"/>
      <c r="Q299" s="31">
        <v>233.0</v>
      </c>
      <c r="R299" s="31">
        <v>3064.0</v>
      </c>
      <c r="S299" s="16"/>
      <c r="T299" s="31">
        <v>2024.0</v>
      </c>
      <c r="U299" s="16" t="s">
        <v>343</v>
      </c>
      <c r="V299" s="16"/>
      <c r="W299" s="16"/>
      <c r="X299" s="90" t="s">
        <v>1767</v>
      </c>
      <c r="Y299" s="16" t="s">
        <v>1768</v>
      </c>
      <c r="Z299" s="16"/>
      <c r="AA299" s="32" t="s">
        <v>1767</v>
      </c>
      <c r="AB299" s="16" t="s">
        <v>634</v>
      </c>
      <c r="AC299" s="16" t="s">
        <v>1769</v>
      </c>
      <c r="AD299" s="16"/>
    </row>
    <row r="300">
      <c r="A300" s="23"/>
      <c r="B300" s="23"/>
      <c r="C300" s="23"/>
      <c r="D300" s="24" t="b">
        <v>0</v>
      </c>
      <c r="E300" s="22"/>
      <c r="F300" s="22"/>
      <c r="G300" s="25" t="b">
        <v>1</v>
      </c>
      <c r="H300" s="22"/>
      <c r="I300" s="22"/>
      <c r="J300" s="23" t="s">
        <v>1770</v>
      </c>
      <c r="K300" s="23" t="s">
        <v>1137</v>
      </c>
      <c r="L300" s="23" t="s">
        <v>1137</v>
      </c>
      <c r="M300" s="24" t="s">
        <v>235</v>
      </c>
      <c r="N300" s="24" t="s">
        <v>1771</v>
      </c>
      <c r="O300" s="24"/>
      <c r="P300" s="29"/>
      <c r="Q300" s="29">
        <v>20.0</v>
      </c>
      <c r="R300" s="29">
        <v>40.0</v>
      </c>
      <c r="S300" s="29">
        <v>3.16</v>
      </c>
      <c r="T300" s="29">
        <v>2018.0</v>
      </c>
      <c r="U300" s="24" t="s">
        <v>331</v>
      </c>
      <c r="V300" s="24"/>
      <c r="W300" s="24"/>
      <c r="X300" s="91" t="s">
        <v>1772</v>
      </c>
      <c r="Y300" s="24" t="s">
        <v>1773</v>
      </c>
      <c r="Z300" s="24"/>
      <c r="AA300" s="30" t="s">
        <v>1772</v>
      </c>
      <c r="AB300" s="24" t="s">
        <v>334</v>
      </c>
      <c r="AC300" s="24" t="s">
        <v>1774</v>
      </c>
      <c r="AD300" s="24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</row>
    <row r="301">
      <c r="A301" s="2"/>
      <c r="B301" s="2"/>
      <c r="C301" s="2"/>
      <c r="D301" s="4" t="b">
        <v>1</v>
      </c>
      <c r="E301" s="2" t="s">
        <v>1775</v>
      </c>
      <c r="J301" s="2" t="s">
        <v>1776</v>
      </c>
      <c r="K301" s="2" t="s">
        <v>1137</v>
      </c>
      <c r="L301" s="2" t="s">
        <v>1137</v>
      </c>
      <c r="M301" s="16" t="s">
        <v>1756</v>
      </c>
      <c r="N301" s="16" t="s">
        <v>76</v>
      </c>
      <c r="O301" s="16" t="s">
        <v>1695</v>
      </c>
      <c r="P301" s="16"/>
      <c r="Q301" s="16"/>
      <c r="R301" s="16"/>
      <c r="S301" s="16"/>
      <c r="T301" s="16"/>
      <c r="U301" s="16" t="s">
        <v>331</v>
      </c>
      <c r="V301" s="16"/>
      <c r="W301" s="16"/>
      <c r="X301" s="90" t="s">
        <v>1777</v>
      </c>
      <c r="Y301" s="16"/>
      <c r="Z301" s="16"/>
      <c r="AA301" s="32" t="s">
        <v>1777</v>
      </c>
      <c r="AB301" s="16" t="s">
        <v>666</v>
      </c>
      <c r="AC301" s="16" t="s">
        <v>1777</v>
      </c>
      <c r="AD301" s="16"/>
    </row>
    <row r="302">
      <c r="A302" s="2"/>
      <c r="B302" s="2"/>
      <c r="C302" s="2"/>
      <c r="D302" s="4" t="b">
        <v>1</v>
      </c>
      <c r="E302" s="2" t="s">
        <v>1778</v>
      </c>
      <c r="J302" s="2" t="s">
        <v>1779</v>
      </c>
      <c r="K302" s="2" t="s">
        <v>1137</v>
      </c>
      <c r="L302" s="2" t="s">
        <v>1137</v>
      </c>
      <c r="M302" s="16" t="s">
        <v>1780</v>
      </c>
      <c r="N302" s="16" t="s">
        <v>1781</v>
      </c>
      <c r="O302" s="16" t="s">
        <v>1782</v>
      </c>
      <c r="P302" s="31"/>
      <c r="Q302" s="31">
        <v>7.0</v>
      </c>
      <c r="R302" s="31">
        <v>7.0</v>
      </c>
      <c r="S302" s="16"/>
      <c r="T302" s="16" t="s">
        <v>1783</v>
      </c>
      <c r="U302" s="16" t="s">
        <v>331</v>
      </c>
      <c r="V302" s="16"/>
      <c r="W302" s="16"/>
      <c r="X302" s="90" t="s">
        <v>1784</v>
      </c>
      <c r="Y302" s="16" t="s">
        <v>1785</v>
      </c>
      <c r="Z302" s="16"/>
      <c r="AA302" s="32" t="s">
        <v>1784</v>
      </c>
      <c r="AB302" s="16" t="s">
        <v>1786</v>
      </c>
      <c r="AC302" s="16" t="s">
        <v>1784</v>
      </c>
      <c r="AD302" s="16"/>
    </row>
    <row r="303">
      <c r="A303" s="23"/>
      <c r="B303" s="23"/>
      <c r="C303" s="23"/>
      <c r="D303" s="24" t="b">
        <v>0</v>
      </c>
      <c r="E303" s="22"/>
      <c r="F303" s="22"/>
      <c r="G303" s="25" t="b">
        <v>1</v>
      </c>
      <c r="H303" s="22"/>
      <c r="I303" s="22"/>
      <c r="J303" s="23" t="s">
        <v>1787</v>
      </c>
      <c r="K303" s="23" t="s">
        <v>1137</v>
      </c>
      <c r="L303" s="23" t="s">
        <v>1137</v>
      </c>
      <c r="M303" s="24" t="s">
        <v>1788</v>
      </c>
      <c r="N303" s="24" t="s">
        <v>76</v>
      </c>
      <c r="O303" s="24" t="s">
        <v>1789</v>
      </c>
      <c r="P303" s="29"/>
      <c r="Q303" s="29">
        <v>50.0</v>
      </c>
      <c r="R303" s="29">
        <v>200.0</v>
      </c>
      <c r="S303" s="24"/>
      <c r="T303" s="24" t="s">
        <v>1790</v>
      </c>
      <c r="U303" s="24" t="s">
        <v>331</v>
      </c>
      <c r="V303" s="24"/>
      <c r="W303" s="24"/>
      <c r="X303" s="91" t="s">
        <v>1791</v>
      </c>
      <c r="Y303" s="24" t="s">
        <v>1792</v>
      </c>
      <c r="Z303" s="24"/>
      <c r="AA303" s="30" t="s">
        <v>1791</v>
      </c>
      <c r="AB303" s="24" t="s">
        <v>1793</v>
      </c>
      <c r="AC303" s="24" t="s">
        <v>1794</v>
      </c>
      <c r="AD303" s="24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</row>
    <row r="304">
      <c r="A304" s="23"/>
      <c r="B304" s="23"/>
      <c r="C304" s="23"/>
      <c r="D304" s="24" t="b">
        <v>0</v>
      </c>
      <c r="E304" s="22"/>
      <c r="F304" s="22"/>
      <c r="G304" s="25" t="b">
        <v>1</v>
      </c>
      <c r="H304" s="22"/>
      <c r="I304" s="22"/>
      <c r="J304" s="23" t="s">
        <v>1795</v>
      </c>
      <c r="K304" s="23" t="s">
        <v>1137</v>
      </c>
      <c r="L304" s="23" t="s">
        <v>1137</v>
      </c>
      <c r="M304" s="24" t="s">
        <v>1788</v>
      </c>
      <c r="N304" s="24" t="s">
        <v>76</v>
      </c>
      <c r="O304" s="24" t="s">
        <v>1789</v>
      </c>
      <c r="P304" s="29"/>
      <c r="Q304" s="29">
        <v>60.0</v>
      </c>
      <c r="R304" s="29">
        <v>240.0</v>
      </c>
      <c r="S304" s="24"/>
      <c r="T304" s="24" t="s">
        <v>1796</v>
      </c>
      <c r="U304" s="24" t="s">
        <v>331</v>
      </c>
      <c r="V304" s="24"/>
      <c r="W304" s="24"/>
      <c r="X304" s="91" t="s">
        <v>1797</v>
      </c>
      <c r="Y304" s="24" t="s">
        <v>1798</v>
      </c>
      <c r="Z304" s="24"/>
      <c r="AA304" s="30" t="s">
        <v>1797</v>
      </c>
      <c r="AB304" s="24" t="s">
        <v>1799</v>
      </c>
      <c r="AC304" s="69" t="s">
        <v>1797</v>
      </c>
      <c r="AD304" s="24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</row>
    <row r="305">
      <c r="A305" s="23"/>
      <c r="B305" s="23"/>
      <c r="C305" s="23"/>
      <c r="D305" s="24" t="b">
        <v>0</v>
      </c>
      <c r="E305" s="22"/>
      <c r="F305" s="22"/>
      <c r="G305" s="25" t="b">
        <v>1</v>
      </c>
      <c r="H305" s="22"/>
      <c r="I305" s="22"/>
      <c r="J305" s="23" t="s">
        <v>1800</v>
      </c>
      <c r="K305" s="23" t="s">
        <v>1137</v>
      </c>
      <c r="L305" s="23" t="s">
        <v>1137</v>
      </c>
      <c r="M305" s="24" t="s">
        <v>1788</v>
      </c>
      <c r="N305" s="24" t="s">
        <v>76</v>
      </c>
      <c r="O305" s="24" t="s">
        <v>1789</v>
      </c>
      <c r="P305" s="29"/>
      <c r="Q305" s="29">
        <v>50.0</v>
      </c>
      <c r="R305" s="29">
        <v>200.0</v>
      </c>
      <c r="S305" s="24"/>
      <c r="T305" s="24" t="s">
        <v>1801</v>
      </c>
      <c r="U305" s="24" t="s">
        <v>331</v>
      </c>
      <c r="V305" s="24"/>
      <c r="W305" s="24"/>
      <c r="X305" s="91" t="s">
        <v>1802</v>
      </c>
      <c r="Y305" s="24" t="s">
        <v>1803</v>
      </c>
      <c r="Z305" s="24"/>
      <c r="AA305" s="30" t="s">
        <v>1802</v>
      </c>
      <c r="AB305" s="24" t="s">
        <v>1799</v>
      </c>
      <c r="AC305" s="69" t="s">
        <v>1802</v>
      </c>
      <c r="AD305" s="24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</row>
    <row r="306">
      <c r="A306" s="23"/>
      <c r="B306" s="23"/>
      <c r="C306" s="23"/>
      <c r="D306" s="24" t="b">
        <v>0</v>
      </c>
      <c r="E306" s="22"/>
      <c r="F306" s="22"/>
      <c r="G306" s="25" t="b">
        <v>1</v>
      </c>
      <c r="H306" s="22"/>
      <c r="I306" s="22"/>
      <c r="J306" s="23" t="s">
        <v>1804</v>
      </c>
      <c r="K306" s="23" t="s">
        <v>1137</v>
      </c>
      <c r="L306" s="23" t="s">
        <v>1137</v>
      </c>
      <c r="M306" s="24" t="s">
        <v>1788</v>
      </c>
      <c r="N306" s="24" t="s">
        <v>76</v>
      </c>
      <c r="O306" s="24" t="s">
        <v>1789</v>
      </c>
      <c r="P306" s="29"/>
      <c r="Q306" s="29">
        <v>274.0</v>
      </c>
      <c r="R306" s="29">
        <v>1096.0</v>
      </c>
      <c r="S306" s="24"/>
      <c r="T306" s="24" t="s">
        <v>1805</v>
      </c>
      <c r="U306" s="24" t="s">
        <v>331</v>
      </c>
      <c r="V306" s="24"/>
      <c r="W306" s="24"/>
      <c r="X306" s="91" t="s">
        <v>1806</v>
      </c>
      <c r="Y306" s="24" t="s">
        <v>1807</v>
      </c>
      <c r="Z306" s="24"/>
      <c r="AA306" s="30" t="s">
        <v>1806</v>
      </c>
      <c r="AB306" s="24" t="s">
        <v>1799</v>
      </c>
      <c r="AC306" s="69" t="s">
        <v>1806</v>
      </c>
      <c r="AD306" s="24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</row>
    <row r="307">
      <c r="A307" s="23"/>
      <c r="B307" s="23"/>
      <c r="C307" s="23"/>
      <c r="D307" s="24" t="b">
        <v>0</v>
      </c>
      <c r="E307" s="22"/>
      <c r="F307" s="22"/>
      <c r="G307" s="25" t="b">
        <v>1</v>
      </c>
      <c r="H307" s="22"/>
      <c r="I307" s="22"/>
      <c r="J307" s="23" t="s">
        <v>1808</v>
      </c>
      <c r="K307" s="23" t="s">
        <v>1137</v>
      </c>
      <c r="L307" s="23" t="s">
        <v>1137</v>
      </c>
      <c r="M307" s="24" t="s">
        <v>1788</v>
      </c>
      <c r="N307" s="24" t="s">
        <v>76</v>
      </c>
      <c r="O307" s="24" t="s">
        <v>1789</v>
      </c>
      <c r="P307" s="29"/>
      <c r="Q307" s="29">
        <v>285.0</v>
      </c>
      <c r="R307" s="29">
        <v>1140.0</v>
      </c>
      <c r="S307" s="24"/>
      <c r="T307" s="24" t="s">
        <v>1809</v>
      </c>
      <c r="U307" s="24" t="s">
        <v>331</v>
      </c>
      <c r="V307" s="24"/>
      <c r="W307" s="24"/>
      <c r="X307" s="91" t="s">
        <v>1810</v>
      </c>
      <c r="Y307" s="24" t="s">
        <v>1811</v>
      </c>
      <c r="Z307" s="24"/>
      <c r="AA307" s="30" t="s">
        <v>1810</v>
      </c>
      <c r="AB307" s="24" t="s">
        <v>1812</v>
      </c>
      <c r="AC307" s="69" t="s">
        <v>1810</v>
      </c>
      <c r="AD307" s="24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</row>
    <row r="308">
      <c r="A308" s="23"/>
      <c r="B308" s="23"/>
      <c r="C308" s="23"/>
      <c r="D308" s="24" t="b">
        <v>0</v>
      </c>
      <c r="E308" s="22"/>
      <c r="F308" s="22"/>
      <c r="G308" s="25" t="b">
        <v>1</v>
      </c>
      <c r="H308" s="22"/>
      <c r="I308" s="22"/>
      <c r="J308" s="23" t="s">
        <v>1813</v>
      </c>
      <c r="K308" s="23" t="s">
        <v>1137</v>
      </c>
      <c r="L308" s="23" t="s">
        <v>1137</v>
      </c>
      <c r="M308" s="24" t="s">
        <v>1788</v>
      </c>
      <c r="N308" s="24" t="s">
        <v>76</v>
      </c>
      <c r="O308" s="24" t="s">
        <v>1789</v>
      </c>
      <c r="P308" s="29"/>
      <c r="Q308" s="29">
        <v>335.0</v>
      </c>
      <c r="R308" s="29">
        <v>1340.0</v>
      </c>
      <c r="S308" s="24"/>
      <c r="T308" s="24" t="s">
        <v>1814</v>
      </c>
      <c r="U308" s="24" t="s">
        <v>331</v>
      </c>
      <c r="V308" s="24"/>
      <c r="W308" s="24"/>
      <c r="X308" s="91" t="s">
        <v>1815</v>
      </c>
      <c r="Y308" s="24" t="s">
        <v>1816</v>
      </c>
      <c r="Z308" s="24"/>
      <c r="AA308" s="30" t="s">
        <v>1815</v>
      </c>
      <c r="AB308" s="24" t="s">
        <v>1812</v>
      </c>
      <c r="AC308" s="69" t="s">
        <v>1817</v>
      </c>
      <c r="AD308" s="24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</row>
    <row r="309">
      <c r="A309" s="23"/>
      <c r="B309" s="23"/>
      <c r="C309" s="23"/>
      <c r="D309" s="24" t="b">
        <v>0</v>
      </c>
      <c r="E309" s="22"/>
      <c r="F309" s="22"/>
      <c r="G309" s="25" t="b">
        <v>1</v>
      </c>
      <c r="H309" s="22"/>
      <c r="I309" s="22"/>
      <c r="J309" s="23" t="s">
        <v>1818</v>
      </c>
      <c r="K309" s="23" t="s">
        <v>1137</v>
      </c>
      <c r="L309" s="23" t="s">
        <v>1137</v>
      </c>
      <c r="M309" s="24" t="s">
        <v>1788</v>
      </c>
      <c r="N309" s="24" t="s">
        <v>76</v>
      </c>
      <c r="O309" s="24" t="s">
        <v>1789</v>
      </c>
      <c r="P309" s="29"/>
      <c r="Q309" s="29">
        <v>369.0</v>
      </c>
      <c r="R309" s="29">
        <v>1476.0</v>
      </c>
      <c r="S309" s="24"/>
      <c r="T309" s="24" t="s">
        <v>1819</v>
      </c>
      <c r="U309" s="24" t="s">
        <v>331</v>
      </c>
      <c r="V309" s="24"/>
      <c r="W309" s="24"/>
      <c r="X309" s="91" t="s">
        <v>1820</v>
      </c>
      <c r="Y309" s="24" t="s">
        <v>1821</v>
      </c>
      <c r="Z309" s="24"/>
      <c r="AA309" s="30" t="s">
        <v>1820</v>
      </c>
      <c r="AB309" s="24" t="s">
        <v>1812</v>
      </c>
      <c r="AC309" s="69" t="s">
        <v>1822</v>
      </c>
      <c r="AD309" s="24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</row>
    <row r="310">
      <c r="A310" s="23"/>
      <c r="B310" s="23"/>
      <c r="C310" s="23"/>
      <c r="D310" s="24" t="b">
        <v>0</v>
      </c>
      <c r="E310" s="22"/>
      <c r="F310" s="22"/>
      <c r="G310" s="25" t="b">
        <v>1</v>
      </c>
      <c r="H310" s="22"/>
      <c r="I310" s="22"/>
      <c r="J310" s="23" t="s">
        <v>1823</v>
      </c>
      <c r="K310" s="23" t="s">
        <v>1137</v>
      </c>
      <c r="L310" s="23" t="s">
        <v>1137</v>
      </c>
      <c r="M310" s="24" t="s">
        <v>1788</v>
      </c>
      <c r="N310" s="24" t="s">
        <v>76</v>
      </c>
      <c r="O310" s="24" t="s">
        <v>1789</v>
      </c>
      <c r="P310" s="29"/>
      <c r="Q310" s="29">
        <v>1251.0</v>
      </c>
      <c r="R310" s="29">
        <v>5004.0</v>
      </c>
      <c r="S310" s="24"/>
      <c r="T310" s="24" t="s">
        <v>1824</v>
      </c>
      <c r="U310" s="24" t="s">
        <v>331</v>
      </c>
      <c r="V310" s="24"/>
      <c r="W310" s="24"/>
      <c r="X310" s="91" t="s">
        <v>1825</v>
      </c>
      <c r="Y310" s="24" t="s">
        <v>1826</v>
      </c>
      <c r="Z310" s="24"/>
      <c r="AA310" s="30" t="s">
        <v>1825</v>
      </c>
      <c r="AB310" s="24" t="s">
        <v>1244</v>
      </c>
      <c r="AC310" s="69" t="s">
        <v>1827</v>
      </c>
      <c r="AD310" s="24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</row>
    <row r="311">
      <c r="A311" s="23"/>
      <c r="B311" s="23"/>
      <c r="C311" s="23"/>
      <c r="D311" s="24" t="b">
        <v>0</v>
      </c>
      <c r="E311" s="22"/>
      <c r="F311" s="22"/>
      <c r="G311" s="25" t="b">
        <v>1</v>
      </c>
      <c r="H311" s="22"/>
      <c r="I311" s="22"/>
      <c r="J311" s="23" t="s">
        <v>1828</v>
      </c>
      <c r="K311" s="23" t="s">
        <v>1137</v>
      </c>
      <c r="L311" s="23" t="s">
        <v>1137</v>
      </c>
      <c r="M311" s="24" t="s">
        <v>1788</v>
      </c>
      <c r="N311" s="24" t="s">
        <v>76</v>
      </c>
      <c r="O311" s="24" t="s">
        <v>1789</v>
      </c>
      <c r="P311" s="29"/>
      <c r="Q311" s="29">
        <v>1251.0</v>
      </c>
      <c r="R311" s="29">
        <v>5004.0</v>
      </c>
      <c r="S311" s="24"/>
      <c r="T311" s="24" t="s">
        <v>1829</v>
      </c>
      <c r="U311" s="24" t="s">
        <v>331</v>
      </c>
      <c r="V311" s="24"/>
      <c r="W311" s="24"/>
      <c r="X311" s="91" t="s">
        <v>1830</v>
      </c>
      <c r="Y311" s="24" t="s">
        <v>1831</v>
      </c>
      <c r="Z311" s="24"/>
      <c r="AA311" s="30" t="s">
        <v>1830</v>
      </c>
      <c r="AB311" s="24" t="s">
        <v>1244</v>
      </c>
      <c r="AC311" s="69" t="s">
        <v>1832</v>
      </c>
      <c r="AD311" s="24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</row>
    <row r="312">
      <c r="A312" s="2"/>
      <c r="B312" s="2"/>
      <c r="C312" s="2"/>
      <c r="D312" s="4" t="b">
        <v>1</v>
      </c>
      <c r="E312" s="2" t="s">
        <v>1833</v>
      </c>
      <c r="J312" s="2" t="s">
        <v>1834</v>
      </c>
      <c r="K312" s="2" t="s">
        <v>1137</v>
      </c>
      <c r="L312" s="2" t="s">
        <v>1137</v>
      </c>
      <c r="M312" s="16" t="s">
        <v>1788</v>
      </c>
      <c r="N312" s="16" t="s">
        <v>76</v>
      </c>
      <c r="O312" s="16" t="s">
        <v>1789</v>
      </c>
      <c r="P312" s="16"/>
      <c r="Q312" s="16"/>
      <c r="R312" s="16"/>
      <c r="S312" s="16"/>
      <c r="T312" s="16" t="s">
        <v>1835</v>
      </c>
      <c r="U312" s="16" t="s">
        <v>331</v>
      </c>
      <c r="V312" s="16"/>
      <c r="W312" s="16"/>
      <c r="X312" s="90" t="s">
        <v>1836</v>
      </c>
      <c r="Y312" s="16"/>
      <c r="Z312" s="16"/>
      <c r="AA312" s="32" t="s">
        <v>1836</v>
      </c>
      <c r="AB312" s="16" t="s">
        <v>1244</v>
      </c>
      <c r="AC312" s="16"/>
      <c r="AD312" s="16"/>
    </row>
    <row r="313">
      <c r="A313" s="2"/>
      <c r="B313" s="2"/>
      <c r="C313" s="2"/>
      <c r="D313" s="4" t="b">
        <v>1</v>
      </c>
      <c r="E313" s="2" t="s">
        <v>1837</v>
      </c>
      <c r="J313" s="2" t="s">
        <v>1838</v>
      </c>
      <c r="K313" s="2" t="s">
        <v>1137</v>
      </c>
      <c r="L313" s="2" t="s">
        <v>1137</v>
      </c>
      <c r="M313" s="16" t="s">
        <v>1788</v>
      </c>
      <c r="N313" s="16" t="s">
        <v>76</v>
      </c>
      <c r="O313" s="16" t="s">
        <v>1789</v>
      </c>
      <c r="P313" s="16"/>
      <c r="Q313" s="16"/>
      <c r="R313" s="16"/>
      <c r="S313" s="16"/>
      <c r="T313" s="16" t="s">
        <v>1839</v>
      </c>
      <c r="U313" s="16" t="s">
        <v>331</v>
      </c>
      <c r="V313" s="16"/>
      <c r="W313" s="16"/>
      <c r="X313" s="90" t="s">
        <v>1840</v>
      </c>
      <c r="Y313" s="16"/>
      <c r="Z313" s="16"/>
      <c r="AA313" s="33" t="s">
        <v>1840</v>
      </c>
      <c r="AB313" s="16" t="s">
        <v>1244</v>
      </c>
      <c r="AC313" s="16"/>
      <c r="AD313" s="16"/>
    </row>
    <row r="314">
      <c r="A314" s="23"/>
      <c r="B314" s="23"/>
      <c r="C314" s="23"/>
      <c r="D314" s="24" t="b">
        <v>0</v>
      </c>
      <c r="E314" s="22"/>
      <c r="F314" s="22"/>
      <c r="G314" s="25" t="b">
        <v>1</v>
      </c>
      <c r="H314" s="22"/>
      <c r="I314" s="22"/>
      <c r="J314" s="23" t="s">
        <v>1841</v>
      </c>
      <c r="K314" s="23" t="s">
        <v>1137</v>
      </c>
      <c r="L314" s="23" t="s">
        <v>1137</v>
      </c>
      <c r="M314" s="24" t="s">
        <v>1842</v>
      </c>
      <c r="N314" s="24" t="s">
        <v>1843</v>
      </c>
      <c r="O314" s="24" t="s">
        <v>1844</v>
      </c>
      <c r="P314" s="29"/>
      <c r="Q314" s="29">
        <v>109.0</v>
      </c>
      <c r="R314" s="29">
        <v>115.0</v>
      </c>
      <c r="S314" s="24"/>
      <c r="T314" s="24" t="s">
        <v>1819</v>
      </c>
      <c r="U314" s="24" t="s">
        <v>331</v>
      </c>
      <c r="V314" s="24"/>
      <c r="W314" s="24"/>
      <c r="X314" s="91" t="s">
        <v>1845</v>
      </c>
      <c r="Y314" s="24" t="s">
        <v>1846</v>
      </c>
      <c r="Z314" s="24"/>
      <c r="AA314" s="30" t="s">
        <v>1845</v>
      </c>
      <c r="AB314" s="24" t="s">
        <v>346</v>
      </c>
      <c r="AC314" s="24" t="s">
        <v>1847</v>
      </c>
      <c r="AD314" s="24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</row>
    <row r="315">
      <c r="A315" s="23"/>
      <c r="B315" s="23"/>
      <c r="C315" s="23"/>
      <c r="D315" s="24" t="b">
        <v>0</v>
      </c>
      <c r="E315" s="22"/>
      <c r="F315" s="22"/>
      <c r="G315" s="25" t="b">
        <v>1</v>
      </c>
      <c r="H315" s="22"/>
      <c r="I315" s="22"/>
      <c r="J315" s="23" t="s">
        <v>1848</v>
      </c>
      <c r="K315" s="23" t="s">
        <v>1137</v>
      </c>
      <c r="L315" s="23" t="s">
        <v>1137</v>
      </c>
      <c r="M315" s="24" t="s">
        <v>1780</v>
      </c>
      <c r="N315" s="24" t="s">
        <v>34</v>
      </c>
      <c r="O315" s="24" t="s">
        <v>1849</v>
      </c>
      <c r="P315" s="29"/>
      <c r="Q315" s="29">
        <v>30.0</v>
      </c>
      <c r="R315" s="29">
        <v>30.0</v>
      </c>
      <c r="S315" s="24"/>
      <c r="T315" s="24" t="s">
        <v>1805</v>
      </c>
      <c r="U315" s="24" t="s">
        <v>331</v>
      </c>
      <c r="V315" s="24"/>
      <c r="W315" s="24"/>
      <c r="X315" s="91" t="s">
        <v>1850</v>
      </c>
      <c r="Y315" s="24" t="s">
        <v>1851</v>
      </c>
      <c r="Z315" s="24"/>
      <c r="AA315" s="30" t="s">
        <v>1850</v>
      </c>
      <c r="AB315" s="24" t="s">
        <v>346</v>
      </c>
      <c r="AC315" s="24" t="s">
        <v>1852</v>
      </c>
      <c r="AD315" s="24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</row>
    <row r="316">
      <c r="A316" s="2"/>
      <c r="B316" s="2"/>
      <c r="C316" s="2"/>
      <c r="D316" s="4" t="b">
        <v>1</v>
      </c>
      <c r="E316" s="2" t="s">
        <v>1853</v>
      </c>
      <c r="J316" s="2" t="s">
        <v>1854</v>
      </c>
      <c r="K316" s="2" t="s">
        <v>1137</v>
      </c>
      <c r="L316" s="2" t="s">
        <v>1137</v>
      </c>
      <c r="M316" s="16" t="s">
        <v>1780</v>
      </c>
      <c r="N316" s="16" t="s">
        <v>76</v>
      </c>
      <c r="O316" s="16" t="s">
        <v>1855</v>
      </c>
      <c r="P316" s="31"/>
      <c r="Q316" s="31">
        <v>359.0</v>
      </c>
      <c r="R316" s="31">
        <v>359.0</v>
      </c>
      <c r="S316" s="16"/>
      <c r="T316" s="16" t="s">
        <v>1809</v>
      </c>
      <c r="U316" s="16" t="s">
        <v>331</v>
      </c>
      <c r="V316" s="16"/>
      <c r="W316" s="16"/>
      <c r="X316" s="90" t="s">
        <v>1856</v>
      </c>
      <c r="Y316" s="16" t="s">
        <v>1857</v>
      </c>
      <c r="Z316" s="16"/>
      <c r="AA316" s="32" t="s">
        <v>1856</v>
      </c>
      <c r="AB316" s="16" t="s">
        <v>346</v>
      </c>
      <c r="AC316" s="16" t="s">
        <v>1856</v>
      </c>
      <c r="AD316" s="16"/>
    </row>
    <row r="317">
      <c r="A317" s="23"/>
      <c r="B317" s="23"/>
      <c r="C317" s="23"/>
      <c r="D317" s="24" t="b">
        <v>0</v>
      </c>
      <c r="E317" s="22"/>
      <c r="F317" s="22"/>
      <c r="G317" s="22"/>
      <c r="H317" s="25" t="b">
        <v>1</v>
      </c>
      <c r="I317" s="23" t="s">
        <v>1858</v>
      </c>
      <c r="J317" s="23" t="s">
        <v>1859</v>
      </c>
      <c r="K317" s="23" t="s">
        <v>1137</v>
      </c>
      <c r="L317" s="23" t="s">
        <v>1137</v>
      </c>
      <c r="M317" s="24" t="s">
        <v>1860</v>
      </c>
      <c r="N317" s="24" t="s">
        <v>1861</v>
      </c>
      <c r="O317" s="24" t="s">
        <v>1862</v>
      </c>
      <c r="P317" s="29"/>
      <c r="Q317" s="29">
        <v>650.0</v>
      </c>
      <c r="R317" s="25">
        <v>650.0</v>
      </c>
      <c r="S317" s="24"/>
      <c r="T317" s="29">
        <v>2018.0</v>
      </c>
      <c r="U317" s="24" t="s">
        <v>331</v>
      </c>
      <c r="V317" s="24"/>
      <c r="W317" s="24"/>
      <c r="X317" s="91" t="s">
        <v>1863</v>
      </c>
      <c r="Y317" s="24" t="s">
        <v>1864</v>
      </c>
      <c r="Z317" s="24"/>
      <c r="AA317" s="30" t="s">
        <v>1863</v>
      </c>
      <c r="AB317" s="24" t="s">
        <v>1865</v>
      </c>
      <c r="AC317" s="24" t="s">
        <v>1866</v>
      </c>
      <c r="AD317" s="24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</row>
    <row r="318">
      <c r="A318" s="2"/>
      <c r="B318" s="2"/>
      <c r="C318" s="2"/>
      <c r="D318" s="4" t="b">
        <v>1</v>
      </c>
      <c r="E318" s="2" t="s">
        <v>1867</v>
      </c>
      <c r="G318" s="4"/>
      <c r="J318" s="2" t="s">
        <v>1868</v>
      </c>
      <c r="K318" s="2" t="s">
        <v>1137</v>
      </c>
      <c r="L318" s="2" t="s">
        <v>1137</v>
      </c>
      <c r="M318" s="16" t="s">
        <v>1693</v>
      </c>
      <c r="N318" s="16" t="s">
        <v>76</v>
      </c>
      <c r="O318" s="16" t="s">
        <v>1869</v>
      </c>
      <c r="P318" s="31"/>
      <c r="Q318" s="31">
        <v>15.0</v>
      </c>
      <c r="R318" s="31">
        <v>15.0</v>
      </c>
      <c r="S318" s="16"/>
      <c r="T318" s="31">
        <v>2007.0</v>
      </c>
      <c r="U318" s="16" t="s">
        <v>331</v>
      </c>
      <c r="V318" s="16"/>
      <c r="W318" s="16"/>
      <c r="X318" s="90" t="s">
        <v>1870</v>
      </c>
      <c r="Y318" s="16"/>
      <c r="Z318" s="16"/>
      <c r="AA318" s="32" t="s">
        <v>1870</v>
      </c>
      <c r="AB318" s="16" t="s">
        <v>346</v>
      </c>
      <c r="AC318" s="16" t="s">
        <v>1870</v>
      </c>
      <c r="AD318" s="16"/>
    </row>
    <row r="319">
      <c r="A319" s="2"/>
      <c r="B319" s="2"/>
      <c r="C319" s="2"/>
      <c r="D319" s="4" t="b">
        <v>1</v>
      </c>
      <c r="E319" s="2" t="s">
        <v>1871</v>
      </c>
      <c r="J319" s="2" t="s">
        <v>1872</v>
      </c>
      <c r="K319" s="2" t="s">
        <v>1137</v>
      </c>
      <c r="L319" s="2" t="s">
        <v>1137</v>
      </c>
      <c r="M319" s="16" t="s">
        <v>1617</v>
      </c>
      <c r="N319" s="16" t="s">
        <v>1873</v>
      </c>
      <c r="O319" s="16" t="s">
        <v>1874</v>
      </c>
      <c r="P319" s="31"/>
      <c r="Q319" s="31">
        <v>34.0</v>
      </c>
      <c r="R319" s="16"/>
      <c r="S319" s="16"/>
      <c r="T319" s="31">
        <v>2013.0</v>
      </c>
      <c r="U319" s="16" t="s">
        <v>331</v>
      </c>
      <c r="V319" s="16"/>
      <c r="W319" s="16"/>
      <c r="X319" s="90" t="s">
        <v>1875</v>
      </c>
      <c r="Y319" s="16" t="s">
        <v>1876</v>
      </c>
      <c r="Z319" s="16"/>
      <c r="AA319" s="32" t="s">
        <v>1875</v>
      </c>
      <c r="AB319" s="16" t="s">
        <v>1877</v>
      </c>
      <c r="AC319" s="16" t="s">
        <v>1875</v>
      </c>
      <c r="AD319" s="16"/>
    </row>
    <row r="320">
      <c r="A320" s="23"/>
      <c r="B320" s="23"/>
      <c r="C320" s="23"/>
      <c r="D320" s="24" t="b">
        <v>0</v>
      </c>
      <c r="E320" s="22"/>
      <c r="F320" s="22"/>
      <c r="G320" s="25" t="b">
        <v>1</v>
      </c>
      <c r="H320" s="22"/>
      <c r="I320" s="23" t="s">
        <v>1878</v>
      </c>
      <c r="J320" s="23" t="s">
        <v>1879</v>
      </c>
      <c r="K320" s="23" t="s">
        <v>1137</v>
      </c>
      <c r="L320" s="23" t="s">
        <v>1137</v>
      </c>
      <c r="M320" s="24" t="s">
        <v>1880</v>
      </c>
      <c r="N320" s="24" t="s">
        <v>1881</v>
      </c>
      <c r="O320" s="24" t="s">
        <v>1882</v>
      </c>
      <c r="P320" s="29"/>
      <c r="Q320" s="29">
        <v>31.0</v>
      </c>
      <c r="R320" s="29">
        <v>62.0</v>
      </c>
      <c r="S320" s="24"/>
      <c r="T320" s="29">
        <v>2007.0</v>
      </c>
      <c r="U320" s="24" t="s">
        <v>331</v>
      </c>
      <c r="V320" s="24"/>
      <c r="W320" s="24"/>
      <c r="X320" s="91" t="s">
        <v>1883</v>
      </c>
      <c r="Y320" s="24" t="s">
        <v>1884</v>
      </c>
      <c r="Z320" s="24"/>
      <c r="AA320" s="30" t="s">
        <v>1883</v>
      </c>
      <c r="AB320" s="24" t="s">
        <v>1164</v>
      </c>
      <c r="AC320" s="24" t="s">
        <v>1885</v>
      </c>
      <c r="AD320" s="24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</row>
    <row r="321">
      <c r="A321" s="2"/>
      <c r="B321" s="2"/>
      <c r="C321" s="2"/>
      <c r="D321" s="4" t="b">
        <v>1</v>
      </c>
      <c r="E321" s="2" t="s">
        <v>1886</v>
      </c>
      <c r="J321" s="2" t="s">
        <v>1887</v>
      </c>
      <c r="K321" s="2" t="s">
        <v>1137</v>
      </c>
      <c r="L321" s="2" t="s">
        <v>1137</v>
      </c>
      <c r="M321" s="16" t="s">
        <v>1888</v>
      </c>
      <c r="N321" s="16" t="s">
        <v>1889</v>
      </c>
      <c r="O321" s="16" t="s">
        <v>1890</v>
      </c>
      <c r="P321" s="31"/>
      <c r="Q321" s="31">
        <v>4867.0</v>
      </c>
      <c r="R321" s="16"/>
      <c r="S321" s="16"/>
      <c r="T321" s="31">
        <v>2022.0</v>
      </c>
      <c r="U321" s="16" t="s">
        <v>331</v>
      </c>
      <c r="V321" s="16"/>
      <c r="W321" s="16"/>
      <c r="X321" s="90" t="s">
        <v>1891</v>
      </c>
      <c r="Y321" s="16"/>
      <c r="Z321" s="16"/>
      <c r="AA321" s="32" t="s">
        <v>1891</v>
      </c>
      <c r="AB321" s="16" t="s">
        <v>1164</v>
      </c>
      <c r="AC321" s="16" t="s">
        <v>1892</v>
      </c>
      <c r="AD321" s="16"/>
    </row>
    <row r="322">
      <c r="A322" s="23"/>
      <c r="B322" s="23"/>
      <c r="C322" s="23"/>
      <c r="D322" s="24" t="b">
        <v>0</v>
      </c>
      <c r="E322" s="22"/>
      <c r="F322" s="22"/>
      <c r="G322" s="25" t="b">
        <v>1</v>
      </c>
      <c r="H322" s="22"/>
      <c r="I322" s="23" t="s">
        <v>1878</v>
      </c>
      <c r="J322" s="23" t="s">
        <v>1893</v>
      </c>
      <c r="K322" s="23" t="s">
        <v>1137</v>
      </c>
      <c r="L322" s="23" t="s">
        <v>1137</v>
      </c>
      <c r="M322" s="24" t="s">
        <v>1894</v>
      </c>
      <c r="N322" s="24" t="s">
        <v>1895</v>
      </c>
      <c r="O322" s="24" t="s">
        <v>1896</v>
      </c>
      <c r="P322" s="29"/>
      <c r="Q322" s="29">
        <v>130.0</v>
      </c>
      <c r="R322" s="29">
        <v>260.0</v>
      </c>
      <c r="S322" s="24"/>
      <c r="T322" s="29">
        <v>2014.0</v>
      </c>
      <c r="U322" s="24" t="s">
        <v>331</v>
      </c>
      <c r="V322" s="24"/>
      <c r="W322" s="24"/>
      <c r="X322" s="91" t="s">
        <v>1897</v>
      </c>
      <c r="Y322" s="24"/>
      <c r="Z322" s="24"/>
      <c r="AA322" s="30" t="s">
        <v>1897</v>
      </c>
      <c r="AB322" s="24" t="s">
        <v>1164</v>
      </c>
      <c r="AC322" s="24" t="s">
        <v>1898</v>
      </c>
      <c r="AD322" s="24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</row>
    <row r="323">
      <c r="A323" s="2"/>
      <c r="B323" s="2"/>
      <c r="C323" s="2"/>
      <c r="D323" s="4" t="b">
        <v>1</v>
      </c>
      <c r="E323" s="2" t="s">
        <v>1899</v>
      </c>
      <c r="J323" s="2" t="s">
        <v>1900</v>
      </c>
      <c r="K323" s="2" t="s">
        <v>1137</v>
      </c>
      <c r="L323" s="2" t="s">
        <v>1137</v>
      </c>
      <c r="M323" s="16" t="s">
        <v>60</v>
      </c>
      <c r="N323" s="16" t="s">
        <v>1901</v>
      </c>
      <c r="O323" s="16" t="s">
        <v>1902</v>
      </c>
      <c r="P323" s="31"/>
      <c r="Q323" s="31">
        <v>82.0</v>
      </c>
      <c r="R323" s="31">
        <v>2000.0</v>
      </c>
      <c r="S323" s="16"/>
      <c r="T323" s="31">
        <v>2018.0</v>
      </c>
      <c r="U323" s="16" t="s">
        <v>331</v>
      </c>
      <c r="V323" s="16"/>
      <c r="W323" s="16"/>
      <c r="X323" s="90" t="s">
        <v>1903</v>
      </c>
      <c r="Y323" s="16" t="s">
        <v>1904</v>
      </c>
      <c r="Z323" s="16"/>
      <c r="AA323" s="32" t="s">
        <v>1903</v>
      </c>
      <c r="AB323" s="16" t="s">
        <v>673</v>
      </c>
      <c r="AC323" s="16" t="s">
        <v>1905</v>
      </c>
      <c r="AD323" s="16"/>
    </row>
    <row r="324">
      <c r="A324" s="39"/>
      <c r="B324" s="39"/>
      <c r="C324" s="39"/>
      <c r="D324" s="55" t="b">
        <v>1</v>
      </c>
      <c r="E324" s="39" t="s">
        <v>1906</v>
      </c>
      <c r="F324" s="38"/>
      <c r="G324" s="38"/>
      <c r="H324" s="38"/>
      <c r="I324" s="38"/>
      <c r="J324" s="39" t="s">
        <v>1907</v>
      </c>
      <c r="K324" s="39" t="s">
        <v>1137</v>
      </c>
      <c r="L324" s="39" t="s">
        <v>1137</v>
      </c>
      <c r="M324" s="56" t="s">
        <v>1908</v>
      </c>
      <c r="N324" s="56" t="s">
        <v>1909</v>
      </c>
      <c r="O324" s="56" t="s">
        <v>1910</v>
      </c>
      <c r="P324" s="58"/>
      <c r="Q324" s="58">
        <v>1388.0</v>
      </c>
      <c r="R324" s="56"/>
      <c r="S324" s="56"/>
      <c r="T324" s="58">
        <v>2014.0</v>
      </c>
      <c r="U324" s="56" t="s">
        <v>331</v>
      </c>
      <c r="V324" s="56"/>
      <c r="W324" s="56"/>
      <c r="X324" s="92" t="s">
        <v>1911</v>
      </c>
      <c r="Y324" s="56" t="s">
        <v>1912</v>
      </c>
      <c r="Z324" s="56"/>
      <c r="AA324" s="57" t="s">
        <v>1911</v>
      </c>
      <c r="AB324" s="56" t="s">
        <v>1164</v>
      </c>
      <c r="AC324" s="56" t="s">
        <v>1913</v>
      </c>
      <c r="AD324" s="56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</row>
    <row r="325">
      <c r="A325" s="2"/>
      <c r="B325" s="2"/>
      <c r="C325" s="2"/>
      <c r="D325" s="4" t="b">
        <v>1</v>
      </c>
      <c r="E325" s="2" t="s">
        <v>1914</v>
      </c>
      <c r="I325" s="2"/>
      <c r="J325" s="2" t="s">
        <v>1915</v>
      </c>
      <c r="K325" s="2" t="s">
        <v>1137</v>
      </c>
      <c r="L325" s="2" t="s">
        <v>1137</v>
      </c>
      <c r="M325" s="16" t="s">
        <v>1788</v>
      </c>
      <c r="N325" s="16" t="s">
        <v>1647</v>
      </c>
      <c r="O325" s="16" t="s">
        <v>1916</v>
      </c>
      <c r="P325" s="31"/>
      <c r="Q325" s="31">
        <v>262.0</v>
      </c>
      <c r="R325" s="16"/>
      <c r="S325" s="16"/>
      <c r="T325" s="31">
        <v>2018.0</v>
      </c>
      <c r="U325" s="16" t="s">
        <v>331</v>
      </c>
      <c r="V325" s="16"/>
      <c r="W325" s="16"/>
      <c r="X325" s="90" t="s">
        <v>1917</v>
      </c>
      <c r="Y325" s="16"/>
      <c r="Z325" s="16"/>
      <c r="AA325" s="32" t="s">
        <v>1917</v>
      </c>
      <c r="AB325" s="16" t="s">
        <v>334</v>
      </c>
      <c r="AC325" s="16" t="s">
        <v>1918</v>
      </c>
      <c r="AD325" s="16"/>
    </row>
    <row r="326">
      <c r="A326" s="2"/>
      <c r="B326" s="2"/>
      <c r="C326" s="2"/>
      <c r="D326" s="4" t="b">
        <v>1</v>
      </c>
      <c r="E326" s="2" t="s">
        <v>1919</v>
      </c>
      <c r="J326" s="2" t="s">
        <v>1920</v>
      </c>
      <c r="K326" s="2" t="s">
        <v>1137</v>
      </c>
      <c r="L326" s="2" t="s">
        <v>1137</v>
      </c>
      <c r="M326" s="16" t="s">
        <v>60</v>
      </c>
      <c r="N326" s="16" t="s">
        <v>1921</v>
      </c>
      <c r="O326" s="16" t="s">
        <v>1922</v>
      </c>
      <c r="P326" s="31"/>
      <c r="Q326" s="31">
        <v>491.0</v>
      </c>
      <c r="R326" s="16"/>
      <c r="S326" s="16"/>
      <c r="T326" s="31">
        <v>2018.0</v>
      </c>
      <c r="U326" s="16" t="s">
        <v>331</v>
      </c>
      <c r="V326" s="16"/>
      <c r="W326" s="16"/>
      <c r="X326" s="90" t="s">
        <v>1923</v>
      </c>
      <c r="Y326" s="16" t="s">
        <v>1924</v>
      </c>
      <c r="Z326" s="16"/>
      <c r="AA326" s="32" t="s">
        <v>1923</v>
      </c>
      <c r="AB326" s="16" t="s">
        <v>1925</v>
      </c>
      <c r="AC326" s="16" t="s">
        <v>1926</v>
      </c>
      <c r="AD326" s="16"/>
    </row>
    <row r="327">
      <c r="A327" s="2"/>
      <c r="B327" s="2"/>
      <c r="C327" s="2"/>
      <c r="D327" s="4" t="b">
        <v>1</v>
      </c>
      <c r="E327" s="2" t="s">
        <v>1927</v>
      </c>
      <c r="J327" s="2" t="s">
        <v>1928</v>
      </c>
      <c r="K327" s="2" t="s">
        <v>1137</v>
      </c>
      <c r="L327" s="2" t="s">
        <v>1137</v>
      </c>
      <c r="M327" s="16" t="s">
        <v>1929</v>
      </c>
      <c r="N327" s="16" t="s">
        <v>1930</v>
      </c>
      <c r="O327" s="16" t="s">
        <v>1931</v>
      </c>
      <c r="P327" s="31"/>
      <c r="Q327" s="31">
        <v>60.0</v>
      </c>
      <c r="R327" s="16"/>
      <c r="S327" s="16"/>
      <c r="T327" s="31">
        <v>2022.0</v>
      </c>
      <c r="U327" s="16" t="s">
        <v>331</v>
      </c>
      <c r="V327" s="16"/>
      <c r="W327" s="16"/>
      <c r="X327" s="90" t="s">
        <v>1932</v>
      </c>
      <c r="Y327" s="16"/>
      <c r="Z327" s="16"/>
      <c r="AA327" s="32" t="s">
        <v>1932</v>
      </c>
      <c r="AB327" s="16" t="s">
        <v>346</v>
      </c>
      <c r="AC327" s="16" t="s">
        <v>1933</v>
      </c>
      <c r="AD327" s="16"/>
    </row>
    <row r="328">
      <c r="A328" s="23"/>
      <c r="B328" s="23"/>
      <c r="C328" s="23"/>
      <c r="D328" s="25" t="b">
        <v>0</v>
      </c>
      <c r="E328" s="22"/>
      <c r="F328" s="22"/>
      <c r="G328" s="22"/>
      <c r="H328" s="25" t="b">
        <v>1</v>
      </c>
      <c r="I328" s="23" t="s">
        <v>1934</v>
      </c>
      <c r="J328" s="23" t="s">
        <v>1935</v>
      </c>
      <c r="K328" s="23" t="s">
        <v>1137</v>
      </c>
      <c r="L328" s="23" t="s">
        <v>1137</v>
      </c>
      <c r="M328" s="24" t="s">
        <v>1929</v>
      </c>
      <c r="N328" s="24" t="s">
        <v>1936</v>
      </c>
      <c r="O328" s="24" t="s">
        <v>1937</v>
      </c>
      <c r="P328" s="29"/>
      <c r="Q328" s="29">
        <v>73.0</v>
      </c>
      <c r="R328" s="24"/>
      <c r="S328" s="24"/>
      <c r="T328" s="29">
        <v>2023.0</v>
      </c>
      <c r="U328" s="24" t="s">
        <v>331</v>
      </c>
      <c r="V328" s="24"/>
      <c r="W328" s="24"/>
      <c r="X328" s="91" t="s">
        <v>1938</v>
      </c>
      <c r="Y328" s="24"/>
      <c r="Z328" s="24"/>
      <c r="AA328" s="30" t="s">
        <v>1938</v>
      </c>
      <c r="AB328" s="24" t="s">
        <v>1244</v>
      </c>
      <c r="AC328" s="24" t="s">
        <v>1939</v>
      </c>
      <c r="AD328" s="24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</row>
    <row r="329">
      <c r="A329" s="2"/>
      <c r="B329" s="2"/>
      <c r="C329" s="2"/>
      <c r="D329" s="16" t="b">
        <v>0</v>
      </c>
      <c r="E329" s="2" t="s">
        <v>1940</v>
      </c>
      <c r="J329" s="2" t="s">
        <v>1941</v>
      </c>
      <c r="K329" s="2" t="s">
        <v>1137</v>
      </c>
      <c r="L329" s="2" t="s">
        <v>1137</v>
      </c>
      <c r="M329" s="16" t="s">
        <v>1908</v>
      </c>
      <c r="N329" s="16" t="s">
        <v>1942</v>
      </c>
      <c r="O329" s="16" t="s">
        <v>1943</v>
      </c>
      <c r="P329" s="31"/>
      <c r="Q329" s="31">
        <v>25.0</v>
      </c>
      <c r="R329" s="31">
        <v>50.0</v>
      </c>
      <c r="S329" s="16"/>
      <c r="T329" s="31">
        <v>2016.0</v>
      </c>
      <c r="U329" s="16" t="s">
        <v>331</v>
      </c>
      <c r="V329" s="16"/>
      <c r="W329" s="16"/>
      <c r="X329" s="90" t="s">
        <v>1944</v>
      </c>
      <c r="Y329" s="16"/>
      <c r="Z329" s="16"/>
      <c r="AA329" s="32" t="s">
        <v>1944</v>
      </c>
      <c r="AB329" s="16" t="s">
        <v>1164</v>
      </c>
      <c r="AC329" s="16" t="s">
        <v>1945</v>
      </c>
      <c r="AD329" s="16"/>
    </row>
    <row r="330">
      <c r="A330" s="23"/>
      <c r="B330" s="23"/>
      <c r="C330" s="23"/>
      <c r="D330" s="24" t="b">
        <v>0</v>
      </c>
      <c r="E330" s="22"/>
      <c r="F330" s="22"/>
      <c r="G330" s="22"/>
      <c r="H330" s="25" t="b">
        <v>1</v>
      </c>
      <c r="I330" s="23" t="s">
        <v>1946</v>
      </c>
      <c r="J330" s="23" t="s">
        <v>1947</v>
      </c>
      <c r="K330" s="23" t="s">
        <v>1137</v>
      </c>
      <c r="L330" s="23" t="s">
        <v>1137</v>
      </c>
      <c r="M330" s="24" t="s">
        <v>1948</v>
      </c>
      <c r="N330" s="24" t="s">
        <v>1949</v>
      </c>
      <c r="O330" s="24" t="s">
        <v>1950</v>
      </c>
      <c r="P330" s="24"/>
      <c r="Q330" s="24"/>
      <c r="R330" s="24"/>
      <c r="S330" s="24"/>
      <c r="T330" s="24"/>
      <c r="U330" s="24"/>
      <c r="V330" s="24"/>
      <c r="W330" s="24"/>
      <c r="X330" s="91" t="s">
        <v>1951</v>
      </c>
      <c r="Y330" s="24"/>
      <c r="Z330" s="24"/>
      <c r="AA330" s="30" t="s">
        <v>1951</v>
      </c>
      <c r="AB330" s="24" t="s">
        <v>1947</v>
      </c>
      <c r="AC330" s="24" t="s">
        <v>1952</v>
      </c>
      <c r="AD330" s="24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</row>
    <row r="331">
      <c r="A331" s="12"/>
      <c r="B331" s="12"/>
      <c r="C331" s="12"/>
      <c r="D331" s="13" t="b">
        <v>1</v>
      </c>
      <c r="E331" s="12" t="s">
        <v>1953</v>
      </c>
      <c r="F331" s="11"/>
      <c r="G331" s="11"/>
      <c r="H331" s="11"/>
      <c r="I331" s="11"/>
      <c r="J331" s="12" t="s">
        <v>1954</v>
      </c>
      <c r="K331" s="12" t="s">
        <v>1137</v>
      </c>
      <c r="L331" s="12" t="s">
        <v>1137</v>
      </c>
      <c r="M331" s="35" t="s">
        <v>1955</v>
      </c>
      <c r="N331" s="35" t="s">
        <v>1956</v>
      </c>
      <c r="O331" s="35" t="s">
        <v>1957</v>
      </c>
      <c r="P331" s="36"/>
      <c r="Q331" s="36">
        <v>50.0</v>
      </c>
      <c r="R331" s="36">
        <v>500.0</v>
      </c>
      <c r="S331" s="35"/>
      <c r="T331" s="36">
        <v>2021.0</v>
      </c>
      <c r="U331" s="35" t="s">
        <v>331</v>
      </c>
      <c r="V331" s="35"/>
      <c r="W331" s="35"/>
      <c r="X331" s="93" t="s">
        <v>1958</v>
      </c>
      <c r="Y331" s="35" t="s">
        <v>1959</v>
      </c>
      <c r="Z331" s="35"/>
      <c r="AA331" s="37" t="s">
        <v>1958</v>
      </c>
      <c r="AB331" s="35" t="s">
        <v>334</v>
      </c>
      <c r="AC331" s="35" t="s">
        <v>1960</v>
      </c>
      <c r="AD331" s="35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</row>
    <row r="332">
      <c r="A332" s="2"/>
      <c r="B332" s="2"/>
      <c r="C332" s="2"/>
      <c r="D332" s="4" t="b">
        <v>1</v>
      </c>
      <c r="E332" s="2" t="s">
        <v>1961</v>
      </c>
      <c r="F332" s="4" t="b">
        <v>0</v>
      </c>
      <c r="G332" s="4" t="b">
        <v>0</v>
      </c>
      <c r="H332" s="4" t="b">
        <v>0</v>
      </c>
      <c r="I332" s="15" t="s">
        <v>1962</v>
      </c>
      <c r="J332" s="2" t="s">
        <v>1963</v>
      </c>
      <c r="K332" s="2" t="s">
        <v>1137</v>
      </c>
      <c r="L332" s="2" t="s">
        <v>1137</v>
      </c>
      <c r="M332" s="16" t="s">
        <v>1964</v>
      </c>
      <c r="N332" s="16" t="s">
        <v>1965</v>
      </c>
      <c r="O332" s="16" t="s">
        <v>1966</v>
      </c>
      <c r="P332" s="64"/>
      <c r="Q332" s="64">
        <v>147.0</v>
      </c>
      <c r="R332" s="16"/>
      <c r="S332" s="16"/>
      <c r="T332" s="16"/>
      <c r="U332" s="16" t="s">
        <v>331</v>
      </c>
      <c r="V332" s="16"/>
      <c r="W332" s="16"/>
      <c r="X332" s="90" t="s">
        <v>1967</v>
      </c>
      <c r="Y332" s="16"/>
      <c r="Z332" s="16"/>
      <c r="AA332" s="32" t="s">
        <v>1967</v>
      </c>
      <c r="AB332" s="16" t="s">
        <v>1164</v>
      </c>
      <c r="AC332" s="16" t="s">
        <v>1968</v>
      </c>
      <c r="AD332" s="16"/>
    </row>
    <row r="333">
      <c r="A333" s="76"/>
      <c r="B333" s="76"/>
      <c r="C333" s="76"/>
      <c r="D333" s="73" t="b">
        <v>0</v>
      </c>
      <c r="E333" s="76" t="s">
        <v>1969</v>
      </c>
      <c r="F333" s="75" t="b">
        <v>0</v>
      </c>
      <c r="G333" s="75" t="b">
        <v>0</v>
      </c>
      <c r="H333" s="75" t="b">
        <v>0</v>
      </c>
      <c r="I333" s="94" t="s">
        <v>1970</v>
      </c>
      <c r="J333" s="76" t="s">
        <v>1971</v>
      </c>
      <c r="K333" s="76" t="s">
        <v>1137</v>
      </c>
      <c r="L333" s="76" t="s">
        <v>1137</v>
      </c>
      <c r="M333" s="73" t="s">
        <v>1972</v>
      </c>
      <c r="N333" s="73" t="s">
        <v>1973</v>
      </c>
      <c r="O333" s="73" t="s">
        <v>1974</v>
      </c>
      <c r="P333" s="77"/>
      <c r="Q333" s="77">
        <v>774.0</v>
      </c>
      <c r="R333" s="77">
        <v>3096.0</v>
      </c>
      <c r="S333" s="73"/>
      <c r="T333" s="73"/>
      <c r="U333" s="73" t="s">
        <v>331</v>
      </c>
      <c r="V333" s="73"/>
      <c r="W333" s="73"/>
      <c r="X333" s="95" t="s">
        <v>1975</v>
      </c>
      <c r="Y333" s="73" t="s">
        <v>1976</v>
      </c>
      <c r="Z333" s="73"/>
      <c r="AA333" s="78" t="s">
        <v>1975</v>
      </c>
      <c r="AB333" s="73" t="s">
        <v>1977</v>
      </c>
      <c r="AC333" s="73" t="s">
        <v>1975</v>
      </c>
      <c r="AD333" s="73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</row>
    <row r="334">
      <c r="A334" s="2"/>
      <c r="B334" s="2"/>
      <c r="C334" s="2"/>
      <c r="D334" s="4" t="b">
        <v>1</v>
      </c>
      <c r="E334" s="2" t="s">
        <v>1978</v>
      </c>
      <c r="F334" s="4" t="b">
        <v>0</v>
      </c>
      <c r="G334" s="4" t="b">
        <v>0</v>
      </c>
      <c r="H334" s="4" t="b">
        <v>0</v>
      </c>
      <c r="I334" s="5" t="s">
        <v>1979</v>
      </c>
      <c r="J334" s="2" t="s">
        <v>1980</v>
      </c>
      <c r="K334" s="2" t="s">
        <v>1137</v>
      </c>
      <c r="L334" s="2" t="s">
        <v>1137</v>
      </c>
      <c r="M334" s="16" t="s">
        <v>1693</v>
      </c>
      <c r="N334" s="16" t="s">
        <v>1981</v>
      </c>
      <c r="O334" s="16" t="s">
        <v>1982</v>
      </c>
      <c r="P334" s="31"/>
      <c r="Q334" s="31">
        <v>430.0</v>
      </c>
      <c r="R334" s="16"/>
      <c r="S334" s="16"/>
      <c r="T334" s="31">
        <v>2020.0</v>
      </c>
      <c r="U334" s="16" t="s">
        <v>331</v>
      </c>
      <c r="V334" s="16"/>
      <c r="W334" s="16"/>
      <c r="X334" s="90" t="s">
        <v>1983</v>
      </c>
      <c r="Y334" s="16" t="s">
        <v>1984</v>
      </c>
      <c r="Z334" s="16"/>
      <c r="AA334" s="32" t="s">
        <v>1983</v>
      </c>
      <c r="AB334" s="16" t="s">
        <v>1985</v>
      </c>
      <c r="AC334" s="16" t="s">
        <v>1986</v>
      </c>
      <c r="AD334" s="16"/>
    </row>
    <row r="335">
      <c r="A335" s="2"/>
      <c r="B335" s="2"/>
      <c r="C335" s="2"/>
      <c r="D335" s="4" t="b">
        <v>1</v>
      </c>
      <c r="E335" s="2" t="s">
        <v>1987</v>
      </c>
      <c r="F335" s="4" t="b">
        <v>0</v>
      </c>
      <c r="G335" s="4" t="b">
        <v>0</v>
      </c>
      <c r="H335" s="4" t="b">
        <v>0</v>
      </c>
      <c r="I335" s="2"/>
      <c r="J335" s="2" t="s">
        <v>1988</v>
      </c>
      <c r="K335" s="2" t="s">
        <v>1137</v>
      </c>
      <c r="L335" s="2" t="s">
        <v>1137</v>
      </c>
      <c r="M335" s="16" t="s">
        <v>1989</v>
      </c>
      <c r="N335" s="16" t="s">
        <v>1990</v>
      </c>
      <c r="O335" s="16" t="s">
        <v>1991</v>
      </c>
      <c r="P335" s="31"/>
      <c r="Q335" s="31">
        <v>1251.0</v>
      </c>
      <c r="R335" s="31">
        <v>5004.0</v>
      </c>
      <c r="S335" s="16"/>
      <c r="T335" s="31">
        <v>2022.0</v>
      </c>
      <c r="U335" s="16" t="s">
        <v>331</v>
      </c>
      <c r="V335" s="16"/>
      <c r="W335" s="16"/>
      <c r="X335" s="90" t="s">
        <v>1992</v>
      </c>
      <c r="Y335" s="16" t="s">
        <v>1993</v>
      </c>
      <c r="Z335" s="16"/>
      <c r="AA335" s="32" t="s">
        <v>1992</v>
      </c>
      <c r="AB335" s="16" t="s">
        <v>1244</v>
      </c>
      <c r="AC335" s="16" t="s">
        <v>1994</v>
      </c>
      <c r="AD335" s="16"/>
    </row>
    <row r="336">
      <c r="A336" s="2"/>
      <c r="B336" s="2"/>
      <c r="C336" s="2"/>
      <c r="D336" s="4" t="b">
        <v>1</v>
      </c>
      <c r="E336" s="2" t="s">
        <v>1987</v>
      </c>
      <c r="F336" s="4" t="b">
        <v>0</v>
      </c>
      <c r="G336" s="4" t="b">
        <v>0</v>
      </c>
      <c r="H336" s="4" t="b">
        <v>0</v>
      </c>
      <c r="I336" s="2" t="s">
        <v>1995</v>
      </c>
      <c r="J336" s="2" t="s">
        <v>1996</v>
      </c>
      <c r="K336" s="2" t="s">
        <v>1137</v>
      </c>
      <c r="L336" s="2" t="s">
        <v>1137</v>
      </c>
      <c r="M336" s="16" t="s">
        <v>1989</v>
      </c>
      <c r="N336" s="16" t="s">
        <v>1997</v>
      </c>
      <c r="O336" s="16" t="s">
        <v>1998</v>
      </c>
      <c r="P336" s="16"/>
      <c r="Q336" s="16"/>
      <c r="R336" s="16"/>
      <c r="S336" s="16"/>
      <c r="T336" s="31">
        <v>2024.0</v>
      </c>
      <c r="U336" s="16" t="s">
        <v>331</v>
      </c>
      <c r="V336" s="16"/>
      <c r="W336" s="16"/>
      <c r="X336" s="90" t="s">
        <v>1999</v>
      </c>
      <c r="Y336" s="16" t="s">
        <v>2000</v>
      </c>
      <c r="Z336" s="16"/>
      <c r="AA336" s="32" t="s">
        <v>1999</v>
      </c>
      <c r="AB336" s="16" t="s">
        <v>1244</v>
      </c>
      <c r="AC336" s="16" t="s">
        <v>2001</v>
      </c>
      <c r="AD336" s="16"/>
    </row>
    <row r="337">
      <c r="A337" s="2"/>
      <c r="B337" s="2"/>
      <c r="C337" s="2"/>
      <c r="D337" s="4" t="b">
        <v>1</v>
      </c>
      <c r="E337" s="2" t="s">
        <v>2002</v>
      </c>
      <c r="F337" s="4" t="b">
        <v>0</v>
      </c>
      <c r="G337" s="4" t="b">
        <v>0</v>
      </c>
      <c r="H337" s="4" t="b">
        <v>0</v>
      </c>
      <c r="I337" s="5" t="s">
        <v>2003</v>
      </c>
      <c r="J337" s="2" t="s">
        <v>2004</v>
      </c>
      <c r="K337" s="2" t="s">
        <v>1137</v>
      </c>
      <c r="L337" s="2" t="s">
        <v>1137</v>
      </c>
      <c r="M337" s="16" t="s">
        <v>2005</v>
      </c>
      <c r="N337" s="16" t="s">
        <v>2006</v>
      </c>
      <c r="O337" s="16" t="s">
        <v>2007</v>
      </c>
      <c r="P337" s="31"/>
      <c r="Q337" s="31">
        <v>13.0</v>
      </c>
      <c r="R337" s="31">
        <v>52.0</v>
      </c>
      <c r="S337" s="16"/>
      <c r="T337" s="31">
        <v>2012.0</v>
      </c>
      <c r="U337" s="16" t="s">
        <v>331</v>
      </c>
      <c r="V337" s="16"/>
      <c r="W337" s="16"/>
      <c r="X337" s="90" t="s">
        <v>2008</v>
      </c>
      <c r="Y337" s="16" t="s">
        <v>2009</v>
      </c>
      <c r="Z337" s="16"/>
      <c r="AA337" s="32" t="s">
        <v>2008</v>
      </c>
      <c r="AB337" s="16" t="s">
        <v>1164</v>
      </c>
      <c r="AC337" s="16" t="s">
        <v>2010</v>
      </c>
      <c r="AD337" s="16"/>
    </row>
    <row r="338">
      <c r="A338" s="23"/>
      <c r="B338" s="23"/>
      <c r="C338" s="23"/>
      <c r="D338" s="24" t="b">
        <v>0</v>
      </c>
      <c r="E338" s="23" t="s">
        <v>1969</v>
      </c>
      <c r="F338" s="25" t="b">
        <v>0</v>
      </c>
      <c r="G338" s="25" t="b">
        <v>1</v>
      </c>
      <c r="H338" s="25" t="b">
        <v>0</v>
      </c>
      <c r="I338" s="23" t="s">
        <v>2011</v>
      </c>
      <c r="J338" s="23" t="s">
        <v>2012</v>
      </c>
      <c r="K338" s="23" t="s">
        <v>1137</v>
      </c>
      <c r="L338" s="23" t="s">
        <v>1137</v>
      </c>
      <c r="M338" s="24" t="s">
        <v>235</v>
      </c>
      <c r="N338" s="24" t="s">
        <v>2013</v>
      </c>
      <c r="O338" s="24" t="s">
        <v>2014</v>
      </c>
      <c r="P338" s="24"/>
      <c r="Q338" s="24"/>
      <c r="R338" s="24"/>
      <c r="S338" s="24"/>
      <c r="T338" s="29">
        <v>2016.0</v>
      </c>
      <c r="U338" s="24" t="s">
        <v>331</v>
      </c>
      <c r="V338" s="24"/>
      <c r="W338" s="24"/>
      <c r="X338" s="91" t="s">
        <v>2015</v>
      </c>
      <c r="Y338" s="24"/>
      <c r="Z338" s="24"/>
      <c r="AA338" s="30" t="s">
        <v>2015</v>
      </c>
      <c r="AB338" s="24" t="s">
        <v>2016</v>
      </c>
      <c r="AC338" s="24" t="s">
        <v>2017</v>
      </c>
      <c r="AD338" s="24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</row>
    <row r="339">
      <c r="A339" s="2"/>
      <c r="B339" s="2"/>
      <c r="C339" s="2"/>
      <c r="D339" s="4" t="b">
        <v>1</v>
      </c>
      <c r="E339" s="2" t="s">
        <v>2018</v>
      </c>
      <c r="F339" s="4" t="b">
        <v>0</v>
      </c>
      <c r="G339" s="4" t="b">
        <v>0</v>
      </c>
      <c r="H339" s="4" t="b">
        <v>0</v>
      </c>
      <c r="J339" s="2" t="s">
        <v>2019</v>
      </c>
      <c r="K339" s="2" t="s">
        <v>1137</v>
      </c>
      <c r="L339" s="2" t="s">
        <v>1137</v>
      </c>
      <c r="M339" s="16" t="s">
        <v>2020</v>
      </c>
      <c r="N339" s="16" t="s">
        <v>2021</v>
      </c>
      <c r="O339" s="16" t="s">
        <v>2022</v>
      </c>
      <c r="P339" s="16"/>
      <c r="Q339" s="16"/>
      <c r="R339" s="16"/>
      <c r="S339" s="16"/>
      <c r="T339" s="31">
        <v>2018.0</v>
      </c>
      <c r="U339" s="16" t="s">
        <v>331</v>
      </c>
      <c r="V339" s="16"/>
      <c r="W339" s="16"/>
      <c r="X339" s="90" t="s">
        <v>2023</v>
      </c>
      <c r="Y339" s="16" t="s">
        <v>2024</v>
      </c>
      <c r="Z339" s="16"/>
      <c r="AA339" s="32" t="s">
        <v>2023</v>
      </c>
      <c r="AB339" s="16" t="s">
        <v>72</v>
      </c>
      <c r="AC339" s="16" t="s">
        <v>2023</v>
      </c>
      <c r="AD339" s="16"/>
    </row>
    <row r="340">
      <c r="A340" s="76"/>
      <c r="B340" s="76"/>
      <c r="C340" s="76"/>
      <c r="D340" s="73" t="b">
        <v>0</v>
      </c>
      <c r="E340" s="76" t="s">
        <v>1969</v>
      </c>
      <c r="F340" s="75" t="b">
        <v>0</v>
      </c>
      <c r="G340" s="75" t="b">
        <v>0</v>
      </c>
      <c r="H340" s="75" t="b">
        <v>0</v>
      </c>
      <c r="I340" s="76" t="s">
        <v>2025</v>
      </c>
      <c r="J340" s="76" t="s">
        <v>2026</v>
      </c>
      <c r="K340" s="76" t="s">
        <v>1137</v>
      </c>
      <c r="L340" s="76" t="s">
        <v>1137</v>
      </c>
      <c r="M340" s="73" t="s">
        <v>2027</v>
      </c>
      <c r="N340" s="73" t="s">
        <v>2028</v>
      </c>
      <c r="O340" s="73" t="s">
        <v>2029</v>
      </c>
      <c r="P340" s="77"/>
      <c r="Q340" s="77">
        <v>1570.0</v>
      </c>
      <c r="R340" s="73"/>
      <c r="S340" s="73"/>
      <c r="T340" s="77">
        <v>2015.0</v>
      </c>
      <c r="U340" s="73" t="s">
        <v>331</v>
      </c>
      <c r="V340" s="73"/>
      <c r="W340" s="73"/>
      <c r="X340" s="95" t="s">
        <v>2030</v>
      </c>
      <c r="Y340" s="73" t="s">
        <v>2031</v>
      </c>
      <c r="Z340" s="73"/>
      <c r="AA340" s="78" t="s">
        <v>2030</v>
      </c>
      <c r="AB340" s="73" t="s">
        <v>1218</v>
      </c>
      <c r="AC340" s="73" t="s">
        <v>2032</v>
      </c>
      <c r="AD340" s="73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74"/>
      <c r="AT340" s="74"/>
      <c r="AU340" s="74"/>
      <c r="AV340" s="74"/>
    </row>
    <row r="341">
      <c r="A341" s="23"/>
      <c r="B341" s="23"/>
      <c r="C341" s="23"/>
      <c r="D341" s="24" t="b">
        <v>0</v>
      </c>
      <c r="E341" s="23" t="s">
        <v>1969</v>
      </c>
      <c r="F341" s="25" t="b">
        <v>0</v>
      </c>
      <c r="G341" s="25" t="b">
        <v>1</v>
      </c>
      <c r="H341" s="25" t="b">
        <v>0</v>
      </c>
      <c r="I341" s="22"/>
      <c r="J341" s="23" t="s">
        <v>2033</v>
      </c>
      <c r="K341" s="23" t="s">
        <v>1137</v>
      </c>
      <c r="L341" s="23" t="s">
        <v>1137</v>
      </c>
      <c r="M341" s="24" t="s">
        <v>2034</v>
      </c>
      <c r="N341" s="24" t="s">
        <v>2035</v>
      </c>
      <c r="O341" s="24" t="s">
        <v>2036</v>
      </c>
      <c r="P341" s="29"/>
      <c r="Q341" s="29">
        <v>2.0</v>
      </c>
      <c r="R341" s="24"/>
      <c r="S341" s="24"/>
      <c r="T341" s="29">
        <v>2012.0</v>
      </c>
      <c r="U341" s="24" t="s">
        <v>331</v>
      </c>
      <c r="V341" s="24"/>
      <c r="W341" s="24"/>
      <c r="X341" s="91" t="s">
        <v>2037</v>
      </c>
      <c r="Y341" s="24" t="s">
        <v>2038</v>
      </c>
      <c r="Z341" s="24"/>
      <c r="AA341" s="30" t="s">
        <v>2037</v>
      </c>
      <c r="AB341" s="24" t="s">
        <v>2039</v>
      </c>
      <c r="AC341" s="24" t="s">
        <v>2040</v>
      </c>
      <c r="AD341" s="24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</row>
    <row r="342">
      <c r="A342" s="2"/>
      <c r="B342" s="2"/>
      <c r="C342" s="2"/>
      <c r="D342" s="4" t="b">
        <v>1</v>
      </c>
      <c r="E342" s="2" t="s">
        <v>2041</v>
      </c>
      <c r="F342" s="4" t="b">
        <v>0</v>
      </c>
      <c r="G342" s="4" t="b">
        <v>0</v>
      </c>
      <c r="H342" s="4" t="b">
        <v>0</v>
      </c>
      <c r="I342" s="5" t="s">
        <v>2042</v>
      </c>
      <c r="J342" s="2" t="s">
        <v>2043</v>
      </c>
      <c r="K342" s="2" t="s">
        <v>1137</v>
      </c>
      <c r="L342" s="2" t="s">
        <v>1137</v>
      </c>
      <c r="M342" s="16" t="s">
        <v>2034</v>
      </c>
      <c r="N342" s="16" t="s">
        <v>2044</v>
      </c>
      <c r="O342" s="16" t="s">
        <v>2045</v>
      </c>
      <c r="P342" s="16"/>
      <c r="Q342" s="16"/>
      <c r="R342" s="16"/>
      <c r="S342" s="16"/>
      <c r="T342" s="31">
        <v>2013.0</v>
      </c>
      <c r="U342" s="16" t="s">
        <v>331</v>
      </c>
      <c r="V342" s="16"/>
      <c r="W342" s="16"/>
      <c r="X342" s="90" t="s">
        <v>2046</v>
      </c>
      <c r="Y342" s="16" t="s">
        <v>2038</v>
      </c>
      <c r="Z342" s="16"/>
      <c r="AA342" s="32" t="s">
        <v>2046</v>
      </c>
      <c r="AB342" s="16" t="s">
        <v>2047</v>
      </c>
      <c r="AC342" s="16" t="s">
        <v>2048</v>
      </c>
      <c r="AD342" s="16"/>
    </row>
    <row r="343">
      <c r="A343" s="2"/>
      <c r="B343" s="2"/>
      <c r="C343" s="2"/>
      <c r="D343" s="4" t="b">
        <v>1</v>
      </c>
      <c r="E343" s="2" t="s">
        <v>2049</v>
      </c>
      <c r="F343" s="4" t="b">
        <v>0</v>
      </c>
      <c r="G343" s="4" t="b">
        <v>0</v>
      </c>
      <c r="H343" s="4" t="b">
        <v>0</v>
      </c>
      <c r="J343" s="2" t="s">
        <v>2050</v>
      </c>
      <c r="K343" s="2" t="s">
        <v>1137</v>
      </c>
      <c r="L343" s="2" t="s">
        <v>1137</v>
      </c>
      <c r="M343" s="16" t="s">
        <v>2051</v>
      </c>
      <c r="N343" s="16" t="s">
        <v>2052</v>
      </c>
      <c r="O343" s="16" t="s">
        <v>2053</v>
      </c>
      <c r="P343" s="31"/>
      <c r="Q343" s="31">
        <v>13.0</v>
      </c>
      <c r="R343" s="16"/>
      <c r="S343" s="16"/>
      <c r="T343" s="31">
        <v>2017.0</v>
      </c>
      <c r="U343" s="16" t="s">
        <v>690</v>
      </c>
      <c r="V343" s="16"/>
      <c r="W343" s="16"/>
      <c r="X343" s="90" t="s">
        <v>2054</v>
      </c>
      <c r="Y343" s="16" t="s">
        <v>2055</v>
      </c>
      <c r="Z343" s="16"/>
      <c r="AA343" s="32" t="s">
        <v>2054</v>
      </c>
      <c r="AB343" s="16" t="s">
        <v>2056</v>
      </c>
      <c r="AC343" s="16" t="s">
        <v>2057</v>
      </c>
      <c r="AD343" s="16"/>
    </row>
    <row r="344">
      <c r="A344" s="12"/>
      <c r="B344" s="12"/>
      <c r="C344" s="12"/>
      <c r="D344" s="13" t="b">
        <v>1</v>
      </c>
      <c r="E344" s="13" t="b">
        <v>1</v>
      </c>
      <c r="F344" s="13" t="b">
        <v>0</v>
      </c>
      <c r="G344" s="13" t="b">
        <v>0</v>
      </c>
      <c r="H344" s="13" t="b">
        <v>0</v>
      </c>
      <c r="I344" s="96"/>
      <c r="J344" s="12" t="s">
        <v>2058</v>
      </c>
      <c r="K344" s="12" t="s">
        <v>1137</v>
      </c>
      <c r="L344" s="12" t="s">
        <v>1137</v>
      </c>
      <c r="M344" s="35" t="s">
        <v>2059</v>
      </c>
      <c r="N344" s="35" t="s">
        <v>2060</v>
      </c>
      <c r="O344" s="35" t="s">
        <v>2061</v>
      </c>
      <c r="P344" s="36"/>
      <c r="Q344" s="36">
        <v>1206.0</v>
      </c>
      <c r="R344" s="35"/>
      <c r="S344" s="35"/>
      <c r="T344" s="36">
        <v>2017.0</v>
      </c>
      <c r="U344" s="35" t="s">
        <v>690</v>
      </c>
      <c r="V344" s="35"/>
      <c r="W344" s="35"/>
      <c r="X344" s="93" t="s">
        <v>2062</v>
      </c>
      <c r="Y344" s="35" t="s">
        <v>2063</v>
      </c>
      <c r="Z344" s="35"/>
      <c r="AA344" s="37" t="s">
        <v>2062</v>
      </c>
      <c r="AB344" s="35" t="s">
        <v>2056</v>
      </c>
      <c r="AC344" s="35" t="s">
        <v>2064</v>
      </c>
      <c r="AD344" s="35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</row>
    <row r="345">
      <c r="A345" s="2"/>
      <c r="B345" s="2"/>
      <c r="C345" s="2"/>
      <c r="D345" s="4" t="b">
        <v>1</v>
      </c>
      <c r="E345" s="2" t="s">
        <v>2065</v>
      </c>
      <c r="F345" s="4" t="b">
        <v>0</v>
      </c>
      <c r="G345" s="4" t="b">
        <v>0</v>
      </c>
      <c r="H345" s="4" t="b">
        <v>0</v>
      </c>
      <c r="J345" s="2" t="s">
        <v>2066</v>
      </c>
      <c r="K345" s="2" t="s">
        <v>1137</v>
      </c>
      <c r="L345" s="2" t="s">
        <v>1137</v>
      </c>
      <c r="M345" s="16" t="s">
        <v>1693</v>
      </c>
      <c r="N345" s="16" t="s">
        <v>2067</v>
      </c>
      <c r="O345" s="16" t="s">
        <v>2068</v>
      </c>
      <c r="P345" s="31"/>
      <c r="Q345" s="31">
        <v>394.0</v>
      </c>
      <c r="R345" s="16"/>
      <c r="S345" s="16"/>
      <c r="T345" s="16"/>
      <c r="U345" s="16" t="s">
        <v>331</v>
      </c>
      <c r="V345" s="16"/>
      <c r="W345" s="16"/>
      <c r="X345" s="90" t="s">
        <v>2069</v>
      </c>
      <c r="Y345" s="16" t="s">
        <v>2070</v>
      </c>
      <c r="Z345" s="16"/>
      <c r="AA345" s="32" t="s">
        <v>2069</v>
      </c>
      <c r="AB345" s="16" t="s">
        <v>346</v>
      </c>
      <c r="AC345" s="16" t="s">
        <v>2071</v>
      </c>
      <c r="AD345" s="16"/>
    </row>
    <row r="346">
      <c r="A346" s="2"/>
      <c r="B346" s="2"/>
      <c r="C346" s="2"/>
      <c r="D346" s="4" t="b">
        <v>1</v>
      </c>
      <c r="E346" s="2" t="s">
        <v>2072</v>
      </c>
      <c r="F346" s="4" t="b">
        <v>0</v>
      </c>
      <c r="G346" s="4" t="b">
        <v>0</v>
      </c>
      <c r="H346" s="4" t="b">
        <v>0</v>
      </c>
      <c r="J346" s="2" t="s">
        <v>2073</v>
      </c>
      <c r="K346" s="2" t="s">
        <v>1137</v>
      </c>
      <c r="L346" s="2" t="s">
        <v>1137</v>
      </c>
      <c r="M346" s="16" t="s">
        <v>2074</v>
      </c>
      <c r="N346" s="16" t="s">
        <v>2075</v>
      </c>
      <c r="O346" s="16"/>
      <c r="P346" s="31"/>
      <c r="Q346" s="31">
        <v>45.0</v>
      </c>
      <c r="R346" s="31">
        <v>90.0</v>
      </c>
      <c r="S346" s="16"/>
      <c r="T346" s="31">
        <v>2014.0</v>
      </c>
      <c r="U346" s="16" t="s">
        <v>576</v>
      </c>
      <c r="V346" s="16"/>
      <c r="W346" s="16"/>
      <c r="X346" s="90" t="s">
        <v>2076</v>
      </c>
      <c r="Y346" s="16" t="s">
        <v>2077</v>
      </c>
      <c r="Z346" s="16"/>
      <c r="AA346" s="32" t="s">
        <v>2076</v>
      </c>
      <c r="AB346" s="16" t="s">
        <v>1164</v>
      </c>
      <c r="AC346" s="16" t="s">
        <v>2078</v>
      </c>
      <c r="AD346" s="16"/>
    </row>
    <row r="347">
      <c r="A347" s="2"/>
      <c r="B347" s="2"/>
      <c r="C347" s="2"/>
      <c r="D347" s="4" t="b">
        <v>1</v>
      </c>
      <c r="E347" s="2" t="s">
        <v>2079</v>
      </c>
      <c r="F347" s="4" t="b">
        <v>1</v>
      </c>
      <c r="G347" s="4" t="b">
        <v>0</v>
      </c>
      <c r="H347" s="4" t="b">
        <v>0</v>
      </c>
      <c r="I347" s="2" t="s">
        <v>2080</v>
      </c>
      <c r="J347" s="2" t="s">
        <v>2081</v>
      </c>
      <c r="K347" s="2" t="s">
        <v>1137</v>
      </c>
      <c r="L347" s="2" t="s">
        <v>1137</v>
      </c>
      <c r="M347" s="16" t="s">
        <v>1693</v>
      </c>
      <c r="N347" s="16" t="s">
        <v>76</v>
      </c>
      <c r="O347" s="16" t="s">
        <v>2082</v>
      </c>
      <c r="P347" s="4">
        <v>1381.0</v>
      </c>
      <c r="Q347" s="4">
        <v>1381.0</v>
      </c>
      <c r="R347" s="4">
        <v>1381.0</v>
      </c>
      <c r="S347" s="16"/>
      <c r="T347" s="16" t="s">
        <v>1829</v>
      </c>
      <c r="U347" s="16" t="s">
        <v>331</v>
      </c>
      <c r="V347" s="16"/>
      <c r="W347" s="16"/>
      <c r="X347" s="90" t="s">
        <v>2083</v>
      </c>
      <c r="Y347" s="16" t="s">
        <v>2084</v>
      </c>
      <c r="Z347" s="16"/>
      <c r="AA347" s="32" t="s">
        <v>2083</v>
      </c>
      <c r="AB347" s="16" t="s">
        <v>750</v>
      </c>
      <c r="AC347" s="16" t="s">
        <v>2083</v>
      </c>
      <c r="AD347" s="16"/>
    </row>
    <row r="348">
      <c r="A348" s="2"/>
      <c r="B348" s="2"/>
      <c r="C348" s="2"/>
      <c r="D348" s="4" t="b">
        <v>1</v>
      </c>
      <c r="E348" s="2" t="s">
        <v>2085</v>
      </c>
      <c r="F348" s="4" t="b">
        <v>0</v>
      </c>
      <c r="G348" s="4" t="b">
        <v>0</v>
      </c>
      <c r="H348" s="4" t="b">
        <v>0</v>
      </c>
      <c r="J348" s="2" t="s">
        <v>2086</v>
      </c>
      <c r="K348" s="2" t="s">
        <v>1137</v>
      </c>
      <c r="L348" s="2" t="s">
        <v>1137</v>
      </c>
      <c r="M348" s="16" t="s">
        <v>1693</v>
      </c>
      <c r="N348" s="16" t="s">
        <v>2087</v>
      </c>
      <c r="O348" s="16" t="s">
        <v>2088</v>
      </c>
      <c r="P348" s="4">
        <v>18.0</v>
      </c>
      <c r="Q348" s="4">
        <v>18.0</v>
      </c>
      <c r="R348" s="4">
        <v>18.0</v>
      </c>
      <c r="S348" s="16"/>
      <c r="T348" s="16" t="s">
        <v>1796</v>
      </c>
      <c r="U348" s="16" t="s">
        <v>331</v>
      </c>
      <c r="V348" s="16"/>
      <c r="W348" s="16"/>
      <c r="X348" s="90" t="s">
        <v>2089</v>
      </c>
      <c r="Y348" s="16" t="s">
        <v>2090</v>
      </c>
      <c r="Z348" s="16"/>
      <c r="AA348" s="32" t="s">
        <v>2089</v>
      </c>
      <c r="AB348" s="16" t="s">
        <v>1164</v>
      </c>
      <c r="AC348" s="16" t="s">
        <v>2089</v>
      </c>
      <c r="AD348" s="16"/>
    </row>
    <row r="349">
      <c r="A349" s="2"/>
      <c r="B349" s="2"/>
      <c r="C349" s="2"/>
      <c r="D349" s="4" t="b">
        <v>1</v>
      </c>
      <c r="E349" s="2" t="s">
        <v>2091</v>
      </c>
      <c r="F349" s="4" t="b">
        <v>0</v>
      </c>
      <c r="G349" s="4" t="b">
        <v>0</v>
      </c>
      <c r="H349" s="4" t="b">
        <v>0</v>
      </c>
      <c r="J349" s="2" t="s">
        <v>2092</v>
      </c>
      <c r="K349" s="2" t="s">
        <v>1137</v>
      </c>
      <c r="L349" s="2" t="s">
        <v>1137</v>
      </c>
      <c r="M349" s="16" t="s">
        <v>2093</v>
      </c>
      <c r="N349" s="16" t="s">
        <v>2094</v>
      </c>
      <c r="O349" s="16" t="s">
        <v>2095</v>
      </c>
      <c r="P349" s="4">
        <v>578.0</v>
      </c>
      <c r="Q349" s="16"/>
      <c r="R349" s="16"/>
      <c r="S349" s="16"/>
      <c r="T349" s="16" t="s">
        <v>2096</v>
      </c>
      <c r="U349" s="16" t="s">
        <v>331</v>
      </c>
      <c r="V349" s="16"/>
      <c r="W349" s="16"/>
      <c r="X349" s="90" t="s">
        <v>2097</v>
      </c>
      <c r="Y349" s="16" t="s">
        <v>2098</v>
      </c>
      <c r="Z349" s="16"/>
      <c r="AA349" s="32" t="s">
        <v>2097</v>
      </c>
      <c r="AB349" s="16" t="s">
        <v>2099</v>
      </c>
      <c r="AC349" s="16" t="s">
        <v>2097</v>
      </c>
      <c r="AD349" s="16"/>
    </row>
    <row r="350">
      <c r="A350" s="23"/>
      <c r="B350" s="23"/>
      <c r="C350" s="23"/>
      <c r="D350" s="24" t="b">
        <v>0</v>
      </c>
      <c r="E350" s="23" t="s">
        <v>1969</v>
      </c>
      <c r="F350" s="25" t="b">
        <v>0</v>
      </c>
      <c r="G350" s="25" t="b">
        <v>1</v>
      </c>
      <c r="H350" s="25" t="b">
        <v>0</v>
      </c>
      <c r="I350" s="22"/>
      <c r="J350" s="23" t="s">
        <v>2100</v>
      </c>
      <c r="K350" s="23" t="s">
        <v>1137</v>
      </c>
      <c r="L350" s="23" t="s">
        <v>1137</v>
      </c>
      <c r="M350" s="24" t="s">
        <v>2101</v>
      </c>
      <c r="N350" s="24" t="s">
        <v>2102</v>
      </c>
      <c r="O350" s="24" t="s">
        <v>2103</v>
      </c>
      <c r="P350" s="25">
        <v>159.0</v>
      </c>
      <c r="Q350" s="25">
        <v>477.0</v>
      </c>
      <c r="R350" s="24"/>
      <c r="S350" s="24"/>
      <c r="T350" s="24" t="s">
        <v>1819</v>
      </c>
      <c r="U350" s="24" t="s">
        <v>343</v>
      </c>
      <c r="V350" s="24"/>
      <c r="W350" s="24"/>
      <c r="X350" s="91" t="s">
        <v>2104</v>
      </c>
      <c r="Y350" s="24" t="s">
        <v>2105</v>
      </c>
      <c r="Z350" s="24"/>
      <c r="AA350" s="30" t="s">
        <v>2104</v>
      </c>
      <c r="AB350" s="24" t="s">
        <v>334</v>
      </c>
      <c r="AC350" s="24" t="s">
        <v>2106</v>
      </c>
      <c r="AD350" s="24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</row>
    <row r="351">
      <c r="A351" s="2"/>
      <c r="B351" s="2"/>
      <c r="C351" s="2"/>
      <c r="D351" s="4" t="b">
        <v>1</v>
      </c>
      <c r="E351" s="2" t="s">
        <v>2107</v>
      </c>
      <c r="F351" s="4" t="b">
        <v>1</v>
      </c>
      <c r="G351" s="4" t="b">
        <v>0</v>
      </c>
      <c r="H351" s="4" t="b">
        <v>0</v>
      </c>
      <c r="J351" s="2" t="s">
        <v>2108</v>
      </c>
      <c r="K351" s="2" t="s">
        <v>1137</v>
      </c>
      <c r="L351" s="2" t="s">
        <v>1137</v>
      </c>
      <c r="M351" s="16" t="s">
        <v>2101</v>
      </c>
      <c r="N351" s="16" t="s">
        <v>2109</v>
      </c>
      <c r="O351" s="16" t="s">
        <v>2110</v>
      </c>
      <c r="P351" s="4">
        <v>20.0</v>
      </c>
      <c r="Q351" s="4">
        <v>40.0</v>
      </c>
      <c r="R351" s="16"/>
      <c r="S351" s="16" t="s">
        <v>2111</v>
      </c>
      <c r="T351" s="16" t="s">
        <v>1783</v>
      </c>
      <c r="U351" s="16" t="s">
        <v>331</v>
      </c>
      <c r="V351" s="16"/>
      <c r="W351" s="16"/>
      <c r="X351" s="90" t="s">
        <v>2112</v>
      </c>
      <c r="Y351" s="16" t="s">
        <v>2113</v>
      </c>
      <c r="Z351" s="16"/>
      <c r="AA351" s="32" t="s">
        <v>2112</v>
      </c>
      <c r="AB351" s="16" t="s">
        <v>2114</v>
      </c>
      <c r="AC351" s="16" t="s">
        <v>2112</v>
      </c>
      <c r="AD351" s="16"/>
    </row>
    <row r="352">
      <c r="A352" s="2"/>
      <c r="B352" s="2"/>
      <c r="C352" s="2"/>
      <c r="D352" s="4" t="b">
        <v>1</v>
      </c>
      <c r="E352" s="2" t="s">
        <v>2115</v>
      </c>
      <c r="F352" s="4" t="b">
        <v>0</v>
      </c>
      <c r="G352" s="4" t="b">
        <v>0</v>
      </c>
      <c r="H352" s="4" t="b">
        <v>0</v>
      </c>
      <c r="I352" s="2" t="s">
        <v>2116</v>
      </c>
      <c r="J352" s="2" t="s">
        <v>2117</v>
      </c>
      <c r="K352" s="2" t="s">
        <v>1137</v>
      </c>
      <c r="L352" s="2" t="s">
        <v>1137</v>
      </c>
      <c r="M352" s="16" t="s">
        <v>2118</v>
      </c>
      <c r="N352" s="16" t="s">
        <v>2119</v>
      </c>
      <c r="O352" s="16"/>
      <c r="P352" s="4">
        <v>183.0</v>
      </c>
      <c r="Q352" s="16"/>
      <c r="R352" s="16"/>
      <c r="S352" s="16"/>
      <c r="T352" s="16" t="s">
        <v>1835</v>
      </c>
      <c r="U352" s="16" t="s">
        <v>2120</v>
      </c>
      <c r="V352" s="16"/>
      <c r="W352" s="16"/>
      <c r="X352" s="90" t="s">
        <v>2121</v>
      </c>
      <c r="Y352" s="16" t="s">
        <v>2122</v>
      </c>
      <c r="Z352" s="16"/>
      <c r="AA352" s="32" t="s">
        <v>2121</v>
      </c>
      <c r="AB352" s="16" t="s">
        <v>72</v>
      </c>
      <c r="AC352" s="16" t="s">
        <v>2121</v>
      </c>
      <c r="AD352" s="16"/>
    </row>
    <row r="353">
      <c r="A353" s="2"/>
      <c r="B353" s="2"/>
      <c r="C353" s="2"/>
      <c r="D353" s="4" t="b">
        <v>1</v>
      </c>
      <c r="E353" s="2" t="s">
        <v>2123</v>
      </c>
      <c r="F353" s="4" t="b">
        <v>0</v>
      </c>
      <c r="G353" s="4" t="b">
        <v>0</v>
      </c>
      <c r="H353" s="4" t="b">
        <v>0</v>
      </c>
      <c r="J353" s="2" t="s">
        <v>2124</v>
      </c>
      <c r="K353" s="2" t="s">
        <v>1137</v>
      </c>
      <c r="L353" s="2" t="s">
        <v>1137</v>
      </c>
      <c r="M353" s="16" t="s">
        <v>2125</v>
      </c>
      <c r="N353" s="16" t="s">
        <v>2126</v>
      </c>
      <c r="O353" s="16"/>
      <c r="P353" s="16"/>
      <c r="Q353" s="4">
        <v>10.0</v>
      </c>
      <c r="R353" s="16"/>
      <c r="S353" s="16"/>
      <c r="T353" s="16" t="s">
        <v>1783</v>
      </c>
      <c r="U353" s="16" t="s">
        <v>331</v>
      </c>
      <c r="V353" s="16"/>
      <c r="W353" s="16"/>
      <c r="X353" s="90" t="s">
        <v>2127</v>
      </c>
      <c r="Y353" s="16" t="s">
        <v>2128</v>
      </c>
      <c r="Z353" s="16"/>
      <c r="AA353" s="32" t="s">
        <v>2127</v>
      </c>
      <c r="AB353" s="16" t="s">
        <v>2129</v>
      </c>
      <c r="AC353" s="16" t="s">
        <v>2127</v>
      </c>
      <c r="AD353" s="16"/>
    </row>
    <row r="354">
      <c r="A354" s="76"/>
      <c r="B354" s="76"/>
      <c r="C354" s="76"/>
      <c r="D354" s="73" t="b">
        <v>0</v>
      </c>
      <c r="E354" s="76" t="s">
        <v>1969</v>
      </c>
      <c r="F354" s="75" t="b">
        <v>0</v>
      </c>
      <c r="G354" s="75" t="b">
        <v>0</v>
      </c>
      <c r="H354" s="75" t="b">
        <v>0</v>
      </c>
      <c r="I354" s="76" t="s">
        <v>2130</v>
      </c>
      <c r="J354" s="76" t="s">
        <v>2131</v>
      </c>
      <c r="K354" s="76" t="s">
        <v>1137</v>
      </c>
      <c r="L354" s="76" t="s">
        <v>1137</v>
      </c>
      <c r="M354" s="73" t="s">
        <v>2132</v>
      </c>
      <c r="N354" s="73" t="s">
        <v>2133</v>
      </c>
      <c r="O354" s="73"/>
      <c r="P354" s="73"/>
      <c r="Q354" s="75">
        <v>3820.0</v>
      </c>
      <c r="R354" s="75">
        <v>3820.0</v>
      </c>
      <c r="S354" s="73"/>
      <c r="T354" s="73" t="s">
        <v>1819</v>
      </c>
      <c r="U354" s="73" t="s">
        <v>2134</v>
      </c>
      <c r="V354" s="73"/>
      <c r="W354" s="73"/>
      <c r="X354" s="95" t="s">
        <v>2135</v>
      </c>
      <c r="Y354" s="73" t="s">
        <v>2136</v>
      </c>
      <c r="Z354" s="73"/>
      <c r="AA354" s="78" t="s">
        <v>2135</v>
      </c>
      <c r="AB354" s="73" t="s">
        <v>2137</v>
      </c>
      <c r="AC354" s="73" t="s">
        <v>2135</v>
      </c>
      <c r="AD354" s="73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  <c r="AS354" s="74"/>
      <c r="AT354" s="74"/>
      <c r="AU354" s="74"/>
      <c r="AV354" s="74"/>
    </row>
    <row r="355">
      <c r="A355" s="2"/>
      <c r="B355" s="2"/>
      <c r="C355" s="2"/>
      <c r="D355" s="4" t="b">
        <v>1</v>
      </c>
      <c r="E355" s="2" t="s">
        <v>2138</v>
      </c>
      <c r="F355" s="4" t="b">
        <v>0</v>
      </c>
      <c r="G355" s="4" t="b">
        <v>0</v>
      </c>
      <c r="H355" s="4" t="b">
        <v>0</v>
      </c>
      <c r="J355" s="2" t="s">
        <v>2139</v>
      </c>
      <c r="K355" s="2" t="s">
        <v>1137</v>
      </c>
      <c r="L355" s="2" t="s">
        <v>1137</v>
      </c>
      <c r="M355" s="16" t="s">
        <v>2140</v>
      </c>
      <c r="N355" s="16" t="s">
        <v>2141</v>
      </c>
      <c r="O355" s="16" t="s">
        <v>2142</v>
      </c>
      <c r="P355" s="4">
        <v>50.0</v>
      </c>
      <c r="Q355" s="16"/>
      <c r="R355" s="16"/>
      <c r="S355" s="16"/>
      <c r="T355" s="16" t="s">
        <v>1829</v>
      </c>
      <c r="U355" s="16" t="s">
        <v>331</v>
      </c>
      <c r="V355" s="16"/>
      <c r="W355" s="16"/>
      <c r="X355" s="90" t="s">
        <v>2143</v>
      </c>
      <c r="Y355" s="16" t="s">
        <v>2144</v>
      </c>
      <c r="Z355" s="16"/>
      <c r="AA355" s="32" t="s">
        <v>2143</v>
      </c>
      <c r="AB355" s="16" t="s">
        <v>2145</v>
      </c>
      <c r="AC355" s="16" t="s">
        <v>2143</v>
      </c>
      <c r="AD355" s="16"/>
    </row>
    <row r="356">
      <c r="A356" s="2"/>
      <c r="B356" s="2"/>
      <c r="C356" s="2"/>
      <c r="D356" s="4" t="b">
        <v>1</v>
      </c>
      <c r="E356" s="2" t="s">
        <v>2146</v>
      </c>
      <c r="F356" s="4" t="b">
        <v>0</v>
      </c>
      <c r="G356" s="4" t="b">
        <v>0</v>
      </c>
      <c r="H356" s="4" t="b">
        <v>0</v>
      </c>
      <c r="J356" s="2" t="s">
        <v>2147</v>
      </c>
      <c r="K356" s="2" t="s">
        <v>1137</v>
      </c>
      <c r="L356" s="2" t="s">
        <v>1137</v>
      </c>
      <c r="M356" s="16" t="s">
        <v>1693</v>
      </c>
      <c r="N356" s="16" t="s">
        <v>2148</v>
      </c>
      <c r="O356" s="16" t="s">
        <v>2149</v>
      </c>
      <c r="P356" s="4">
        <v>101.0</v>
      </c>
      <c r="Q356" s="4">
        <v>101.0</v>
      </c>
      <c r="R356" s="4">
        <v>101.0</v>
      </c>
      <c r="S356" s="16"/>
      <c r="T356" s="16" t="s">
        <v>1790</v>
      </c>
      <c r="U356" s="16" t="s">
        <v>331</v>
      </c>
      <c r="V356" s="16"/>
      <c r="W356" s="16"/>
      <c r="X356" s="90" t="s">
        <v>2150</v>
      </c>
      <c r="Y356" s="16" t="s">
        <v>2151</v>
      </c>
      <c r="Z356" s="16"/>
      <c r="AA356" s="32" t="s">
        <v>2150</v>
      </c>
      <c r="AB356" s="16" t="s">
        <v>2152</v>
      </c>
      <c r="AC356" s="16" t="s">
        <v>2153</v>
      </c>
      <c r="AD356" s="16"/>
    </row>
    <row r="357">
      <c r="A357" s="2"/>
      <c r="B357" s="2"/>
      <c r="C357" s="2"/>
      <c r="D357" s="4" t="b">
        <v>1</v>
      </c>
      <c r="E357" s="2" t="s">
        <v>2154</v>
      </c>
      <c r="F357" s="4" t="b">
        <v>0</v>
      </c>
      <c r="G357" s="4" t="b">
        <v>0</v>
      </c>
      <c r="H357" s="4" t="b">
        <v>0</v>
      </c>
      <c r="I357" s="5" t="s">
        <v>2155</v>
      </c>
      <c r="J357" s="2" t="s">
        <v>2156</v>
      </c>
      <c r="K357" s="2" t="s">
        <v>1137</v>
      </c>
      <c r="L357" s="2" t="s">
        <v>1137</v>
      </c>
      <c r="M357" s="16" t="s">
        <v>1693</v>
      </c>
      <c r="N357" s="16" t="s">
        <v>2157</v>
      </c>
      <c r="O357" s="16"/>
      <c r="P357" s="4">
        <v>69.0</v>
      </c>
      <c r="Q357" s="16"/>
      <c r="R357" s="4">
        <v>708.0</v>
      </c>
      <c r="S357" s="16"/>
      <c r="T357" s="16" t="s">
        <v>1790</v>
      </c>
      <c r="U357" s="16" t="s">
        <v>331</v>
      </c>
      <c r="V357" s="16"/>
      <c r="W357" s="16"/>
      <c r="X357" s="90" t="s">
        <v>2158</v>
      </c>
      <c r="Y357" s="16" t="s">
        <v>2159</v>
      </c>
      <c r="Z357" s="16"/>
      <c r="AA357" s="32" t="s">
        <v>2158</v>
      </c>
      <c r="AB357" s="16" t="s">
        <v>1164</v>
      </c>
      <c r="AC357" s="16" t="s">
        <v>2160</v>
      </c>
      <c r="AD357" s="16"/>
    </row>
    <row r="358">
      <c r="A358" s="2"/>
      <c r="B358" s="2"/>
      <c r="C358" s="2"/>
      <c r="D358" s="4" t="b">
        <v>1</v>
      </c>
      <c r="E358" s="2" t="s">
        <v>2161</v>
      </c>
      <c r="F358" s="4" t="b">
        <v>1</v>
      </c>
      <c r="G358" s="4" t="b">
        <v>0</v>
      </c>
      <c r="H358" s="4" t="b">
        <v>0</v>
      </c>
      <c r="J358" s="2" t="s">
        <v>2162</v>
      </c>
      <c r="K358" s="2" t="s">
        <v>1137</v>
      </c>
      <c r="L358" s="2" t="s">
        <v>1137</v>
      </c>
      <c r="M358" s="16" t="s">
        <v>2163</v>
      </c>
      <c r="N358" s="16" t="s">
        <v>2164</v>
      </c>
      <c r="O358" s="16" t="s">
        <v>2165</v>
      </c>
      <c r="P358" s="4">
        <v>100.0</v>
      </c>
      <c r="Q358" s="4">
        <v>400.0</v>
      </c>
      <c r="R358" s="16"/>
      <c r="S358" s="16" t="s">
        <v>2166</v>
      </c>
      <c r="T358" s="16" t="s">
        <v>2167</v>
      </c>
      <c r="U358" s="16" t="s">
        <v>331</v>
      </c>
      <c r="V358" s="16"/>
      <c r="W358" s="16"/>
      <c r="X358" s="90" t="s">
        <v>2168</v>
      </c>
      <c r="Y358" s="16" t="s">
        <v>2169</v>
      </c>
      <c r="Z358" s="16"/>
      <c r="AA358" s="32" t="s">
        <v>2168</v>
      </c>
      <c r="AB358" s="16" t="s">
        <v>2114</v>
      </c>
      <c r="AC358" s="16" t="s">
        <v>2170</v>
      </c>
      <c r="AD358" s="16"/>
    </row>
    <row r="359">
      <c r="A359" s="2"/>
      <c r="B359" s="2"/>
      <c r="C359" s="2"/>
      <c r="D359" s="4" t="b">
        <v>1</v>
      </c>
      <c r="E359" s="2" t="s">
        <v>2171</v>
      </c>
      <c r="F359" s="4" t="b">
        <v>0</v>
      </c>
      <c r="G359" s="4" t="b">
        <v>0</v>
      </c>
      <c r="H359" s="4" t="b">
        <v>0</v>
      </c>
      <c r="J359" s="2" t="s">
        <v>2172</v>
      </c>
      <c r="K359" s="2" t="s">
        <v>1137</v>
      </c>
      <c r="L359" s="2" t="s">
        <v>1137</v>
      </c>
      <c r="M359" s="16" t="s">
        <v>2173</v>
      </c>
      <c r="N359" s="16" t="s">
        <v>2174</v>
      </c>
      <c r="O359" s="16"/>
      <c r="P359" s="4">
        <v>21.0</v>
      </c>
      <c r="Q359" s="4">
        <v>135.0</v>
      </c>
      <c r="R359" s="16"/>
      <c r="S359" s="16"/>
      <c r="T359" s="16" t="s">
        <v>2175</v>
      </c>
      <c r="U359" s="16" t="s">
        <v>331</v>
      </c>
      <c r="V359" s="16"/>
      <c r="W359" s="16"/>
      <c r="X359" s="90" t="s">
        <v>2176</v>
      </c>
      <c r="Y359" s="16" t="s">
        <v>2177</v>
      </c>
      <c r="Z359" s="16"/>
      <c r="AA359" s="32" t="s">
        <v>2176</v>
      </c>
      <c r="AB359" s="16" t="s">
        <v>1164</v>
      </c>
      <c r="AC359" s="16" t="s">
        <v>2178</v>
      </c>
      <c r="AD359" s="16"/>
    </row>
    <row r="360">
      <c r="A360" s="2"/>
      <c r="B360" s="2"/>
      <c r="C360" s="2"/>
      <c r="D360" s="4" t="b">
        <v>1</v>
      </c>
      <c r="E360" s="2" t="s">
        <v>2179</v>
      </c>
      <c r="F360" s="4" t="b">
        <v>0</v>
      </c>
      <c r="G360" s="4" t="b">
        <v>0</v>
      </c>
      <c r="H360" s="4" t="b">
        <v>0</v>
      </c>
      <c r="J360" s="2" t="s">
        <v>2180</v>
      </c>
      <c r="K360" s="2" t="s">
        <v>1137</v>
      </c>
      <c r="L360" s="2" t="s">
        <v>1137</v>
      </c>
      <c r="M360" s="16" t="s">
        <v>2181</v>
      </c>
      <c r="N360" s="16" t="s">
        <v>2182</v>
      </c>
      <c r="O360" s="16" t="s">
        <v>2183</v>
      </c>
      <c r="P360" s="4">
        <v>25.0</v>
      </c>
      <c r="Q360" s="16"/>
      <c r="R360" s="16"/>
      <c r="S360" s="16"/>
      <c r="T360" s="16" t="s">
        <v>1805</v>
      </c>
      <c r="U360" s="16" t="s">
        <v>331</v>
      </c>
      <c r="V360" s="16"/>
      <c r="W360" s="16"/>
      <c r="X360" s="90" t="s">
        <v>2184</v>
      </c>
      <c r="Y360" s="16" t="s">
        <v>2185</v>
      </c>
      <c r="Z360" s="16"/>
      <c r="AA360" s="32" t="s">
        <v>2184</v>
      </c>
      <c r="AB360" s="16" t="s">
        <v>1164</v>
      </c>
      <c r="AC360" s="16" t="s">
        <v>2186</v>
      </c>
      <c r="AD360" s="16"/>
    </row>
    <row r="361">
      <c r="A361" s="2"/>
      <c r="B361" s="2"/>
      <c r="C361" s="2"/>
      <c r="D361" s="4" t="b">
        <v>1</v>
      </c>
      <c r="E361" s="2" t="s">
        <v>2187</v>
      </c>
      <c r="F361" s="4" t="b">
        <v>0</v>
      </c>
      <c r="G361" s="4" t="b">
        <v>0</v>
      </c>
      <c r="H361" s="4" t="b">
        <v>0</v>
      </c>
      <c r="J361" s="2" t="s">
        <v>2188</v>
      </c>
      <c r="K361" s="2" t="s">
        <v>1137</v>
      </c>
      <c r="L361" s="2" t="s">
        <v>1137</v>
      </c>
      <c r="M361" s="16" t="s">
        <v>2189</v>
      </c>
      <c r="N361" s="16" t="s">
        <v>2190</v>
      </c>
      <c r="O361" s="16"/>
      <c r="P361" s="4">
        <v>228.0</v>
      </c>
      <c r="Q361" s="16"/>
      <c r="R361" s="16"/>
      <c r="S361" s="16"/>
      <c r="T361" s="31">
        <v>2019.0</v>
      </c>
      <c r="U361" s="16" t="s">
        <v>690</v>
      </c>
      <c r="V361" s="16"/>
      <c r="W361" s="16"/>
      <c r="X361" s="90" t="s">
        <v>2191</v>
      </c>
      <c r="Y361" s="16" t="s">
        <v>2192</v>
      </c>
      <c r="Z361" s="16"/>
      <c r="AA361" s="32" t="s">
        <v>2191</v>
      </c>
      <c r="AB361" s="16" t="s">
        <v>1150</v>
      </c>
      <c r="AC361" s="33" t="s">
        <v>2193</v>
      </c>
      <c r="AD361" s="16"/>
    </row>
    <row r="362">
      <c r="A362" s="2"/>
      <c r="B362" s="2"/>
      <c r="C362" s="2"/>
      <c r="D362" s="4" t="b">
        <v>1</v>
      </c>
      <c r="E362" s="2" t="s">
        <v>2194</v>
      </c>
      <c r="F362" s="4" t="b">
        <v>0</v>
      </c>
      <c r="G362" s="4" t="b">
        <v>0</v>
      </c>
      <c r="H362" s="4" t="b">
        <v>0</v>
      </c>
      <c r="J362" s="2" t="s">
        <v>2195</v>
      </c>
      <c r="K362" s="2" t="s">
        <v>1137</v>
      </c>
      <c r="L362" s="2" t="s">
        <v>1137</v>
      </c>
      <c r="M362" s="16" t="s">
        <v>2196</v>
      </c>
      <c r="N362" s="16" t="s">
        <v>76</v>
      </c>
      <c r="O362" s="16" t="s">
        <v>2014</v>
      </c>
      <c r="P362" s="31"/>
      <c r="Q362" s="31">
        <v>30.0</v>
      </c>
      <c r="R362" s="31">
        <v>90.0</v>
      </c>
      <c r="S362" s="31">
        <v>2.1</v>
      </c>
      <c r="T362" s="31">
        <v>2018.0</v>
      </c>
      <c r="U362" s="16" t="s">
        <v>331</v>
      </c>
      <c r="V362" s="16"/>
      <c r="W362" s="16"/>
      <c r="X362" s="90" t="s">
        <v>2197</v>
      </c>
      <c r="Y362" s="16" t="s">
        <v>2198</v>
      </c>
      <c r="Z362" s="16"/>
      <c r="AA362" s="32" t="s">
        <v>2197</v>
      </c>
      <c r="AB362" s="16" t="s">
        <v>2199</v>
      </c>
      <c r="AC362" s="16" t="s">
        <v>2200</v>
      </c>
      <c r="AD362" s="16"/>
    </row>
    <row r="363">
      <c r="A363" s="2"/>
      <c r="B363" s="2"/>
      <c r="C363" s="2"/>
      <c r="D363" s="4" t="b">
        <v>1</v>
      </c>
      <c r="E363" s="2" t="s">
        <v>2201</v>
      </c>
      <c r="F363" s="4" t="b">
        <v>0</v>
      </c>
      <c r="G363" s="4" t="b">
        <v>0</v>
      </c>
      <c r="H363" s="4" t="b">
        <v>0</v>
      </c>
      <c r="J363" s="2" t="s">
        <v>2202</v>
      </c>
      <c r="K363" s="2" t="s">
        <v>1137</v>
      </c>
      <c r="L363" s="2" t="s">
        <v>1137</v>
      </c>
      <c r="M363" s="16" t="s">
        <v>235</v>
      </c>
      <c r="N363" s="16" t="s">
        <v>34</v>
      </c>
      <c r="O363" s="16" t="s">
        <v>167</v>
      </c>
      <c r="P363" s="31"/>
      <c r="Q363" s="31">
        <v>566.0</v>
      </c>
      <c r="R363" s="16"/>
      <c r="S363" s="16"/>
      <c r="T363" s="16"/>
      <c r="U363" s="16" t="s">
        <v>331</v>
      </c>
      <c r="V363" s="16"/>
      <c r="W363" s="16"/>
      <c r="X363" s="90" t="s">
        <v>2203</v>
      </c>
      <c r="Y363" s="16"/>
      <c r="Z363" s="16"/>
      <c r="AA363" s="32" t="s">
        <v>2203</v>
      </c>
      <c r="AB363" s="16" t="s">
        <v>105</v>
      </c>
      <c r="AC363" s="16" t="s">
        <v>2203</v>
      </c>
      <c r="AD363" s="16"/>
    </row>
    <row r="364">
      <c r="A364" s="2"/>
      <c r="B364" s="2"/>
      <c r="C364" s="2"/>
      <c r="D364" s="4" t="b">
        <v>1</v>
      </c>
      <c r="E364" s="2" t="s">
        <v>2204</v>
      </c>
      <c r="F364" s="4" t="b">
        <v>0</v>
      </c>
      <c r="G364" s="4" t="b">
        <v>0</v>
      </c>
      <c r="H364" s="4" t="b">
        <v>0</v>
      </c>
      <c r="I364" s="2" t="s">
        <v>2205</v>
      </c>
      <c r="J364" s="2" t="s">
        <v>2206</v>
      </c>
      <c r="K364" s="2" t="s">
        <v>1137</v>
      </c>
      <c r="L364" s="2" t="s">
        <v>1137</v>
      </c>
      <c r="M364" s="16" t="s">
        <v>1929</v>
      </c>
      <c r="N364" s="16" t="s">
        <v>76</v>
      </c>
      <c r="O364" s="16" t="s">
        <v>2207</v>
      </c>
      <c r="P364" s="31"/>
      <c r="Q364" s="31">
        <v>51.0</v>
      </c>
      <c r="R364" s="16"/>
      <c r="S364" s="16"/>
      <c r="T364" s="31">
        <v>2008.0</v>
      </c>
      <c r="U364" s="16" t="s">
        <v>331</v>
      </c>
      <c r="V364" s="16"/>
      <c r="W364" s="16"/>
      <c r="X364" s="90" t="s">
        <v>1161</v>
      </c>
      <c r="Y364" s="16"/>
      <c r="Z364" s="16"/>
      <c r="AA364" s="32" t="s">
        <v>1161</v>
      </c>
      <c r="AB364" s="16" t="s">
        <v>1164</v>
      </c>
      <c r="AC364" s="16" t="s">
        <v>1161</v>
      </c>
      <c r="AD364" s="16"/>
    </row>
    <row r="365">
      <c r="A365" s="2"/>
      <c r="B365" s="2"/>
      <c r="C365" s="2"/>
      <c r="D365" s="4" t="b">
        <v>1</v>
      </c>
      <c r="E365" s="2" t="s">
        <v>2208</v>
      </c>
      <c r="F365" s="4" t="b">
        <v>0</v>
      </c>
      <c r="G365" s="4" t="b">
        <v>0</v>
      </c>
      <c r="H365" s="4" t="b">
        <v>0</v>
      </c>
      <c r="J365" s="2" t="s">
        <v>2209</v>
      </c>
      <c r="K365" s="2" t="s">
        <v>1137</v>
      </c>
      <c r="L365" s="2" t="s">
        <v>1137</v>
      </c>
      <c r="M365" s="16" t="s">
        <v>2210</v>
      </c>
      <c r="N365" s="16" t="s">
        <v>76</v>
      </c>
      <c r="O365" s="16" t="s">
        <v>2207</v>
      </c>
      <c r="P365" s="31"/>
      <c r="Q365" s="31">
        <v>53.0</v>
      </c>
      <c r="R365" s="31">
        <v>212.0</v>
      </c>
      <c r="S365" s="16"/>
      <c r="T365" s="31">
        <v>2016.0</v>
      </c>
      <c r="U365" s="16" t="s">
        <v>331</v>
      </c>
      <c r="V365" s="16"/>
      <c r="W365" s="16"/>
      <c r="X365" s="90" t="s">
        <v>2211</v>
      </c>
      <c r="Y365" s="16"/>
      <c r="Z365" s="16"/>
      <c r="AA365" s="32" t="s">
        <v>2211</v>
      </c>
      <c r="AB365" s="16" t="s">
        <v>2212</v>
      </c>
      <c r="AC365" s="16" t="s">
        <v>2211</v>
      </c>
      <c r="AD365" s="16"/>
    </row>
    <row r="366">
      <c r="A366" s="23"/>
      <c r="B366" s="23"/>
      <c r="C366" s="23"/>
      <c r="D366" s="24" t="b">
        <v>0</v>
      </c>
      <c r="E366" s="23" t="s">
        <v>1969</v>
      </c>
      <c r="F366" s="25" t="b">
        <v>0</v>
      </c>
      <c r="G366" s="25" t="b">
        <v>1</v>
      </c>
      <c r="H366" s="25" t="b">
        <v>0</v>
      </c>
      <c r="I366" s="27" t="s">
        <v>2213</v>
      </c>
      <c r="J366" s="23" t="s">
        <v>2214</v>
      </c>
      <c r="K366" s="23" t="s">
        <v>1137</v>
      </c>
      <c r="L366" s="23" t="s">
        <v>1137</v>
      </c>
      <c r="M366" s="24" t="s">
        <v>2215</v>
      </c>
      <c r="N366" s="24" t="s">
        <v>2216</v>
      </c>
      <c r="O366" s="24" t="s">
        <v>2217</v>
      </c>
      <c r="P366" s="29"/>
      <c r="Q366" s="29">
        <v>27.0</v>
      </c>
      <c r="R366" s="25">
        <v>81.0</v>
      </c>
      <c r="S366" s="24"/>
      <c r="T366" s="29">
        <v>2016.0</v>
      </c>
      <c r="U366" s="24" t="s">
        <v>331</v>
      </c>
      <c r="V366" s="24"/>
      <c r="W366" s="24"/>
      <c r="X366" s="91" t="s">
        <v>2218</v>
      </c>
      <c r="Y366" s="24"/>
      <c r="Z366" s="24"/>
      <c r="AA366" s="30" t="s">
        <v>2218</v>
      </c>
      <c r="AB366" s="24" t="s">
        <v>1799</v>
      </c>
      <c r="AC366" s="24" t="s">
        <v>2219</v>
      </c>
      <c r="AD366" s="24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</row>
    <row r="367">
      <c r="A367" s="2"/>
      <c r="B367" s="2"/>
      <c r="C367" s="2"/>
      <c r="D367" s="4" t="b">
        <v>1</v>
      </c>
      <c r="E367" s="2" t="s">
        <v>2220</v>
      </c>
      <c r="F367" s="4" t="b">
        <v>0</v>
      </c>
      <c r="G367" s="4" t="b">
        <v>0</v>
      </c>
      <c r="H367" s="4" t="b">
        <v>0</v>
      </c>
      <c r="J367" s="2" t="s">
        <v>2221</v>
      </c>
      <c r="K367" s="2" t="s">
        <v>1137</v>
      </c>
      <c r="L367" s="2" t="s">
        <v>1137</v>
      </c>
      <c r="M367" s="16" t="s">
        <v>2222</v>
      </c>
      <c r="N367" s="16" t="s">
        <v>2223</v>
      </c>
      <c r="O367" s="16"/>
      <c r="P367" s="31"/>
      <c r="Q367" s="31">
        <v>3.0</v>
      </c>
      <c r="R367" s="31">
        <v>30.0</v>
      </c>
      <c r="S367" s="16"/>
      <c r="T367" s="31">
        <v>2020.0</v>
      </c>
      <c r="U367" s="16" t="s">
        <v>331</v>
      </c>
      <c r="V367" s="16"/>
      <c r="W367" s="16"/>
      <c r="X367" s="90" t="s">
        <v>2224</v>
      </c>
      <c r="Y367" s="16" t="s">
        <v>2225</v>
      </c>
      <c r="Z367" s="16"/>
      <c r="AA367" s="32" t="s">
        <v>2224</v>
      </c>
      <c r="AB367" s="16" t="s">
        <v>634</v>
      </c>
      <c r="AC367" s="16" t="s">
        <v>2226</v>
      </c>
      <c r="AD367" s="16"/>
    </row>
    <row r="368">
      <c r="A368" s="2"/>
      <c r="B368" s="2"/>
      <c r="C368" s="2"/>
      <c r="D368" s="4" t="b">
        <v>1</v>
      </c>
      <c r="E368" s="2" t="s">
        <v>2227</v>
      </c>
      <c r="F368" s="4" t="b">
        <v>0</v>
      </c>
      <c r="G368" s="4" t="b">
        <v>0</v>
      </c>
      <c r="H368" s="4" t="b">
        <v>0</v>
      </c>
      <c r="J368" s="2" t="s">
        <v>2228</v>
      </c>
      <c r="K368" s="2" t="s">
        <v>1137</v>
      </c>
      <c r="L368" s="2" t="s">
        <v>1137</v>
      </c>
      <c r="M368" s="16" t="s">
        <v>2229</v>
      </c>
      <c r="N368" s="16" t="s">
        <v>34</v>
      </c>
      <c r="O368" s="16" t="s">
        <v>2230</v>
      </c>
      <c r="P368" s="31"/>
      <c r="Q368" s="31">
        <v>58.0</v>
      </c>
      <c r="R368" s="16"/>
      <c r="S368" s="16"/>
      <c r="T368" s="31">
        <v>2015.0</v>
      </c>
      <c r="U368" s="16" t="s">
        <v>331</v>
      </c>
      <c r="V368" s="16"/>
      <c r="W368" s="16"/>
      <c r="X368" s="90" t="s">
        <v>2231</v>
      </c>
      <c r="Y368" s="16" t="s">
        <v>2232</v>
      </c>
      <c r="Z368" s="16"/>
      <c r="AA368" s="32" t="s">
        <v>2231</v>
      </c>
      <c r="AB368" s="16" t="s">
        <v>1164</v>
      </c>
      <c r="AC368" s="16" t="s">
        <v>2231</v>
      </c>
      <c r="AD368" s="16"/>
    </row>
    <row r="369">
      <c r="A369" s="2"/>
      <c r="B369" s="2"/>
      <c r="C369" s="2"/>
      <c r="D369" s="4" t="b">
        <v>1</v>
      </c>
      <c r="E369" s="2" t="s">
        <v>2233</v>
      </c>
      <c r="F369" s="4" t="b">
        <v>0</v>
      </c>
      <c r="G369" s="4" t="b">
        <v>0</v>
      </c>
      <c r="H369" s="4" t="b">
        <v>0</v>
      </c>
      <c r="J369" s="2" t="s">
        <v>2234</v>
      </c>
      <c r="K369" s="2" t="s">
        <v>1137</v>
      </c>
      <c r="L369" s="2" t="s">
        <v>1137</v>
      </c>
      <c r="M369" s="16" t="s">
        <v>2235</v>
      </c>
      <c r="N369" s="16" t="s">
        <v>2236</v>
      </c>
      <c r="O369" s="16"/>
      <c r="P369" s="31"/>
      <c r="Q369" s="31">
        <v>345.0</v>
      </c>
      <c r="R369" s="31">
        <v>891.0</v>
      </c>
      <c r="S369" s="16"/>
      <c r="T369" s="31">
        <v>2021.0</v>
      </c>
      <c r="U369" s="16" t="s">
        <v>331</v>
      </c>
      <c r="V369" s="16"/>
      <c r="W369" s="16"/>
      <c r="X369" s="90" t="s">
        <v>2237</v>
      </c>
      <c r="Y369" s="16" t="s">
        <v>2238</v>
      </c>
      <c r="Z369" s="16"/>
      <c r="AA369" s="32" t="s">
        <v>2237</v>
      </c>
      <c r="AB369" s="16" t="s">
        <v>1164</v>
      </c>
      <c r="AC369" s="16" t="s">
        <v>2237</v>
      </c>
      <c r="AD369" s="16"/>
    </row>
    <row r="370">
      <c r="A370" s="2"/>
      <c r="B370" s="2"/>
      <c r="C370" s="2"/>
      <c r="D370" s="4" t="b">
        <v>1</v>
      </c>
      <c r="E370" s="2" t="s">
        <v>2239</v>
      </c>
      <c r="F370" s="4" t="b">
        <v>0</v>
      </c>
      <c r="G370" s="4" t="b">
        <v>0</v>
      </c>
      <c r="H370" s="4" t="b">
        <v>0</v>
      </c>
      <c r="J370" s="2" t="s">
        <v>2240</v>
      </c>
      <c r="K370" s="2" t="s">
        <v>1137</v>
      </c>
      <c r="L370" s="2" t="s">
        <v>1137</v>
      </c>
      <c r="M370" s="16" t="s">
        <v>2241</v>
      </c>
      <c r="N370" s="16" t="s">
        <v>2242</v>
      </c>
      <c r="O370" s="16"/>
      <c r="P370" s="31"/>
      <c r="Q370" s="31">
        <v>22.0</v>
      </c>
      <c r="R370" s="16"/>
      <c r="S370" s="16"/>
      <c r="T370" s="16"/>
      <c r="U370" s="16" t="s">
        <v>331</v>
      </c>
      <c r="V370" s="16"/>
      <c r="W370" s="16"/>
      <c r="X370" s="90" t="s">
        <v>2243</v>
      </c>
      <c r="Y370" s="16"/>
      <c r="Z370" s="16"/>
      <c r="AA370" s="32" t="s">
        <v>2243</v>
      </c>
      <c r="AB370" s="16" t="s">
        <v>1164</v>
      </c>
      <c r="AC370" s="16" t="s">
        <v>2244</v>
      </c>
      <c r="AD370" s="16"/>
    </row>
    <row r="371">
      <c r="A371" s="23"/>
      <c r="B371" s="23"/>
      <c r="C371" s="23"/>
      <c r="D371" s="24" t="b">
        <v>0</v>
      </c>
      <c r="E371" s="23" t="s">
        <v>1969</v>
      </c>
      <c r="F371" s="25" t="b">
        <v>0</v>
      </c>
      <c r="G371" s="25" t="b">
        <v>0</v>
      </c>
      <c r="H371" s="25" t="b">
        <v>0</v>
      </c>
      <c r="I371" s="23" t="s">
        <v>2245</v>
      </c>
      <c r="J371" s="23" t="s">
        <v>2246</v>
      </c>
      <c r="K371" s="23" t="s">
        <v>1137</v>
      </c>
      <c r="L371" s="23" t="s">
        <v>1137</v>
      </c>
      <c r="M371" s="24" t="s">
        <v>2247</v>
      </c>
      <c r="N371" s="24" t="s">
        <v>1908</v>
      </c>
      <c r="O371" s="24"/>
      <c r="P371" s="29"/>
      <c r="Q371" s="29">
        <v>831.0</v>
      </c>
      <c r="R371" s="24"/>
      <c r="S371" s="24"/>
      <c r="T371" s="24"/>
      <c r="U371" s="24" t="s">
        <v>331</v>
      </c>
      <c r="V371" s="24"/>
      <c r="W371" s="24"/>
      <c r="X371" s="91" t="s">
        <v>2248</v>
      </c>
      <c r="Y371" s="24" t="s">
        <v>2249</v>
      </c>
      <c r="Z371" s="24"/>
      <c r="AA371" s="30" t="s">
        <v>2248</v>
      </c>
      <c r="AB371" s="24" t="s">
        <v>2250</v>
      </c>
      <c r="AC371" s="24" t="s">
        <v>2251</v>
      </c>
      <c r="AD371" s="24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</row>
    <row r="372">
      <c r="A372" s="23"/>
      <c r="B372" s="23"/>
      <c r="C372" s="23"/>
      <c r="D372" s="24" t="b">
        <v>0</v>
      </c>
      <c r="E372" s="23" t="s">
        <v>2252</v>
      </c>
      <c r="F372" s="25" t="b">
        <v>0</v>
      </c>
      <c r="G372" s="25" t="b">
        <v>1</v>
      </c>
      <c r="H372" s="25" t="b">
        <v>0</v>
      </c>
      <c r="I372" s="23" t="s">
        <v>2253</v>
      </c>
      <c r="J372" s="23" t="s">
        <v>2254</v>
      </c>
      <c r="K372" s="23" t="s">
        <v>1137</v>
      </c>
      <c r="L372" s="23" t="s">
        <v>1137</v>
      </c>
      <c r="M372" s="24" t="s">
        <v>1617</v>
      </c>
      <c r="N372" s="24" t="s">
        <v>1908</v>
      </c>
      <c r="O372" s="24" t="s">
        <v>2255</v>
      </c>
      <c r="P372" s="24"/>
      <c r="Q372" s="24"/>
      <c r="R372" s="24"/>
      <c r="S372" s="24"/>
      <c r="T372" s="29">
        <v>2011.0</v>
      </c>
      <c r="U372" s="24" t="s">
        <v>331</v>
      </c>
      <c r="V372" s="24"/>
      <c r="W372" s="24"/>
      <c r="X372" s="91" t="s">
        <v>2256</v>
      </c>
      <c r="Y372" s="24" t="s">
        <v>2257</v>
      </c>
      <c r="Z372" s="24"/>
      <c r="AA372" s="30" t="s">
        <v>2256</v>
      </c>
      <c r="AB372" s="24" t="s">
        <v>1164</v>
      </c>
      <c r="AC372" s="24" t="s">
        <v>2256</v>
      </c>
      <c r="AD372" s="24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</row>
    <row r="373">
      <c r="A373" s="2"/>
      <c r="B373" s="2"/>
      <c r="C373" s="2"/>
      <c r="D373" s="4" t="b">
        <v>1</v>
      </c>
      <c r="E373" s="2" t="s">
        <v>2258</v>
      </c>
      <c r="F373" s="4" t="b">
        <v>0</v>
      </c>
      <c r="G373" s="4" t="b">
        <v>0</v>
      </c>
      <c r="H373" s="4" t="b">
        <v>0</v>
      </c>
      <c r="I373" s="2" t="s">
        <v>2259</v>
      </c>
      <c r="J373" s="2" t="s">
        <v>2260</v>
      </c>
      <c r="K373" s="2" t="s">
        <v>1137</v>
      </c>
      <c r="L373" s="2" t="s">
        <v>1137</v>
      </c>
      <c r="M373" s="16" t="s">
        <v>2261</v>
      </c>
      <c r="N373" s="16" t="s">
        <v>2262</v>
      </c>
      <c r="O373" s="16" t="s">
        <v>1937</v>
      </c>
      <c r="P373" s="16"/>
      <c r="Q373" s="16"/>
      <c r="R373" s="16"/>
      <c r="S373" s="16"/>
      <c r="T373" s="31">
        <v>2015.0</v>
      </c>
      <c r="U373" s="16" t="s">
        <v>331</v>
      </c>
      <c r="V373" s="16"/>
      <c r="W373" s="16"/>
      <c r="X373" s="90" t="s">
        <v>2263</v>
      </c>
      <c r="Y373" s="16"/>
      <c r="Z373" s="16"/>
      <c r="AA373" s="32" t="s">
        <v>2263</v>
      </c>
      <c r="AB373" s="16" t="s">
        <v>2264</v>
      </c>
      <c r="AC373" s="16" t="s">
        <v>2265</v>
      </c>
      <c r="AD373" s="16"/>
    </row>
    <row r="374">
      <c r="A374" s="23"/>
      <c r="B374" s="23"/>
      <c r="C374" s="23"/>
      <c r="D374" s="24" t="b">
        <v>0</v>
      </c>
      <c r="E374" s="23" t="s">
        <v>1969</v>
      </c>
      <c r="F374" s="25" t="b">
        <v>0</v>
      </c>
      <c r="G374" s="25" t="b">
        <v>1</v>
      </c>
      <c r="H374" s="25" t="b">
        <v>0</v>
      </c>
      <c r="I374" s="23" t="s">
        <v>2253</v>
      </c>
      <c r="J374" s="23" t="s">
        <v>2266</v>
      </c>
      <c r="K374" s="23" t="s">
        <v>1137</v>
      </c>
      <c r="L374" s="23" t="s">
        <v>1137</v>
      </c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91" t="s">
        <v>2267</v>
      </c>
      <c r="Y374" s="24"/>
      <c r="Z374" s="24"/>
      <c r="AA374" s="30" t="s">
        <v>2267</v>
      </c>
      <c r="AB374" s="24"/>
      <c r="AC374" s="24"/>
      <c r="AD374" s="24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</row>
    <row r="375">
      <c r="A375" s="23"/>
      <c r="B375" s="23"/>
      <c r="C375" s="23"/>
      <c r="D375" s="24" t="b">
        <v>0</v>
      </c>
      <c r="E375" s="23" t="s">
        <v>1969</v>
      </c>
      <c r="F375" s="25" t="b">
        <v>0</v>
      </c>
      <c r="G375" s="25" t="b">
        <v>1</v>
      </c>
      <c r="H375" s="25" t="b">
        <v>0</v>
      </c>
      <c r="I375" s="23" t="s">
        <v>2253</v>
      </c>
      <c r="J375" s="23" t="s">
        <v>2268</v>
      </c>
      <c r="K375" s="23" t="s">
        <v>1137</v>
      </c>
      <c r="L375" s="23" t="s">
        <v>1137</v>
      </c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91" t="s">
        <v>2269</v>
      </c>
      <c r="Y375" s="24"/>
      <c r="Z375" s="24"/>
      <c r="AA375" s="30" t="s">
        <v>2269</v>
      </c>
      <c r="AB375" s="24"/>
      <c r="AC375" s="24"/>
      <c r="AD375" s="24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</row>
    <row r="376">
      <c r="A376" s="2"/>
      <c r="B376" s="2"/>
      <c r="C376" s="2"/>
      <c r="D376" s="4" t="b">
        <v>1</v>
      </c>
      <c r="E376" s="2" t="s">
        <v>2270</v>
      </c>
      <c r="F376" s="4" t="b">
        <v>0</v>
      </c>
      <c r="G376" s="4" t="b">
        <v>0</v>
      </c>
      <c r="H376" s="4" t="b">
        <v>0</v>
      </c>
      <c r="I376" s="2" t="s">
        <v>2271</v>
      </c>
      <c r="J376" s="2" t="s">
        <v>2272</v>
      </c>
      <c r="K376" s="2" t="s">
        <v>1137</v>
      </c>
      <c r="L376" s="2" t="s">
        <v>1137</v>
      </c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90" t="s">
        <v>2273</v>
      </c>
      <c r="Y376" s="16"/>
      <c r="Z376" s="16"/>
      <c r="AA376" s="32" t="s">
        <v>2273</v>
      </c>
      <c r="AB376" s="16"/>
      <c r="AC376" s="16"/>
      <c r="AD376" s="16"/>
    </row>
    <row r="377">
      <c r="A377" s="23"/>
      <c r="B377" s="23"/>
      <c r="C377" s="23"/>
      <c r="D377" s="24" t="b">
        <v>0</v>
      </c>
      <c r="E377" s="23" t="s">
        <v>1969</v>
      </c>
      <c r="F377" s="25" t="b">
        <v>0</v>
      </c>
      <c r="G377" s="25" t="b">
        <v>1</v>
      </c>
      <c r="H377" s="25" t="b">
        <v>0</v>
      </c>
      <c r="I377" s="23" t="s">
        <v>2253</v>
      </c>
      <c r="J377" s="23" t="s">
        <v>2274</v>
      </c>
      <c r="K377" s="23" t="s">
        <v>1137</v>
      </c>
      <c r="L377" s="23" t="s">
        <v>1137</v>
      </c>
      <c r="M377" s="24" t="s">
        <v>1617</v>
      </c>
      <c r="N377" s="24" t="s">
        <v>1908</v>
      </c>
      <c r="O377" s="24" t="s">
        <v>2275</v>
      </c>
      <c r="P377" s="24"/>
      <c r="Q377" s="24"/>
      <c r="R377" s="24"/>
      <c r="S377" s="24"/>
      <c r="T377" s="24"/>
      <c r="U377" s="24" t="s">
        <v>331</v>
      </c>
      <c r="V377" s="24" t="s">
        <v>332</v>
      </c>
      <c r="W377" s="24"/>
      <c r="X377" s="91" t="s">
        <v>2276</v>
      </c>
      <c r="Y377" s="24" t="s">
        <v>2277</v>
      </c>
      <c r="Z377" s="24"/>
      <c r="AA377" s="30" t="s">
        <v>2276</v>
      </c>
      <c r="AB377" s="24" t="s">
        <v>1164</v>
      </c>
      <c r="AC377" s="24" t="s">
        <v>2276</v>
      </c>
      <c r="AD377" s="24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</row>
    <row r="378">
      <c r="A378" s="2"/>
      <c r="B378" s="2"/>
      <c r="C378" s="2"/>
      <c r="D378" s="4" t="b">
        <v>1</v>
      </c>
      <c r="E378" s="2" t="s">
        <v>2278</v>
      </c>
      <c r="F378" s="4" t="b">
        <v>0</v>
      </c>
      <c r="G378" s="4" t="b">
        <v>0</v>
      </c>
      <c r="H378" s="4" t="b">
        <v>0</v>
      </c>
      <c r="J378" s="2" t="s">
        <v>2279</v>
      </c>
      <c r="K378" s="2" t="s">
        <v>1137</v>
      </c>
      <c r="L378" s="2" t="s">
        <v>1137</v>
      </c>
      <c r="M378" s="16" t="s">
        <v>2280</v>
      </c>
      <c r="N378" s="16" t="s">
        <v>1908</v>
      </c>
      <c r="O378" s="16"/>
      <c r="P378" s="31"/>
      <c r="Q378" s="31">
        <v>83.0</v>
      </c>
      <c r="R378" s="16"/>
      <c r="S378" s="16"/>
      <c r="T378" s="31">
        <v>2017.0</v>
      </c>
      <c r="U378" s="16" t="s">
        <v>331</v>
      </c>
      <c r="V378" s="16" t="s">
        <v>2281</v>
      </c>
      <c r="W378" s="16"/>
      <c r="X378" s="90" t="s">
        <v>2282</v>
      </c>
      <c r="Y378" s="16" t="s">
        <v>2283</v>
      </c>
      <c r="Z378" s="16"/>
      <c r="AA378" s="32" t="s">
        <v>2282</v>
      </c>
      <c r="AB378" s="16" t="s">
        <v>1164</v>
      </c>
      <c r="AC378" s="16" t="s">
        <v>2282</v>
      </c>
      <c r="AD378" s="16"/>
    </row>
    <row r="379">
      <c r="A379" s="18"/>
      <c r="B379" s="18"/>
      <c r="C379" s="18"/>
      <c r="D379" s="19" t="b">
        <v>1</v>
      </c>
      <c r="E379" s="18" t="s">
        <v>2284</v>
      </c>
      <c r="F379" s="19" t="b">
        <v>0</v>
      </c>
      <c r="G379" s="19" t="b">
        <v>0</v>
      </c>
      <c r="H379" s="19" t="b">
        <v>0</v>
      </c>
      <c r="I379" s="18" t="s">
        <v>2285</v>
      </c>
      <c r="J379" s="18" t="s">
        <v>2286</v>
      </c>
      <c r="K379" s="18" t="s">
        <v>1137</v>
      </c>
      <c r="L379" s="18" t="s">
        <v>1137</v>
      </c>
      <c r="M379" s="52" t="s">
        <v>2287</v>
      </c>
      <c r="N379" s="52" t="s">
        <v>2288</v>
      </c>
      <c r="O379" s="52" t="s">
        <v>2289</v>
      </c>
      <c r="P379" s="52"/>
      <c r="Q379" s="52"/>
      <c r="R379" s="52"/>
      <c r="S379" s="52"/>
      <c r="T379" s="52"/>
      <c r="U379" s="52"/>
      <c r="V379" s="52" t="s">
        <v>332</v>
      </c>
      <c r="W379" s="52"/>
      <c r="X379" s="81" t="s">
        <v>2290</v>
      </c>
      <c r="Y379" s="52" t="s">
        <v>2291</v>
      </c>
      <c r="Z379" s="52"/>
      <c r="AA379" s="53" t="s">
        <v>2290</v>
      </c>
      <c r="AB379" s="52" t="s">
        <v>72</v>
      </c>
      <c r="AC379" s="52" t="s">
        <v>2291</v>
      </c>
      <c r="AD379" s="52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</row>
    <row r="380">
      <c r="A380" s="76"/>
      <c r="B380" s="76"/>
      <c r="C380" s="76"/>
      <c r="D380" s="73" t="b">
        <v>0</v>
      </c>
      <c r="E380" s="76" t="s">
        <v>1969</v>
      </c>
      <c r="F380" s="75" t="b">
        <v>0</v>
      </c>
      <c r="G380" s="75" t="b">
        <v>1</v>
      </c>
      <c r="H380" s="75" t="b">
        <v>0</v>
      </c>
      <c r="I380" s="76" t="s">
        <v>2292</v>
      </c>
      <c r="J380" s="76" t="s">
        <v>2293</v>
      </c>
      <c r="K380" s="76" t="s">
        <v>1137</v>
      </c>
      <c r="L380" s="76" t="s">
        <v>1137</v>
      </c>
      <c r="M380" s="73" t="s">
        <v>2294</v>
      </c>
      <c r="N380" s="73" t="s">
        <v>2295</v>
      </c>
      <c r="O380" s="73" t="s">
        <v>2296</v>
      </c>
      <c r="P380" s="77"/>
      <c r="Q380" s="77">
        <v>1493.0</v>
      </c>
      <c r="R380" s="73"/>
      <c r="S380" s="73"/>
      <c r="T380" s="77">
        <v>2015.0</v>
      </c>
      <c r="U380" s="73" t="s">
        <v>331</v>
      </c>
      <c r="V380" s="73" t="s">
        <v>332</v>
      </c>
      <c r="W380" s="73"/>
      <c r="X380" s="95" t="s">
        <v>2297</v>
      </c>
      <c r="Y380" s="73" t="s">
        <v>2298</v>
      </c>
      <c r="Z380" s="73"/>
      <c r="AA380" s="78" t="s">
        <v>2297</v>
      </c>
      <c r="AB380" s="73" t="s">
        <v>1164</v>
      </c>
      <c r="AC380" s="73" t="s">
        <v>2299</v>
      </c>
      <c r="AD380" s="73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</row>
    <row r="381">
      <c r="A381" s="2"/>
      <c r="B381" s="2"/>
      <c r="C381" s="2"/>
      <c r="D381" s="4" t="b">
        <v>1</v>
      </c>
      <c r="E381" s="2" t="s">
        <v>2300</v>
      </c>
      <c r="F381" s="4" t="b">
        <v>0</v>
      </c>
      <c r="G381" s="4" t="b">
        <v>0</v>
      </c>
      <c r="H381" s="4" t="b">
        <v>0</v>
      </c>
      <c r="I381" s="2" t="s">
        <v>2301</v>
      </c>
      <c r="J381" s="2" t="s">
        <v>2302</v>
      </c>
      <c r="K381" s="2" t="s">
        <v>1137</v>
      </c>
      <c r="L381" s="2" t="s">
        <v>1137</v>
      </c>
      <c r="M381" s="16" t="s">
        <v>2303</v>
      </c>
      <c r="N381" s="16" t="s">
        <v>2304</v>
      </c>
      <c r="O381" s="16" t="s">
        <v>2305</v>
      </c>
      <c r="P381" s="31"/>
      <c r="Q381" s="31">
        <v>1500.0</v>
      </c>
      <c r="R381" s="16"/>
      <c r="S381" s="16"/>
      <c r="T381" s="31">
        <v>2010.0</v>
      </c>
      <c r="U381" s="16" t="s">
        <v>331</v>
      </c>
      <c r="V381" s="16" t="s">
        <v>968</v>
      </c>
      <c r="W381" s="16"/>
      <c r="X381" s="90" t="s">
        <v>2306</v>
      </c>
      <c r="Y381" s="16"/>
      <c r="Z381" s="16"/>
      <c r="AA381" s="32" t="s">
        <v>2306</v>
      </c>
      <c r="AB381" s="16" t="s">
        <v>2307</v>
      </c>
      <c r="AC381" s="16" t="s">
        <v>2308</v>
      </c>
      <c r="AD381" s="16"/>
      <c r="AG381" s="97" t="s">
        <v>2309</v>
      </c>
    </row>
    <row r="382">
      <c r="A382" s="2"/>
      <c r="B382" s="2"/>
      <c r="C382" s="2"/>
      <c r="D382" s="4" t="b">
        <v>1</v>
      </c>
      <c r="E382" s="2" t="s">
        <v>2310</v>
      </c>
      <c r="F382" s="4" t="b">
        <v>0</v>
      </c>
      <c r="G382" s="4" t="b">
        <v>0</v>
      </c>
      <c r="H382" s="4" t="b">
        <v>0</v>
      </c>
      <c r="J382" s="2" t="s">
        <v>2311</v>
      </c>
      <c r="K382" s="2" t="s">
        <v>1137</v>
      </c>
      <c r="L382" s="2" t="s">
        <v>1137</v>
      </c>
      <c r="M382" s="16" t="s">
        <v>2312</v>
      </c>
      <c r="N382" s="16" t="s">
        <v>76</v>
      </c>
      <c r="O382" s="16" t="s">
        <v>2313</v>
      </c>
      <c r="P382" s="16"/>
      <c r="Q382" s="16"/>
      <c r="R382" s="16"/>
      <c r="S382" s="16"/>
      <c r="T382" s="31">
        <v>2017.0</v>
      </c>
      <c r="U382" s="16" t="s">
        <v>331</v>
      </c>
      <c r="V382" s="16" t="s">
        <v>2314</v>
      </c>
      <c r="W382" s="16"/>
      <c r="X382" s="90" t="s">
        <v>2315</v>
      </c>
      <c r="Y382" s="16" t="s">
        <v>2316</v>
      </c>
      <c r="Z382" s="16"/>
      <c r="AA382" s="32" t="s">
        <v>2315</v>
      </c>
      <c r="AB382" s="16" t="s">
        <v>2317</v>
      </c>
      <c r="AC382" s="16"/>
      <c r="AD382" s="16"/>
    </row>
    <row r="383">
      <c r="A383" s="39"/>
      <c r="B383" s="39"/>
      <c r="C383" s="39"/>
      <c r="D383" s="55" t="b">
        <v>1</v>
      </c>
      <c r="E383" s="39" t="s">
        <v>2318</v>
      </c>
      <c r="F383" s="55" t="b">
        <v>0</v>
      </c>
      <c r="G383" s="55" t="b">
        <v>0</v>
      </c>
      <c r="H383" s="55" t="b">
        <v>0</v>
      </c>
      <c r="I383" s="51" t="s">
        <v>2319</v>
      </c>
      <c r="J383" s="39" t="s">
        <v>2320</v>
      </c>
      <c r="K383" s="39" t="s">
        <v>1137</v>
      </c>
      <c r="L383" s="39" t="s">
        <v>1137</v>
      </c>
      <c r="M383" s="56" t="s">
        <v>2294</v>
      </c>
      <c r="N383" s="56" t="s">
        <v>2321</v>
      </c>
      <c r="O383" s="56" t="s">
        <v>2322</v>
      </c>
      <c r="P383" s="58"/>
      <c r="Q383" s="58">
        <v>349.0</v>
      </c>
      <c r="R383" s="56"/>
      <c r="S383" s="56"/>
      <c r="T383" s="58">
        <v>2017.0</v>
      </c>
      <c r="U383" s="56" t="s">
        <v>331</v>
      </c>
      <c r="V383" s="56" t="s">
        <v>2323</v>
      </c>
      <c r="W383" s="56"/>
      <c r="X383" s="92" t="s">
        <v>2324</v>
      </c>
      <c r="Y383" s="56" t="s">
        <v>2325</v>
      </c>
      <c r="Z383" s="56"/>
      <c r="AA383" s="57" t="s">
        <v>2324</v>
      </c>
      <c r="AB383" s="56" t="s">
        <v>1732</v>
      </c>
      <c r="AC383" s="56" t="s">
        <v>2326</v>
      </c>
      <c r="AD383" s="56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</row>
    <row r="384">
      <c r="A384" s="2"/>
      <c r="B384" s="2"/>
      <c r="C384" s="2"/>
      <c r="D384" s="4" t="b">
        <v>1</v>
      </c>
      <c r="E384" s="2" t="s">
        <v>2327</v>
      </c>
      <c r="F384" s="4" t="b">
        <v>0</v>
      </c>
      <c r="G384" s="4" t="b">
        <v>0</v>
      </c>
      <c r="H384" s="4" t="b">
        <v>0</v>
      </c>
      <c r="I384" s="5" t="s">
        <v>2328</v>
      </c>
      <c r="J384" s="2" t="s">
        <v>2329</v>
      </c>
      <c r="K384" s="2" t="s">
        <v>1137</v>
      </c>
      <c r="L384" s="2" t="s">
        <v>1137</v>
      </c>
      <c r="M384" s="16" t="s">
        <v>2330</v>
      </c>
      <c r="N384" s="16" t="s">
        <v>2331</v>
      </c>
      <c r="O384" s="16"/>
      <c r="P384" s="31"/>
      <c r="Q384" s="31">
        <v>144.0</v>
      </c>
      <c r="R384" s="16"/>
      <c r="S384" s="16"/>
      <c r="T384" s="31">
        <v>2017.0</v>
      </c>
      <c r="U384" s="16" t="s">
        <v>331</v>
      </c>
      <c r="V384" s="16" t="s">
        <v>968</v>
      </c>
      <c r="W384" s="16"/>
      <c r="X384" s="90" t="s">
        <v>2332</v>
      </c>
      <c r="Y384" s="16" t="s">
        <v>2333</v>
      </c>
      <c r="Z384" s="16"/>
      <c r="AA384" s="32" t="s">
        <v>2332</v>
      </c>
      <c r="AB384" s="16" t="s">
        <v>1164</v>
      </c>
      <c r="AC384" s="16" t="s">
        <v>2332</v>
      </c>
      <c r="AD384" s="16"/>
    </row>
    <row r="385">
      <c r="A385" s="23"/>
      <c r="B385" s="23"/>
      <c r="C385" s="23"/>
      <c r="D385" s="24" t="b">
        <v>0</v>
      </c>
      <c r="E385" s="23" t="s">
        <v>1969</v>
      </c>
      <c r="F385" s="25" t="b">
        <v>0</v>
      </c>
      <c r="G385" s="25" t="b">
        <v>1</v>
      </c>
      <c r="H385" s="25" t="b">
        <v>0</v>
      </c>
      <c r="I385" s="22"/>
      <c r="J385" s="23" t="s">
        <v>2334</v>
      </c>
      <c r="K385" s="23" t="s">
        <v>1137</v>
      </c>
      <c r="L385" s="23" t="s">
        <v>1137</v>
      </c>
      <c r="M385" s="24" t="s">
        <v>2335</v>
      </c>
      <c r="N385" s="24" t="s">
        <v>2336</v>
      </c>
      <c r="O385" s="24"/>
      <c r="P385" s="29"/>
      <c r="Q385" s="29">
        <v>54.0</v>
      </c>
      <c r="R385" s="24"/>
      <c r="S385" s="24"/>
      <c r="T385" s="29">
        <v>2019.0</v>
      </c>
      <c r="U385" s="24" t="s">
        <v>331</v>
      </c>
      <c r="V385" s="24" t="s">
        <v>332</v>
      </c>
      <c r="W385" s="24"/>
      <c r="X385" s="91" t="s">
        <v>2337</v>
      </c>
      <c r="Y385" s="24"/>
      <c r="Z385" s="24"/>
      <c r="AA385" s="30" t="s">
        <v>2337</v>
      </c>
      <c r="AB385" s="24" t="s">
        <v>334</v>
      </c>
      <c r="AC385" s="24" t="s">
        <v>2337</v>
      </c>
      <c r="AD385" s="24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</row>
    <row r="386">
      <c r="A386" s="23"/>
      <c r="B386" s="23"/>
      <c r="C386" s="23"/>
      <c r="D386" s="24" t="b">
        <v>0</v>
      </c>
      <c r="E386" s="23" t="s">
        <v>1969</v>
      </c>
      <c r="F386" s="25" t="b">
        <v>0</v>
      </c>
      <c r="G386" s="25" t="b">
        <v>1</v>
      </c>
      <c r="H386" s="25" t="b">
        <v>0</v>
      </c>
      <c r="I386" s="23" t="s">
        <v>2253</v>
      </c>
      <c r="J386" s="23" t="s">
        <v>2338</v>
      </c>
      <c r="K386" s="23" t="s">
        <v>1137</v>
      </c>
      <c r="L386" s="23" t="s">
        <v>1137</v>
      </c>
      <c r="M386" s="24" t="s">
        <v>2339</v>
      </c>
      <c r="N386" s="24" t="s">
        <v>1908</v>
      </c>
      <c r="O386" s="24"/>
      <c r="P386" s="29"/>
      <c r="Q386" s="29">
        <v>45.0</v>
      </c>
      <c r="R386" s="29">
        <v>90.0</v>
      </c>
      <c r="S386" s="24"/>
      <c r="T386" s="24"/>
      <c r="U386" s="24" t="s">
        <v>331</v>
      </c>
      <c r="V386" s="24" t="s">
        <v>2340</v>
      </c>
      <c r="W386" s="24"/>
      <c r="X386" s="91" t="s">
        <v>2341</v>
      </c>
      <c r="Y386" s="24"/>
      <c r="Z386" s="24"/>
      <c r="AA386" s="30" t="s">
        <v>2341</v>
      </c>
      <c r="AB386" s="24" t="s">
        <v>1164</v>
      </c>
      <c r="AC386" s="24" t="s">
        <v>2341</v>
      </c>
      <c r="AD386" s="24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</row>
    <row r="387">
      <c r="A387" s="2"/>
      <c r="B387" s="2"/>
      <c r="C387" s="2"/>
      <c r="D387" s="4" t="b">
        <v>1</v>
      </c>
      <c r="E387" s="2" t="s">
        <v>2342</v>
      </c>
      <c r="F387" s="4" t="b">
        <v>0</v>
      </c>
      <c r="G387" s="4" t="b">
        <v>0</v>
      </c>
      <c r="H387" s="4" t="b">
        <v>0</v>
      </c>
      <c r="J387" s="2" t="s">
        <v>2343</v>
      </c>
      <c r="K387" s="2" t="s">
        <v>1137</v>
      </c>
      <c r="L387" s="2" t="s">
        <v>1137</v>
      </c>
      <c r="M387" s="16" t="s">
        <v>2344</v>
      </c>
      <c r="N387" s="16" t="s">
        <v>2345</v>
      </c>
      <c r="O387" s="16" t="s">
        <v>2346</v>
      </c>
      <c r="P387" s="31"/>
      <c r="Q387" s="31">
        <v>25.0</v>
      </c>
      <c r="R387" s="16"/>
      <c r="S387" s="16"/>
      <c r="T387" s="31">
        <v>2021.0</v>
      </c>
      <c r="U387" s="16" t="s">
        <v>331</v>
      </c>
      <c r="V387" s="16" t="s">
        <v>2347</v>
      </c>
      <c r="W387" s="16"/>
      <c r="X387" s="90" t="s">
        <v>2348</v>
      </c>
      <c r="Y387" s="16"/>
      <c r="Z387" s="16"/>
      <c r="AA387" s="32" t="s">
        <v>2348</v>
      </c>
      <c r="AB387" s="16" t="s">
        <v>346</v>
      </c>
      <c r="AC387" s="16" t="s">
        <v>2349</v>
      </c>
      <c r="AD387" s="16"/>
    </row>
    <row r="388">
      <c r="A388" s="23"/>
      <c r="B388" s="23"/>
      <c r="C388" s="23"/>
      <c r="D388" s="24" t="b">
        <v>0</v>
      </c>
      <c r="E388" s="23" t="s">
        <v>1969</v>
      </c>
      <c r="F388" s="25" t="b">
        <v>0</v>
      </c>
      <c r="G388" s="25" t="b">
        <v>1</v>
      </c>
      <c r="H388" s="25" t="b">
        <v>0</v>
      </c>
      <c r="I388" s="22"/>
      <c r="J388" s="23" t="s">
        <v>2350</v>
      </c>
      <c r="K388" s="23" t="s">
        <v>1137</v>
      </c>
      <c r="L388" s="23" t="s">
        <v>1137</v>
      </c>
      <c r="M388" s="24" t="s">
        <v>2351</v>
      </c>
      <c r="N388" s="24" t="s">
        <v>2352</v>
      </c>
      <c r="O388" s="24"/>
      <c r="P388" s="29"/>
      <c r="Q388" s="29">
        <v>130.0</v>
      </c>
      <c r="R388" s="24"/>
      <c r="S388" s="24"/>
      <c r="T388" s="24"/>
      <c r="U388" s="24" t="s">
        <v>331</v>
      </c>
      <c r="V388" s="24" t="s">
        <v>332</v>
      </c>
      <c r="W388" s="24"/>
      <c r="X388" s="91" t="s">
        <v>2353</v>
      </c>
      <c r="Y388" s="24"/>
      <c r="Z388" s="24"/>
      <c r="AA388" s="30" t="s">
        <v>2353</v>
      </c>
      <c r="AB388" s="24" t="s">
        <v>334</v>
      </c>
      <c r="AC388" s="24" t="s">
        <v>2354</v>
      </c>
      <c r="AD388" s="24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</row>
    <row r="389">
      <c r="A389" s="18"/>
      <c r="B389" s="18"/>
      <c r="C389" s="18"/>
      <c r="D389" s="52" t="b">
        <v>0</v>
      </c>
      <c r="E389" s="18" t="s">
        <v>1969</v>
      </c>
      <c r="F389" s="19" t="b">
        <v>0</v>
      </c>
      <c r="G389" s="19" t="b">
        <v>1</v>
      </c>
      <c r="H389" s="19" t="b">
        <v>0</v>
      </c>
      <c r="I389" s="17"/>
      <c r="J389" s="18" t="s">
        <v>1287</v>
      </c>
      <c r="K389" s="18" t="s">
        <v>1137</v>
      </c>
      <c r="L389" s="18" t="s">
        <v>1137</v>
      </c>
      <c r="M389" s="19" t="s">
        <v>2355</v>
      </c>
      <c r="N389" s="52" t="s">
        <v>685</v>
      </c>
      <c r="O389" s="52" t="s">
        <v>2356</v>
      </c>
      <c r="P389" s="54"/>
      <c r="Q389" s="54">
        <v>23.0</v>
      </c>
      <c r="R389" s="52"/>
      <c r="S389" s="52"/>
      <c r="T389" s="54">
        <v>2017.0</v>
      </c>
      <c r="U389" s="52" t="s">
        <v>331</v>
      </c>
      <c r="V389" s="52" t="s">
        <v>1290</v>
      </c>
      <c r="W389" s="52"/>
      <c r="X389" s="81" t="s">
        <v>2357</v>
      </c>
      <c r="Y389" s="52" t="s">
        <v>2358</v>
      </c>
      <c r="Z389" s="52"/>
      <c r="AA389" s="53" t="s">
        <v>2357</v>
      </c>
      <c r="AB389" s="52" t="s">
        <v>2359</v>
      </c>
      <c r="AC389" s="52" t="s">
        <v>2357</v>
      </c>
      <c r="AD389" s="52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</row>
    <row r="390">
      <c r="A390" s="23"/>
      <c r="B390" s="23"/>
      <c r="C390" s="23"/>
      <c r="D390" s="24" t="b">
        <v>0</v>
      </c>
      <c r="E390" s="23" t="s">
        <v>1969</v>
      </c>
      <c r="F390" s="25" t="b">
        <v>0</v>
      </c>
      <c r="G390" s="25" t="b">
        <v>1</v>
      </c>
      <c r="H390" s="25" t="b">
        <v>0</v>
      </c>
      <c r="I390" s="22"/>
      <c r="J390" s="23" t="s">
        <v>2360</v>
      </c>
      <c r="K390" s="23" t="s">
        <v>1137</v>
      </c>
      <c r="L390" s="23" t="s">
        <v>1137</v>
      </c>
      <c r="M390" s="24" t="s">
        <v>2361</v>
      </c>
      <c r="N390" s="24" t="s">
        <v>2362</v>
      </c>
      <c r="O390" s="24"/>
      <c r="P390" s="29"/>
      <c r="Q390" s="29">
        <v>19.0</v>
      </c>
      <c r="R390" s="29">
        <v>70220.0</v>
      </c>
      <c r="S390" s="29">
        <v>7.79</v>
      </c>
      <c r="T390" s="29">
        <v>2011.0</v>
      </c>
      <c r="U390" s="24" t="s">
        <v>331</v>
      </c>
      <c r="V390" s="24" t="s">
        <v>332</v>
      </c>
      <c r="W390" s="24"/>
      <c r="X390" s="91" t="s">
        <v>2363</v>
      </c>
      <c r="Y390" s="24" t="s">
        <v>2364</v>
      </c>
      <c r="Z390" s="24"/>
      <c r="AA390" s="30" t="s">
        <v>2363</v>
      </c>
      <c r="AB390" s="24" t="s">
        <v>334</v>
      </c>
      <c r="AC390" s="24" t="s">
        <v>2365</v>
      </c>
      <c r="AD390" s="24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</row>
    <row r="391">
      <c r="A391" s="12"/>
      <c r="B391" s="12"/>
      <c r="C391" s="12"/>
      <c r="D391" s="13" t="b">
        <v>1</v>
      </c>
      <c r="E391" s="12" t="s">
        <v>2366</v>
      </c>
      <c r="F391" s="13" t="b">
        <v>0</v>
      </c>
      <c r="G391" s="13" t="b">
        <v>0</v>
      </c>
      <c r="H391" s="13" t="b">
        <v>0</v>
      </c>
      <c r="I391" s="11"/>
      <c r="J391" s="12" t="s">
        <v>2367</v>
      </c>
      <c r="K391" s="12" t="s">
        <v>1137</v>
      </c>
      <c r="L391" s="12" t="s">
        <v>1137</v>
      </c>
      <c r="M391" s="35" t="s">
        <v>2368</v>
      </c>
      <c r="N391" s="35" t="s">
        <v>417</v>
      </c>
      <c r="O391" s="35" t="s">
        <v>2369</v>
      </c>
      <c r="P391" s="35"/>
      <c r="Q391" s="35"/>
      <c r="R391" s="35"/>
      <c r="S391" s="35"/>
      <c r="T391" s="36">
        <v>2021.0</v>
      </c>
      <c r="U391" s="35" t="s">
        <v>331</v>
      </c>
      <c r="V391" s="35" t="s">
        <v>968</v>
      </c>
      <c r="W391" s="35"/>
      <c r="X391" s="93" t="s">
        <v>2370</v>
      </c>
      <c r="Y391" s="35"/>
      <c r="Z391" s="35"/>
      <c r="AA391" s="37" t="s">
        <v>2370</v>
      </c>
      <c r="AB391" s="35" t="s">
        <v>2371</v>
      </c>
      <c r="AC391" s="35" t="s">
        <v>2370</v>
      </c>
      <c r="AD391" s="35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</row>
    <row r="392">
      <c r="A392" s="2"/>
      <c r="B392" s="2"/>
      <c r="C392" s="2"/>
      <c r="D392" s="4" t="b">
        <v>1</v>
      </c>
      <c r="E392" s="2" t="s">
        <v>2372</v>
      </c>
      <c r="F392" s="4" t="b">
        <v>0</v>
      </c>
      <c r="G392" s="4" t="b">
        <v>0</v>
      </c>
      <c r="H392" s="4" t="b">
        <v>0</v>
      </c>
      <c r="J392" s="2" t="s">
        <v>2373</v>
      </c>
      <c r="K392" s="2" t="s">
        <v>1137</v>
      </c>
      <c r="L392" s="2" t="s">
        <v>1137</v>
      </c>
      <c r="M392" s="16" t="s">
        <v>2374</v>
      </c>
      <c r="N392" s="16" t="s">
        <v>1908</v>
      </c>
      <c r="O392" s="16" t="s">
        <v>2375</v>
      </c>
      <c r="P392" s="31"/>
      <c r="Q392" s="31">
        <v>494.0</v>
      </c>
      <c r="R392" s="31">
        <v>987.0</v>
      </c>
      <c r="S392" s="16"/>
      <c r="T392" s="31">
        <v>2018.0</v>
      </c>
      <c r="U392" s="16" t="s">
        <v>331</v>
      </c>
      <c r="V392" s="16" t="s">
        <v>644</v>
      </c>
      <c r="W392" s="16"/>
      <c r="X392" s="90" t="s">
        <v>2376</v>
      </c>
      <c r="Y392" s="16" t="s">
        <v>2377</v>
      </c>
      <c r="Z392" s="16"/>
      <c r="AA392" s="32" t="s">
        <v>2376</v>
      </c>
      <c r="AB392" s="16" t="s">
        <v>2378</v>
      </c>
      <c r="AC392" s="16" t="s">
        <v>2379</v>
      </c>
      <c r="AD392" s="16"/>
    </row>
    <row r="393">
      <c r="A393" s="76"/>
      <c r="B393" s="76"/>
      <c r="C393" s="76"/>
      <c r="D393" s="73" t="b">
        <v>0</v>
      </c>
      <c r="E393" s="76" t="s">
        <v>1969</v>
      </c>
      <c r="F393" s="75" t="b">
        <v>0</v>
      </c>
      <c r="G393" s="75" t="b">
        <v>0</v>
      </c>
      <c r="H393" s="75" t="b">
        <v>0</v>
      </c>
      <c r="I393" s="76" t="s">
        <v>2380</v>
      </c>
      <c r="J393" s="76" t="s">
        <v>2381</v>
      </c>
      <c r="K393" s="76" t="s">
        <v>1137</v>
      </c>
      <c r="L393" s="76" t="s">
        <v>1137</v>
      </c>
      <c r="M393" s="73" t="s">
        <v>2382</v>
      </c>
      <c r="N393" s="73" t="s">
        <v>2383</v>
      </c>
      <c r="O393" s="73" t="s">
        <v>2384</v>
      </c>
      <c r="P393" s="73"/>
      <c r="Q393" s="73"/>
      <c r="R393" s="73"/>
      <c r="S393" s="73" t="s">
        <v>2385</v>
      </c>
      <c r="T393" s="77">
        <v>2022.0</v>
      </c>
      <c r="U393" s="73" t="s">
        <v>331</v>
      </c>
      <c r="V393" s="73" t="s">
        <v>968</v>
      </c>
      <c r="W393" s="73"/>
      <c r="X393" s="95" t="s">
        <v>2386</v>
      </c>
      <c r="Y393" s="73" t="s">
        <v>2387</v>
      </c>
      <c r="Z393" s="73"/>
      <c r="AA393" s="78" t="s">
        <v>2386</v>
      </c>
      <c r="AB393" s="73" t="s">
        <v>72</v>
      </c>
      <c r="AC393" s="73" t="s">
        <v>2388</v>
      </c>
      <c r="AD393" s="73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</row>
    <row r="394">
      <c r="A394" s="76"/>
      <c r="B394" s="76"/>
      <c r="C394" s="76"/>
      <c r="D394" s="73" t="b">
        <v>0</v>
      </c>
      <c r="E394" s="76" t="s">
        <v>1969</v>
      </c>
      <c r="F394" s="75" t="b">
        <v>1</v>
      </c>
      <c r="G394" s="75" t="b">
        <v>0</v>
      </c>
      <c r="H394" s="75" t="b">
        <v>0</v>
      </c>
      <c r="I394" s="76" t="s">
        <v>2389</v>
      </c>
      <c r="J394" s="76" t="s">
        <v>2390</v>
      </c>
      <c r="K394" s="76" t="s">
        <v>1137</v>
      </c>
      <c r="L394" s="76" t="s">
        <v>1137</v>
      </c>
      <c r="M394" s="73" t="s">
        <v>2391</v>
      </c>
      <c r="N394" s="73" t="s">
        <v>76</v>
      </c>
      <c r="O394" s="73" t="s">
        <v>2392</v>
      </c>
      <c r="P394" s="77"/>
      <c r="Q394" s="77">
        <v>35.0</v>
      </c>
      <c r="R394" s="77">
        <v>35.0</v>
      </c>
      <c r="S394" s="73"/>
      <c r="T394" s="77">
        <v>2023.0</v>
      </c>
      <c r="U394" s="73" t="s">
        <v>331</v>
      </c>
      <c r="V394" s="73"/>
      <c r="W394" s="73"/>
      <c r="X394" s="95" t="s">
        <v>2393</v>
      </c>
      <c r="Y394" s="73" t="s">
        <v>2394</v>
      </c>
      <c r="Z394" s="73"/>
      <c r="AA394" s="78" t="s">
        <v>2393</v>
      </c>
      <c r="AB394" s="73" t="s">
        <v>1244</v>
      </c>
      <c r="AC394" s="73" t="s">
        <v>2395</v>
      </c>
      <c r="AD394" s="73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</row>
    <row r="395">
      <c r="A395" s="2"/>
      <c r="B395" s="2"/>
      <c r="C395" s="2"/>
      <c r="D395" s="4" t="b">
        <v>1</v>
      </c>
      <c r="E395" s="2" t="s">
        <v>2396</v>
      </c>
      <c r="F395" s="4" t="b">
        <v>0</v>
      </c>
      <c r="G395" s="4" t="b">
        <v>0</v>
      </c>
      <c r="H395" s="4" t="b">
        <v>0</v>
      </c>
      <c r="J395" s="2" t="s">
        <v>2397</v>
      </c>
      <c r="K395" s="2" t="s">
        <v>1137</v>
      </c>
      <c r="L395" s="2" t="s">
        <v>1137</v>
      </c>
      <c r="M395" s="16" t="s">
        <v>2398</v>
      </c>
      <c r="N395" s="16" t="s">
        <v>2399</v>
      </c>
      <c r="O395" s="16" t="s">
        <v>2400</v>
      </c>
      <c r="P395" s="31"/>
      <c r="Q395" s="31">
        <v>1.0</v>
      </c>
      <c r="R395" s="31">
        <v>73.0</v>
      </c>
      <c r="S395" s="16"/>
      <c r="T395" s="16"/>
      <c r="U395" s="16" t="s">
        <v>331</v>
      </c>
      <c r="V395" s="16" t="s">
        <v>2323</v>
      </c>
      <c r="W395" s="16"/>
      <c r="X395" s="90" t="s">
        <v>2401</v>
      </c>
      <c r="Y395" s="16" t="s">
        <v>2402</v>
      </c>
      <c r="Z395" s="16"/>
      <c r="AA395" s="32" t="s">
        <v>2401</v>
      </c>
      <c r="AB395" s="16" t="s">
        <v>2378</v>
      </c>
      <c r="AC395" s="16" t="s">
        <v>2403</v>
      </c>
      <c r="AD395" s="16"/>
    </row>
    <row r="396">
      <c r="A396" s="2"/>
      <c r="B396" s="2"/>
      <c r="C396" s="2"/>
      <c r="D396" s="4" t="b">
        <v>1</v>
      </c>
      <c r="E396" s="2" t="s">
        <v>2404</v>
      </c>
      <c r="F396" s="4" t="b">
        <v>1</v>
      </c>
      <c r="G396" s="4" t="b">
        <v>0</v>
      </c>
      <c r="H396" s="4" t="b">
        <v>0</v>
      </c>
      <c r="I396" s="2" t="s">
        <v>2405</v>
      </c>
      <c r="J396" s="2" t="s">
        <v>2406</v>
      </c>
      <c r="K396" s="2" t="s">
        <v>1137</v>
      </c>
      <c r="L396" s="2" t="s">
        <v>1137</v>
      </c>
      <c r="M396" s="16" t="s">
        <v>60</v>
      </c>
      <c r="N396" s="16" t="s">
        <v>34</v>
      </c>
      <c r="O396" s="16" t="s">
        <v>2407</v>
      </c>
      <c r="P396" s="16"/>
      <c r="Q396" s="4">
        <v>9000.0</v>
      </c>
      <c r="R396" s="4">
        <v>9000.0</v>
      </c>
      <c r="S396" s="16"/>
      <c r="T396" s="16"/>
      <c r="U396" s="16" t="s">
        <v>331</v>
      </c>
      <c r="V396" s="16" t="s">
        <v>332</v>
      </c>
      <c r="W396" s="16"/>
      <c r="X396" s="90" t="s">
        <v>2408</v>
      </c>
      <c r="Y396" s="16" t="s">
        <v>2409</v>
      </c>
      <c r="Z396" s="16"/>
      <c r="AA396" s="32" t="s">
        <v>2408</v>
      </c>
      <c r="AB396" s="16" t="s">
        <v>666</v>
      </c>
      <c r="AC396" s="16" t="s">
        <v>2410</v>
      </c>
      <c r="AD396" s="16"/>
    </row>
    <row r="397">
      <c r="A397" s="76"/>
      <c r="B397" s="76"/>
      <c r="C397" s="76"/>
      <c r="D397" s="73" t="b">
        <v>0</v>
      </c>
      <c r="E397" s="76" t="s">
        <v>1969</v>
      </c>
      <c r="F397" s="75" t="b">
        <v>0</v>
      </c>
      <c r="G397" s="75" t="b">
        <v>0</v>
      </c>
      <c r="H397" s="75" t="b">
        <v>0</v>
      </c>
      <c r="I397" s="76" t="s">
        <v>2411</v>
      </c>
      <c r="J397" s="76" t="s">
        <v>2412</v>
      </c>
      <c r="K397" s="76" t="s">
        <v>1137</v>
      </c>
      <c r="L397" s="76" t="s">
        <v>1137</v>
      </c>
      <c r="M397" s="73" t="s">
        <v>2413</v>
      </c>
      <c r="N397" s="73" t="s">
        <v>2414</v>
      </c>
      <c r="O397" s="73" t="s">
        <v>2415</v>
      </c>
      <c r="P397" s="77"/>
      <c r="Q397" s="77">
        <v>514.0</v>
      </c>
      <c r="R397" s="77">
        <v>514.0</v>
      </c>
      <c r="S397" s="73"/>
      <c r="T397" s="77">
        <v>2022.0</v>
      </c>
      <c r="U397" s="73" t="s">
        <v>343</v>
      </c>
      <c r="V397" s="73" t="s">
        <v>624</v>
      </c>
      <c r="W397" s="73"/>
      <c r="X397" s="95" t="s">
        <v>2416</v>
      </c>
      <c r="Y397" s="73" t="s">
        <v>2417</v>
      </c>
      <c r="Z397" s="73"/>
      <c r="AA397" s="78" t="s">
        <v>2416</v>
      </c>
      <c r="AB397" s="73" t="s">
        <v>346</v>
      </c>
      <c r="AC397" s="73" t="s">
        <v>2418</v>
      </c>
      <c r="AD397" s="73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</row>
    <row r="398">
      <c r="A398" s="2"/>
      <c r="B398" s="2"/>
      <c r="C398" s="2"/>
      <c r="D398" s="4" t="b">
        <v>1</v>
      </c>
      <c r="E398" s="2" t="s">
        <v>2419</v>
      </c>
      <c r="F398" s="4" t="b">
        <v>0</v>
      </c>
      <c r="G398" s="4" t="b">
        <v>0</v>
      </c>
      <c r="H398" s="4" t="b">
        <v>0</v>
      </c>
      <c r="J398" s="2" t="s">
        <v>2420</v>
      </c>
      <c r="K398" s="2" t="s">
        <v>1137</v>
      </c>
      <c r="L398" s="2" t="s">
        <v>1137</v>
      </c>
      <c r="M398" s="16" t="s">
        <v>2421</v>
      </c>
      <c r="N398" s="16" t="s">
        <v>2422</v>
      </c>
      <c r="O398" s="16" t="s">
        <v>2423</v>
      </c>
      <c r="P398" s="31"/>
      <c r="Q398" s="31">
        <v>580.0</v>
      </c>
      <c r="R398" s="31">
        <v>1740.0</v>
      </c>
      <c r="S398" s="16"/>
      <c r="T398" s="31">
        <v>2017.0</v>
      </c>
      <c r="U398" s="16" t="s">
        <v>331</v>
      </c>
      <c r="V398" s="16" t="s">
        <v>644</v>
      </c>
      <c r="W398" s="16"/>
      <c r="X398" s="90" t="s">
        <v>2424</v>
      </c>
      <c r="Y398" s="16" t="s">
        <v>2425</v>
      </c>
      <c r="Z398" s="16"/>
      <c r="AA398" s="32" t="s">
        <v>2424</v>
      </c>
      <c r="AB398" s="16" t="s">
        <v>2426</v>
      </c>
      <c r="AC398" s="16" t="s">
        <v>2427</v>
      </c>
      <c r="AD398" s="16"/>
    </row>
    <row r="399">
      <c r="A399" s="76"/>
      <c r="B399" s="76"/>
      <c r="C399" s="76"/>
      <c r="D399" s="73" t="b">
        <v>0</v>
      </c>
      <c r="E399" s="76" t="s">
        <v>1969</v>
      </c>
      <c r="F399" s="75" t="b">
        <v>0</v>
      </c>
      <c r="G399" s="75" t="b">
        <v>0</v>
      </c>
      <c r="H399" s="75" t="b">
        <v>0</v>
      </c>
      <c r="I399" s="76" t="s">
        <v>2389</v>
      </c>
      <c r="J399" s="76" t="s">
        <v>2428</v>
      </c>
      <c r="K399" s="76" t="s">
        <v>1137</v>
      </c>
      <c r="L399" s="76" t="s">
        <v>1137</v>
      </c>
      <c r="M399" s="73" t="s">
        <v>2429</v>
      </c>
      <c r="N399" s="73" t="s">
        <v>76</v>
      </c>
      <c r="O399" s="73" t="s">
        <v>2430</v>
      </c>
      <c r="P399" s="77"/>
      <c r="Q399" s="77">
        <v>14.0</v>
      </c>
      <c r="R399" s="77">
        <v>14.0</v>
      </c>
      <c r="S399" s="73"/>
      <c r="T399" s="77">
        <v>2023.0</v>
      </c>
      <c r="U399" s="73" t="s">
        <v>331</v>
      </c>
      <c r="V399" s="73" t="s">
        <v>2431</v>
      </c>
      <c r="W399" s="73"/>
      <c r="X399" s="95" t="s">
        <v>2432</v>
      </c>
      <c r="Y399" s="73" t="s">
        <v>2433</v>
      </c>
      <c r="Z399" s="73"/>
      <c r="AA399" s="78" t="s">
        <v>2432</v>
      </c>
      <c r="AB399" s="73" t="s">
        <v>1244</v>
      </c>
      <c r="AC399" s="73" t="s">
        <v>2434</v>
      </c>
      <c r="AD399" s="73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</row>
    <row r="400">
      <c r="A400" s="2"/>
      <c r="B400" s="2"/>
      <c r="C400" s="2"/>
      <c r="D400" s="4" t="b">
        <v>1</v>
      </c>
      <c r="E400" s="2" t="s">
        <v>2435</v>
      </c>
      <c r="F400" s="4" t="b">
        <v>0</v>
      </c>
      <c r="G400" s="4" t="b">
        <v>0</v>
      </c>
      <c r="H400" s="4" t="b">
        <v>0</v>
      </c>
      <c r="I400" s="21" t="s">
        <v>2436</v>
      </c>
      <c r="J400" s="2" t="s">
        <v>2437</v>
      </c>
      <c r="K400" s="2" t="s">
        <v>1137</v>
      </c>
      <c r="L400" s="2" t="s">
        <v>1137</v>
      </c>
      <c r="M400" s="16" t="s">
        <v>2438</v>
      </c>
      <c r="N400" s="16" t="s">
        <v>2439</v>
      </c>
      <c r="O400" s="16" t="s">
        <v>2440</v>
      </c>
      <c r="P400" s="31"/>
      <c r="Q400" s="31">
        <v>20.0</v>
      </c>
      <c r="R400" s="16"/>
      <c r="S400" s="16"/>
      <c r="T400" s="31">
        <v>2014.0</v>
      </c>
      <c r="U400" s="16" t="s">
        <v>576</v>
      </c>
      <c r="V400" s="16" t="s">
        <v>2431</v>
      </c>
      <c r="W400" s="16"/>
      <c r="X400" s="90" t="s">
        <v>2441</v>
      </c>
      <c r="Y400" s="16" t="s">
        <v>2442</v>
      </c>
      <c r="Z400" s="16"/>
      <c r="AA400" s="32" t="s">
        <v>2441</v>
      </c>
      <c r="AB400" s="16" t="s">
        <v>2443</v>
      </c>
      <c r="AC400" s="16" t="s">
        <v>2444</v>
      </c>
      <c r="AD400" s="16"/>
    </row>
    <row r="401">
      <c r="A401" s="2"/>
      <c r="B401" s="2"/>
      <c r="C401" s="2"/>
      <c r="D401" s="4" t="b">
        <v>1</v>
      </c>
      <c r="E401" s="2" t="s">
        <v>2445</v>
      </c>
      <c r="F401" s="4" t="b">
        <v>0</v>
      </c>
      <c r="G401" s="4" t="b">
        <v>0</v>
      </c>
      <c r="H401" s="4" t="b">
        <v>0</v>
      </c>
      <c r="J401" s="2" t="s">
        <v>2446</v>
      </c>
      <c r="K401" s="2" t="s">
        <v>1137</v>
      </c>
      <c r="L401" s="2" t="s">
        <v>1137</v>
      </c>
      <c r="M401" s="16" t="s">
        <v>60</v>
      </c>
      <c r="N401" s="16" t="s">
        <v>76</v>
      </c>
      <c r="O401" s="16" t="s">
        <v>2447</v>
      </c>
      <c r="P401" s="31"/>
      <c r="Q401" s="31">
        <v>24.0</v>
      </c>
      <c r="R401" s="31">
        <v>240.0</v>
      </c>
      <c r="S401" s="16"/>
      <c r="T401" s="31">
        <v>2021.0</v>
      </c>
      <c r="U401" s="16" t="s">
        <v>331</v>
      </c>
      <c r="V401" s="16"/>
      <c r="W401" s="16"/>
      <c r="X401" s="90" t="s">
        <v>2448</v>
      </c>
      <c r="Y401" s="16" t="s">
        <v>2449</v>
      </c>
      <c r="Z401" s="16"/>
      <c r="AA401" s="32" t="s">
        <v>2448</v>
      </c>
      <c r="AB401" s="16" t="s">
        <v>634</v>
      </c>
      <c r="AC401" s="16" t="s">
        <v>2450</v>
      </c>
      <c r="AD401" s="16"/>
    </row>
    <row r="402">
      <c r="A402" s="18"/>
      <c r="B402" s="18"/>
      <c r="C402" s="18"/>
      <c r="D402" s="19" t="b">
        <v>1</v>
      </c>
      <c r="E402" s="18" t="s">
        <v>2451</v>
      </c>
      <c r="F402" s="19" t="b">
        <v>0</v>
      </c>
      <c r="G402" s="19" t="b">
        <v>0</v>
      </c>
      <c r="H402" s="19" t="b">
        <v>0</v>
      </c>
      <c r="I402" s="17"/>
      <c r="J402" s="18" t="s">
        <v>2452</v>
      </c>
      <c r="K402" s="18" t="s">
        <v>1137</v>
      </c>
      <c r="L402" s="18" t="s">
        <v>1137</v>
      </c>
      <c r="M402" s="52" t="s">
        <v>2453</v>
      </c>
      <c r="N402" s="52" t="s">
        <v>2454</v>
      </c>
      <c r="O402" s="52" t="s">
        <v>2455</v>
      </c>
      <c r="P402" s="54"/>
      <c r="Q402" s="54">
        <v>622.0</v>
      </c>
      <c r="R402" s="52"/>
      <c r="S402" s="52"/>
      <c r="T402" s="54">
        <v>2022.0</v>
      </c>
      <c r="U402" s="52" t="s">
        <v>331</v>
      </c>
      <c r="V402" s="52"/>
      <c r="W402" s="52"/>
      <c r="X402" s="81" t="s">
        <v>2456</v>
      </c>
      <c r="Y402" s="52" t="s">
        <v>2457</v>
      </c>
      <c r="Z402" s="52"/>
      <c r="AA402" s="53" t="s">
        <v>2456</v>
      </c>
      <c r="AB402" s="52" t="s">
        <v>2458</v>
      </c>
      <c r="AC402" s="52" t="s">
        <v>2459</v>
      </c>
      <c r="AD402" s="52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</row>
    <row r="403">
      <c r="A403" s="39"/>
      <c r="B403" s="39"/>
      <c r="C403" s="39"/>
      <c r="D403" s="55" t="b">
        <v>1</v>
      </c>
      <c r="E403" s="39" t="s">
        <v>2460</v>
      </c>
      <c r="F403" s="55" t="b">
        <v>0</v>
      </c>
      <c r="G403" s="55" t="b">
        <v>0</v>
      </c>
      <c r="H403" s="55" t="b">
        <v>0</v>
      </c>
      <c r="I403" s="39" t="s">
        <v>2461</v>
      </c>
      <c r="J403" s="39" t="s">
        <v>2462</v>
      </c>
      <c r="K403" s="39" t="s">
        <v>1137</v>
      </c>
      <c r="L403" s="39" t="s">
        <v>1137</v>
      </c>
      <c r="M403" s="56" t="s">
        <v>235</v>
      </c>
      <c r="N403" s="56" t="s">
        <v>2463</v>
      </c>
      <c r="O403" s="56"/>
      <c r="P403" s="58"/>
      <c r="Q403" s="58">
        <v>1.0</v>
      </c>
      <c r="R403" s="58">
        <v>8.0</v>
      </c>
      <c r="S403" s="58">
        <v>16.7</v>
      </c>
      <c r="T403" s="58">
        <v>2017.0</v>
      </c>
      <c r="U403" s="56" t="s">
        <v>331</v>
      </c>
      <c r="V403" s="56" t="s">
        <v>2431</v>
      </c>
      <c r="W403" s="56"/>
      <c r="X403" s="92" t="s">
        <v>2464</v>
      </c>
      <c r="Y403" s="56" t="s">
        <v>2465</v>
      </c>
      <c r="Z403" s="56"/>
      <c r="AA403" s="57" t="s">
        <v>2464</v>
      </c>
      <c r="AB403" s="56" t="s">
        <v>600</v>
      </c>
      <c r="AC403" s="56" t="s">
        <v>2466</v>
      </c>
      <c r="AD403" s="56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</row>
    <row r="404">
      <c r="A404" s="18"/>
      <c r="B404" s="18"/>
      <c r="C404" s="18"/>
      <c r="D404" s="19" t="b">
        <v>1</v>
      </c>
      <c r="E404" s="18" t="s">
        <v>2467</v>
      </c>
      <c r="F404" s="19" t="b">
        <v>0</v>
      </c>
      <c r="G404" s="19" t="b">
        <v>0</v>
      </c>
      <c r="H404" s="19" t="b">
        <v>0</v>
      </c>
      <c r="I404" s="18" t="s">
        <v>2468</v>
      </c>
      <c r="J404" s="18" t="s">
        <v>2469</v>
      </c>
      <c r="K404" s="18" t="s">
        <v>1137</v>
      </c>
      <c r="L404" s="18" t="s">
        <v>1137</v>
      </c>
      <c r="M404" s="52" t="s">
        <v>1138</v>
      </c>
      <c r="N404" s="52" t="s">
        <v>2470</v>
      </c>
      <c r="O404" s="52" t="s">
        <v>2471</v>
      </c>
      <c r="P404" s="70"/>
      <c r="Q404" s="70">
        <v>0.0</v>
      </c>
      <c r="R404" s="52"/>
      <c r="S404" s="52"/>
      <c r="T404" s="54">
        <v>2018.0</v>
      </c>
      <c r="U404" s="52" t="s">
        <v>331</v>
      </c>
      <c r="V404" s="52" t="s">
        <v>968</v>
      </c>
      <c r="W404" s="52"/>
      <c r="X404" s="81" t="s">
        <v>2472</v>
      </c>
      <c r="Y404" s="52" t="s">
        <v>2473</v>
      </c>
      <c r="Z404" s="52"/>
      <c r="AA404" s="53" t="s">
        <v>2472</v>
      </c>
      <c r="AB404" s="52" t="s">
        <v>346</v>
      </c>
      <c r="AC404" s="52" t="s">
        <v>2474</v>
      </c>
      <c r="AD404" s="52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</row>
    <row r="405">
      <c r="A405" s="76"/>
      <c r="B405" s="76"/>
      <c r="C405" s="76"/>
      <c r="D405" s="73" t="b">
        <v>0</v>
      </c>
      <c r="E405" s="76" t="s">
        <v>1969</v>
      </c>
      <c r="F405" s="75" t="b">
        <v>0</v>
      </c>
      <c r="G405" s="75" t="b">
        <v>0</v>
      </c>
      <c r="H405" s="75" t="b">
        <v>0</v>
      </c>
      <c r="I405" s="76" t="s">
        <v>2475</v>
      </c>
      <c r="J405" s="76" t="s">
        <v>2476</v>
      </c>
      <c r="K405" s="76" t="s">
        <v>1137</v>
      </c>
      <c r="L405" s="76" t="s">
        <v>1137</v>
      </c>
      <c r="M405" s="73" t="s">
        <v>2477</v>
      </c>
      <c r="N405" s="73" t="s">
        <v>76</v>
      </c>
      <c r="O405" s="73" t="s">
        <v>2478</v>
      </c>
      <c r="P405" s="77"/>
      <c r="Q405" s="77">
        <v>1063.0</v>
      </c>
      <c r="R405" s="73"/>
      <c r="S405" s="73"/>
      <c r="T405" s="77">
        <v>2023.0</v>
      </c>
      <c r="U405" s="73" t="s">
        <v>331</v>
      </c>
      <c r="V405" s="73" t="s">
        <v>968</v>
      </c>
      <c r="W405" s="73"/>
      <c r="X405" s="95" t="s">
        <v>2479</v>
      </c>
      <c r="Y405" s="73" t="s">
        <v>2480</v>
      </c>
      <c r="Z405" s="73"/>
      <c r="AA405" s="78" t="s">
        <v>2479</v>
      </c>
      <c r="AB405" s="73" t="s">
        <v>2481</v>
      </c>
      <c r="AC405" s="73" t="s">
        <v>2482</v>
      </c>
      <c r="AD405" s="73"/>
      <c r="AE405" s="74"/>
      <c r="AF405" s="74"/>
      <c r="AG405" s="76" t="s">
        <v>2483</v>
      </c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</row>
    <row r="406">
      <c r="A406" s="23"/>
      <c r="B406" s="23"/>
      <c r="C406" s="23"/>
      <c r="D406" s="24" t="b">
        <v>0</v>
      </c>
      <c r="E406" s="23" t="s">
        <v>2484</v>
      </c>
      <c r="F406" s="25" t="b">
        <v>0</v>
      </c>
      <c r="G406" s="25" t="b">
        <v>1</v>
      </c>
      <c r="H406" s="25" t="b">
        <v>0</v>
      </c>
      <c r="I406" s="23" t="s">
        <v>2253</v>
      </c>
      <c r="J406" s="23" t="s">
        <v>2485</v>
      </c>
      <c r="K406" s="23" t="s">
        <v>1137</v>
      </c>
      <c r="L406" s="23" t="s">
        <v>1137</v>
      </c>
      <c r="M406" s="24" t="s">
        <v>1908</v>
      </c>
      <c r="N406" s="24" t="s">
        <v>2486</v>
      </c>
      <c r="O406" s="24" t="s">
        <v>2487</v>
      </c>
      <c r="P406" s="29"/>
      <c r="Q406" s="29">
        <v>63.0</v>
      </c>
      <c r="R406" s="29">
        <v>126.0</v>
      </c>
      <c r="S406" s="24"/>
      <c r="T406" s="29">
        <v>2014.0</v>
      </c>
      <c r="U406" s="24" t="s">
        <v>576</v>
      </c>
      <c r="V406" s="24" t="s">
        <v>2431</v>
      </c>
      <c r="W406" s="24"/>
      <c r="X406" s="91" t="s">
        <v>2488</v>
      </c>
      <c r="Y406" s="24" t="s">
        <v>2489</v>
      </c>
      <c r="Z406" s="24"/>
      <c r="AA406" s="30" t="s">
        <v>2488</v>
      </c>
      <c r="AB406" s="24" t="s">
        <v>1164</v>
      </c>
      <c r="AC406" s="24" t="s">
        <v>2490</v>
      </c>
      <c r="AD406" s="24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</row>
    <row r="407">
      <c r="A407" s="18"/>
      <c r="B407" s="18"/>
      <c r="C407" s="18"/>
      <c r="D407" s="19" t="b">
        <v>1</v>
      </c>
      <c r="E407" s="18" t="s">
        <v>2491</v>
      </c>
      <c r="F407" s="19" t="b">
        <v>0</v>
      </c>
      <c r="G407" s="19" t="b">
        <v>0</v>
      </c>
      <c r="H407" s="19" t="b">
        <v>0</v>
      </c>
      <c r="I407" s="17"/>
      <c r="J407" s="18" t="s">
        <v>2492</v>
      </c>
      <c r="K407" s="18" t="s">
        <v>1137</v>
      </c>
      <c r="L407" s="18" t="s">
        <v>1137</v>
      </c>
      <c r="M407" s="52" t="s">
        <v>2493</v>
      </c>
      <c r="N407" s="52" t="s">
        <v>76</v>
      </c>
      <c r="O407" s="52" t="s">
        <v>2392</v>
      </c>
      <c r="P407" s="54"/>
      <c r="Q407" s="54">
        <v>50.0</v>
      </c>
      <c r="R407" s="54">
        <v>100.0</v>
      </c>
      <c r="S407" s="52"/>
      <c r="T407" s="54">
        <v>2023.0</v>
      </c>
      <c r="U407" s="52" t="s">
        <v>331</v>
      </c>
      <c r="V407" s="52" t="s">
        <v>1251</v>
      </c>
      <c r="W407" s="52"/>
      <c r="X407" s="81" t="s">
        <v>2494</v>
      </c>
      <c r="Y407" s="52" t="s">
        <v>2495</v>
      </c>
      <c r="Z407" s="52"/>
      <c r="AA407" s="53" t="s">
        <v>2494</v>
      </c>
      <c r="AB407" s="52" t="s">
        <v>346</v>
      </c>
      <c r="AC407" s="52" t="s">
        <v>2496</v>
      </c>
      <c r="AD407" s="52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</row>
    <row r="408">
      <c r="A408" s="18"/>
      <c r="B408" s="18"/>
      <c r="C408" s="18"/>
      <c r="D408" s="19" t="b">
        <v>1</v>
      </c>
      <c r="E408" s="18" t="s">
        <v>2491</v>
      </c>
      <c r="F408" s="19" t="b">
        <v>0</v>
      </c>
      <c r="G408" s="19" t="b">
        <v>0</v>
      </c>
      <c r="H408" s="19" t="b">
        <v>0</v>
      </c>
      <c r="I408" s="17"/>
      <c r="J408" s="18" t="s">
        <v>2497</v>
      </c>
      <c r="K408" s="18" t="s">
        <v>1137</v>
      </c>
      <c r="L408" s="18" t="s">
        <v>1137</v>
      </c>
      <c r="M408" s="52" t="s">
        <v>2493</v>
      </c>
      <c r="N408" s="52" t="s">
        <v>2498</v>
      </c>
      <c r="O408" s="52" t="s">
        <v>2499</v>
      </c>
      <c r="P408" s="54"/>
      <c r="Q408" s="54">
        <v>125.0</v>
      </c>
      <c r="R408" s="54">
        <v>250.0</v>
      </c>
      <c r="S408" s="52"/>
      <c r="T408" s="54">
        <v>2024.0</v>
      </c>
      <c r="U408" s="52" t="s">
        <v>331</v>
      </c>
      <c r="V408" s="52" t="s">
        <v>1251</v>
      </c>
      <c r="W408" s="52"/>
      <c r="X408" s="81" t="s">
        <v>2500</v>
      </c>
      <c r="Y408" s="52" t="s">
        <v>2501</v>
      </c>
      <c r="Z408" s="52"/>
      <c r="AA408" s="53" t="s">
        <v>2500</v>
      </c>
      <c r="AB408" s="52" t="s">
        <v>2502</v>
      </c>
      <c r="AC408" s="52" t="s">
        <v>2503</v>
      </c>
      <c r="AD408" s="52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</row>
    <row r="409">
      <c r="A409" s="2"/>
      <c r="B409" s="2"/>
      <c r="C409" s="2"/>
      <c r="D409" s="4" t="b">
        <v>1</v>
      </c>
      <c r="E409" s="2" t="s">
        <v>2504</v>
      </c>
      <c r="F409" s="4" t="b">
        <v>0</v>
      </c>
      <c r="G409" s="4" t="b">
        <v>0</v>
      </c>
      <c r="H409" s="4" t="b">
        <v>0</v>
      </c>
      <c r="J409" s="2" t="s">
        <v>2505</v>
      </c>
      <c r="K409" s="2" t="s">
        <v>1137</v>
      </c>
      <c r="L409" s="2" t="s">
        <v>1137</v>
      </c>
      <c r="M409" s="16" t="s">
        <v>2506</v>
      </c>
      <c r="N409" s="16" t="s">
        <v>76</v>
      </c>
      <c r="O409" s="16" t="s">
        <v>1648</v>
      </c>
      <c r="P409" s="31"/>
      <c r="Q409" s="31">
        <v>585.0</v>
      </c>
      <c r="R409" s="4">
        <v>2900000.0</v>
      </c>
      <c r="S409" s="16"/>
      <c r="T409" s="31">
        <v>2025.0</v>
      </c>
      <c r="U409" s="16" t="s">
        <v>343</v>
      </c>
      <c r="V409" s="16" t="s">
        <v>2507</v>
      </c>
      <c r="W409" s="16"/>
      <c r="X409" s="90" t="s">
        <v>2508</v>
      </c>
      <c r="Y409" s="16" t="s">
        <v>2509</v>
      </c>
      <c r="Z409" s="16"/>
      <c r="AA409" s="32" t="s">
        <v>2508</v>
      </c>
      <c r="AB409" s="16" t="s">
        <v>346</v>
      </c>
      <c r="AC409" s="16" t="s">
        <v>2510</v>
      </c>
      <c r="AD409" s="16"/>
    </row>
    <row r="410">
      <c r="A410" s="76"/>
      <c r="B410" s="76"/>
      <c r="C410" s="76"/>
      <c r="D410" s="73" t="b">
        <v>0</v>
      </c>
      <c r="E410" s="76" t="s">
        <v>1969</v>
      </c>
      <c r="F410" s="75" t="b">
        <v>0</v>
      </c>
      <c r="G410" s="75" t="b">
        <v>1</v>
      </c>
      <c r="H410" s="75" t="b">
        <v>0</v>
      </c>
      <c r="I410" s="76" t="s">
        <v>2253</v>
      </c>
      <c r="J410" s="76" t="s">
        <v>2511</v>
      </c>
      <c r="K410" s="76" t="s">
        <v>1137</v>
      </c>
      <c r="L410" s="76" t="s">
        <v>1137</v>
      </c>
      <c r="M410" s="73" t="s">
        <v>2512</v>
      </c>
      <c r="N410" s="73" t="s">
        <v>2513</v>
      </c>
      <c r="O410" s="73" t="s">
        <v>2514</v>
      </c>
      <c r="P410" s="77"/>
      <c r="Q410" s="77">
        <v>39.0</v>
      </c>
      <c r="R410" s="75">
        <v>52.0</v>
      </c>
      <c r="S410" s="73"/>
      <c r="T410" s="73"/>
      <c r="U410" s="73" t="s">
        <v>331</v>
      </c>
      <c r="V410" s="73" t="s">
        <v>332</v>
      </c>
      <c r="W410" s="73"/>
      <c r="X410" s="95" t="s">
        <v>2515</v>
      </c>
      <c r="Y410" s="73"/>
      <c r="Z410" s="73"/>
      <c r="AA410" s="78" t="s">
        <v>2515</v>
      </c>
      <c r="AB410" s="73" t="s">
        <v>1164</v>
      </c>
      <c r="AC410" s="73" t="s">
        <v>2515</v>
      </c>
      <c r="AD410" s="73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</row>
    <row r="411">
      <c r="A411" s="2"/>
      <c r="B411" s="2"/>
      <c r="C411" s="2"/>
      <c r="D411" s="4" t="b">
        <v>1</v>
      </c>
      <c r="E411" s="2" t="s">
        <v>2516</v>
      </c>
      <c r="F411" s="4" t="b">
        <v>0</v>
      </c>
      <c r="G411" s="4" t="b">
        <v>0</v>
      </c>
      <c r="H411" s="4" t="b">
        <v>0</v>
      </c>
      <c r="J411" s="2" t="s">
        <v>2517</v>
      </c>
      <c r="K411" s="2" t="s">
        <v>1137</v>
      </c>
      <c r="L411" s="2" t="s">
        <v>1137</v>
      </c>
      <c r="M411" s="16" t="s">
        <v>2518</v>
      </c>
      <c r="N411" s="16" t="s">
        <v>1908</v>
      </c>
      <c r="O411" s="16" t="s">
        <v>2519</v>
      </c>
      <c r="P411" s="31"/>
      <c r="Q411" s="31">
        <v>10.0</v>
      </c>
      <c r="R411" s="16"/>
      <c r="S411" s="16"/>
      <c r="T411" s="16"/>
      <c r="U411" s="16" t="s">
        <v>331</v>
      </c>
      <c r="V411" s="16" t="s">
        <v>2520</v>
      </c>
      <c r="W411" s="16"/>
      <c r="X411" s="90" t="s">
        <v>2521</v>
      </c>
      <c r="Y411" s="16"/>
      <c r="Z411" s="16"/>
      <c r="AA411" s="32" t="s">
        <v>2521</v>
      </c>
      <c r="AB411" s="16" t="s">
        <v>2522</v>
      </c>
      <c r="AC411" s="16" t="s">
        <v>2521</v>
      </c>
      <c r="AD411" s="16"/>
    </row>
    <row r="412">
      <c r="A412" s="2"/>
      <c r="B412" s="2"/>
      <c r="C412" s="2"/>
      <c r="D412" s="4" t="b">
        <v>1</v>
      </c>
      <c r="E412" s="2" t="s">
        <v>2523</v>
      </c>
      <c r="F412" s="4" t="b">
        <v>0</v>
      </c>
      <c r="G412" s="4" t="b">
        <v>0</v>
      </c>
      <c r="H412" s="4" t="b">
        <v>0</v>
      </c>
      <c r="J412" s="2" t="s">
        <v>2524</v>
      </c>
      <c r="K412" s="2" t="s">
        <v>1137</v>
      </c>
      <c r="L412" s="2" t="s">
        <v>1137</v>
      </c>
      <c r="M412" s="16" t="s">
        <v>2351</v>
      </c>
      <c r="N412" s="16" t="s">
        <v>76</v>
      </c>
      <c r="O412" s="16" t="s">
        <v>2525</v>
      </c>
      <c r="P412" s="31"/>
      <c r="Q412" s="31">
        <v>630.0</v>
      </c>
      <c r="R412" s="31">
        <v>828234.0</v>
      </c>
      <c r="S412" s="31">
        <v>357.42</v>
      </c>
      <c r="T412" s="31">
        <v>2022.0</v>
      </c>
      <c r="U412" s="16" t="s">
        <v>331</v>
      </c>
      <c r="V412" s="16" t="s">
        <v>332</v>
      </c>
      <c r="W412" s="16"/>
      <c r="X412" s="90" t="s">
        <v>2526</v>
      </c>
      <c r="Y412" s="16" t="s">
        <v>2527</v>
      </c>
      <c r="Z412" s="16"/>
      <c r="AA412" s="32" t="s">
        <v>2526</v>
      </c>
      <c r="AB412" s="16" t="s">
        <v>334</v>
      </c>
      <c r="AC412" s="16" t="s">
        <v>2528</v>
      </c>
      <c r="AD412" s="16"/>
    </row>
    <row r="413">
      <c r="A413" s="2"/>
      <c r="B413" s="2"/>
      <c r="C413" s="2"/>
      <c r="D413" s="4" t="b">
        <v>1</v>
      </c>
      <c r="E413" s="2" t="s">
        <v>2529</v>
      </c>
      <c r="F413" s="4" t="b">
        <v>0</v>
      </c>
      <c r="G413" s="4" t="b">
        <v>0</v>
      </c>
      <c r="H413" s="4" t="b">
        <v>0</v>
      </c>
      <c r="I413" s="5" t="s">
        <v>2530</v>
      </c>
      <c r="J413" s="2" t="s">
        <v>2531</v>
      </c>
      <c r="K413" s="2" t="s">
        <v>1137</v>
      </c>
      <c r="L413" s="2" t="s">
        <v>1137</v>
      </c>
      <c r="M413" s="16" t="s">
        <v>2532</v>
      </c>
      <c r="N413" s="16" t="s">
        <v>76</v>
      </c>
      <c r="O413" s="16" t="s">
        <v>1937</v>
      </c>
      <c r="P413" s="16"/>
      <c r="Q413" s="16"/>
      <c r="R413" s="16"/>
      <c r="S413" s="16"/>
      <c r="T413" s="31">
        <v>2021.0</v>
      </c>
      <c r="U413" s="16" t="s">
        <v>331</v>
      </c>
      <c r="V413" s="16" t="s">
        <v>968</v>
      </c>
      <c r="W413" s="16"/>
      <c r="X413" s="90" t="s">
        <v>2533</v>
      </c>
      <c r="Y413" s="16" t="s">
        <v>2534</v>
      </c>
      <c r="Z413" s="16"/>
      <c r="AA413" s="32" t="s">
        <v>2533</v>
      </c>
      <c r="AB413" s="16" t="s">
        <v>2535</v>
      </c>
      <c r="AC413" s="16" t="s">
        <v>2536</v>
      </c>
      <c r="AD413" s="16"/>
    </row>
    <row r="414">
      <c r="A414" s="76"/>
      <c r="B414" s="76"/>
      <c r="C414" s="76"/>
      <c r="D414" s="73" t="b">
        <v>0</v>
      </c>
      <c r="E414" s="76" t="s">
        <v>1969</v>
      </c>
      <c r="F414" s="75" t="b">
        <v>0</v>
      </c>
      <c r="G414" s="75" t="b">
        <v>1</v>
      </c>
      <c r="H414" s="75" t="b">
        <v>0</v>
      </c>
      <c r="I414" s="76" t="s">
        <v>2253</v>
      </c>
      <c r="J414" s="76" t="s">
        <v>2537</v>
      </c>
      <c r="K414" s="76" t="s">
        <v>1137</v>
      </c>
      <c r="L414" s="76" t="s">
        <v>1137</v>
      </c>
      <c r="M414" s="73" t="s">
        <v>2538</v>
      </c>
      <c r="N414" s="73" t="s">
        <v>1908</v>
      </c>
      <c r="O414" s="73" t="s">
        <v>2539</v>
      </c>
      <c r="P414" s="77"/>
      <c r="Q414" s="77">
        <v>25.0</v>
      </c>
      <c r="R414" s="77">
        <v>75.0</v>
      </c>
      <c r="S414" s="73"/>
      <c r="T414" s="73"/>
      <c r="U414" s="73" t="s">
        <v>331</v>
      </c>
      <c r="V414" s="73" t="s">
        <v>332</v>
      </c>
      <c r="W414" s="73"/>
      <c r="X414" s="95" t="s">
        <v>2540</v>
      </c>
      <c r="Y414" s="73"/>
      <c r="Z414" s="73"/>
      <c r="AA414" s="78" t="s">
        <v>2540</v>
      </c>
      <c r="AB414" s="73" t="s">
        <v>1164</v>
      </c>
      <c r="AC414" s="73" t="s">
        <v>2540</v>
      </c>
      <c r="AD414" s="73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</row>
    <row r="415">
      <c r="A415" s="2"/>
      <c r="B415" s="2"/>
      <c r="C415" s="2"/>
      <c r="D415" s="4" t="b">
        <v>1</v>
      </c>
      <c r="E415" s="2" t="s">
        <v>2541</v>
      </c>
      <c r="F415" s="4" t="b">
        <v>0</v>
      </c>
      <c r="G415" s="4" t="b">
        <v>0</v>
      </c>
      <c r="H415" s="4" t="b">
        <v>0</v>
      </c>
      <c r="J415" s="2" t="s">
        <v>2542</v>
      </c>
      <c r="K415" s="2" t="s">
        <v>1137</v>
      </c>
      <c r="L415" s="2" t="s">
        <v>1137</v>
      </c>
      <c r="M415" s="16" t="s">
        <v>2543</v>
      </c>
      <c r="N415" s="16" t="s">
        <v>2544</v>
      </c>
      <c r="O415" s="16" t="s">
        <v>2545</v>
      </c>
      <c r="P415" s="31"/>
      <c r="Q415" s="31">
        <v>114.0</v>
      </c>
      <c r="R415" s="31">
        <v>207.0</v>
      </c>
      <c r="S415" s="16"/>
      <c r="T415" s="16"/>
      <c r="U415" s="16" t="s">
        <v>331</v>
      </c>
      <c r="V415" s="16" t="s">
        <v>332</v>
      </c>
      <c r="W415" s="16"/>
      <c r="X415" s="90" t="s">
        <v>2546</v>
      </c>
      <c r="Y415" s="16"/>
      <c r="Z415" s="16"/>
      <c r="AA415" s="32" t="s">
        <v>2546</v>
      </c>
      <c r="AB415" s="16" t="s">
        <v>1164</v>
      </c>
      <c r="AC415" s="16" t="s">
        <v>2546</v>
      </c>
      <c r="AD415" s="16"/>
    </row>
    <row r="416">
      <c r="A416" s="2"/>
      <c r="B416" s="2"/>
      <c r="C416" s="2"/>
      <c r="D416" s="4" t="b">
        <v>1</v>
      </c>
      <c r="E416" s="2" t="s">
        <v>2541</v>
      </c>
      <c r="F416" s="4" t="b">
        <v>0</v>
      </c>
      <c r="G416" s="4" t="b">
        <v>0</v>
      </c>
      <c r="H416" s="4" t="b">
        <v>0</v>
      </c>
      <c r="J416" s="2" t="s">
        <v>2547</v>
      </c>
      <c r="K416" s="2" t="s">
        <v>1137</v>
      </c>
      <c r="L416" s="2" t="s">
        <v>1137</v>
      </c>
      <c r="M416" s="16" t="s">
        <v>2548</v>
      </c>
      <c r="N416" s="16" t="s">
        <v>2544</v>
      </c>
      <c r="O416" s="16" t="s">
        <v>2545</v>
      </c>
      <c r="P416" s="31"/>
      <c r="Q416" s="31">
        <v>200.0</v>
      </c>
      <c r="R416" s="16"/>
      <c r="S416" s="16"/>
      <c r="T416" s="16"/>
      <c r="U416" s="16" t="s">
        <v>331</v>
      </c>
      <c r="V416" s="16" t="s">
        <v>332</v>
      </c>
      <c r="W416" s="16"/>
      <c r="X416" s="90" t="s">
        <v>2549</v>
      </c>
      <c r="Y416" s="16"/>
      <c r="Z416" s="16"/>
      <c r="AA416" s="32" t="s">
        <v>2549</v>
      </c>
      <c r="AB416" s="16" t="s">
        <v>1164</v>
      </c>
      <c r="AC416" s="16" t="s">
        <v>2550</v>
      </c>
      <c r="AD416" s="16"/>
    </row>
    <row r="417">
      <c r="A417" s="2"/>
      <c r="B417" s="2"/>
      <c r="C417" s="2"/>
      <c r="D417" s="4" t="b">
        <v>1</v>
      </c>
      <c r="E417" s="2" t="s">
        <v>2541</v>
      </c>
      <c r="F417" s="4" t="b">
        <v>0</v>
      </c>
      <c r="G417" s="4" t="b">
        <v>0</v>
      </c>
      <c r="H417" s="4" t="b">
        <v>0</v>
      </c>
      <c r="J417" s="2" t="s">
        <v>2551</v>
      </c>
      <c r="K417" s="2" t="s">
        <v>1137</v>
      </c>
      <c r="L417" s="2" t="s">
        <v>1137</v>
      </c>
      <c r="M417" s="16" t="s">
        <v>2548</v>
      </c>
      <c r="N417" s="16" t="s">
        <v>2552</v>
      </c>
      <c r="O417" s="16" t="s">
        <v>2553</v>
      </c>
      <c r="P417" s="31"/>
      <c r="Q417" s="31">
        <v>112.0</v>
      </c>
      <c r="R417" s="16"/>
      <c r="S417" s="16"/>
      <c r="T417" s="16"/>
      <c r="U417" s="16" t="s">
        <v>331</v>
      </c>
      <c r="V417" s="16" t="s">
        <v>332</v>
      </c>
      <c r="W417" s="16"/>
      <c r="X417" s="90" t="s">
        <v>2554</v>
      </c>
      <c r="Y417" s="16"/>
      <c r="Z417" s="16"/>
      <c r="AA417" s="32" t="s">
        <v>2554</v>
      </c>
      <c r="AB417" s="16" t="s">
        <v>1164</v>
      </c>
      <c r="AC417" s="16" t="s">
        <v>2555</v>
      </c>
      <c r="AD417" s="16"/>
    </row>
    <row r="418">
      <c r="A418" s="76"/>
      <c r="B418" s="76"/>
      <c r="C418" s="76"/>
      <c r="D418" s="73" t="b">
        <v>0</v>
      </c>
      <c r="E418" s="76" t="s">
        <v>2556</v>
      </c>
      <c r="F418" s="75" t="b">
        <v>0</v>
      </c>
      <c r="G418" s="75" t="b">
        <v>0</v>
      </c>
      <c r="H418" s="75" t="b">
        <v>0</v>
      </c>
      <c r="I418" s="76" t="s">
        <v>2557</v>
      </c>
      <c r="J418" s="76" t="s">
        <v>2558</v>
      </c>
      <c r="K418" s="76" t="s">
        <v>1137</v>
      </c>
      <c r="L418" s="76" t="s">
        <v>1137</v>
      </c>
      <c r="M418" s="73" t="s">
        <v>2559</v>
      </c>
      <c r="N418" s="73" t="s">
        <v>2560</v>
      </c>
      <c r="O418" s="73" t="s">
        <v>2561</v>
      </c>
      <c r="P418" s="77"/>
      <c r="Q418" s="77">
        <v>1206.0</v>
      </c>
      <c r="R418" s="73"/>
      <c r="S418" s="73"/>
      <c r="T418" s="77">
        <v>2017.0</v>
      </c>
      <c r="U418" s="73" t="s">
        <v>690</v>
      </c>
      <c r="V418" s="73" t="s">
        <v>332</v>
      </c>
      <c r="W418" s="73"/>
      <c r="X418" s="95" t="s">
        <v>2562</v>
      </c>
      <c r="Y418" s="73" t="s">
        <v>2563</v>
      </c>
      <c r="Z418" s="73"/>
      <c r="AA418" s="78" t="s">
        <v>2562</v>
      </c>
      <c r="AB418" s="73" t="s">
        <v>2056</v>
      </c>
      <c r="AC418" s="73" t="s">
        <v>2564</v>
      </c>
      <c r="AD418" s="73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</row>
    <row r="419">
      <c r="A419" s="12"/>
      <c r="B419" s="12"/>
      <c r="C419" s="12"/>
      <c r="D419" s="13" t="b">
        <v>1</v>
      </c>
      <c r="E419" s="12" t="s">
        <v>2565</v>
      </c>
      <c r="F419" s="13" t="b">
        <v>0</v>
      </c>
      <c r="G419" s="13" t="b">
        <v>0</v>
      </c>
      <c r="H419" s="13" t="b">
        <v>0</v>
      </c>
      <c r="I419" s="11"/>
      <c r="J419" s="12" t="s">
        <v>2566</v>
      </c>
      <c r="K419" s="12" t="s">
        <v>1137</v>
      </c>
      <c r="L419" s="12" t="s">
        <v>1137</v>
      </c>
      <c r="M419" s="35" t="s">
        <v>2538</v>
      </c>
      <c r="N419" s="35" t="s">
        <v>1908</v>
      </c>
      <c r="O419" s="35" t="s">
        <v>215</v>
      </c>
      <c r="P419" s="36"/>
      <c r="Q419" s="36">
        <v>120.0</v>
      </c>
      <c r="R419" s="13">
        <v>960.0</v>
      </c>
      <c r="S419" s="35"/>
      <c r="T419" s="35"/>
      <c r="U419" s="35" t="s">
        <v>331</v>
      </c>
      <c r="V419" s="35" t="s">
        <v>332</v>
      </c>
      <c r="W419" s="35"/>
      <c r="X419" s="93" t="s">
        <v>2567</v>
      </c>
      <c r="Y419" s="35"/>
      <c r="Z419" s="35"/>
      <c r="AA419" s="37" t="s">
        <v>2567</v>
      </c>
      <c r="AB419" s="35" t="s">
        <v>1164</v>
      </c>
      <c r="AC419" s="35" t="s">
        <v>2568</v>
      </c>
      <c r="AD419" s="35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</row>
    <row r="420">
      <c r="A420" s="12"/>
      <c r="B420" s="12"/>
      <c r="C420" s="12"/>
      <c r="D420" s="13" t="b">
        <v>1</v>
      </c>
      <c r="E420" s="12" t="s">
        <v>2569</v>
      </c>
      <c r="F420" s="13" t="b">
        <v>0</v>
      </c>
      <c r="G420" s="13" t="b">
        <v>0</v>
      </c>
      <c r="H420" s="13" t="b">
        <v>0</v>
      </c>
      <c r="I420" s="11"/>
      <c r="J420" s="12" t="s">
        <v>2570</v>
      </c>
      <c r="K420" s="12" t="s">
        <v>1137</v>
      </c>
      <c r="L420" s="12" t="s">
        <v>1137</v>
      </c>
      <c r="M420" s="35" t="s">
        <v>2538</v>
      </c>
      <c r="N420" s="35" t="s">
        <v>1908</v>
      </c>
      <c r="O420" s="35" t="s">
        <v>215</v>
      </c>
      <c r="P420" s="36"/>
      <c r="Q420" s="36">
        <v>100.0</v>
      </c>
      <c r="R420" s="13">
        <v>1000.0</v>
      </c>
      <c r="S420" s="35"/>
      <c r="T420" s="35"/>
      <c r="U420" s="35" t="s">
        <v>331</v>
      </c>
      <c r="V420" s="35" t="s">
        <v>332</v>
      </c>
      <c r="W420" s="35"/>
      <c r="X420" s="93" t="s">
        <v>2571</v>
      </c>
      <c r="Y420" s="35"/>
      <c r="Z420" s="35"/>
      <c r="AA420" s="37" t="s">
        <v>2571</v>
      </c>
      <c r="AB420" s="35" t="s">
        <v>1164</v>
      </c>
      <c r="AC420" s="35" t="s">
        <v>2572</v>
      </c>
      <c r="AD420" s="35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</row>
    <row r="421">
      <c r="A421" s="12"/>
      <c r="B421" s="12"/>
      <c r="C421" s="12"/>
      <c r="D421" s="13" t="b">
        <v>1</v>
      </c>
      <c r="E421" s="12" t="s">
        <v>2573</v>
      </c>
      <c r="F421" s="13" t="b">
        <v>0</v>
      </c>
      <c r="G421" s="13" t="b">
        <v>0</v>
      </c>
      <c r="H421" s="13" t="b">
        <v>0</v>
      </c>
      <c r="I421" s="11"/>
      <c r="J421" s="12" t="s">
        <v>2574</v>
      </c>
      <c r="K421" s="12" t="s">
        <v>1137</v>
      </c>
      <c r="L421" s="12" t="s">
        <v>1137</v>
      </c>
      <c r="M421" s="35" t="s">
        <v>2538</v>
      </c>
      <c r="N421" s="35" t="s">
        <v>1908</v>
      </c>
      <c r="O421" s="35" t="s">
        <v>215</v>
      </c>
      <c r="P421" s="36"/>
      <c r="Q421" s="36">
        <v>12.0</v>
      </c>
      <c r="R421" s="13">
        <v>84.0</v>
      </c>
      <c r="S421" s="35"/>
      <c r="T421" s="35"/>
      <c r="U421" s="35" t="s">
        <v>331</v>
      </c>
      <c r="V421" s="35" t="s">
        <v>332</v>
      </c>
      <c r="W421" s="35"/>
      <c r="X421" s="93" t="s">
        <v>2575</v>
      </c>
      <c r="Y421" s="35" t="s">
        <v>2576</v>
      </c>
      <c r="Z421" s="35"/>
      <c r="AA421" s="37" t="s">
        <v>2575</v>
      </c>
      <c r="AB421" s="35" t="s">
        <v>1164</v>
      </c>
      <c r="AC421" s="35" t="s">
        <v>2577</v>
      </c>
      <c r="AD421" s="35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</row>
    <row r="422">
      <c r="A422" s="2"/>
      <c r="B422" s="4" t="b">
        <v>1</v>
      </c>
      <c r="C422" s="2" t="s">
        <v>1294</v>
      </c>
      <c r="D422" s="4" t="b">
        <v>1</v>
      </c>
      <c r="E422" s="2" t="s">
        <v>2578</v>
      </c>
      <c r="F422" s="4" t="b">
        <v>0</v>
      </c>
      <c r="G422" s="4" t="b">
        <v>0</v>
      </c>
      <c r="H422" s="4" t="b">
        <v>0</v>
      </c>
      <c r="J422" s="2" t="s">
        <v>2579</v>
      </c>
      <c r="K422" s="2" t="s">
        <v>1137</v>
      </c>
      <c r="L422" s="2" t="s">
        <v>2580</v>
      </c>
      <c r="M422" s="16" t="s">
        <v>1296</v>
      </c>
      <c r="N422" s="16" t="s">
        <v>1297</v>
      </c>
      <c r="O422" s="16" t="s">
        <v>1298</v>
      </c>
      <c r="P422" s="31"/>
      <c r="Q422" s="31">
        <v>900.0</v>
      </c>
      <c r="R422" s="31">
        <v>1800.0</v>
      </c>
      <c r="S422" s="16"/>
      <c r="T422" s="31">
        <v>2022.0</v>
      </c>
      <c r="U422" s="16" t="s">
        <v>331</v>
      </c>
      <c r="V422" s="16" t="s">
        <v>1299</v>
      </c>
      <c r="W422" s="16"/>
      <c r="X422" s="15" t="s">
        <v>2581</v>
      </c>
      <c r="Y422" s="16" t="s">
        <v>2582</v>
      </c>
      <c r="Z422" s="16"/>
      <c r="AA422" s="32" t="s">
        <v>2581</v>
      </c>
      <c r="AB422" s="16" t="s">
        <v>1198</v>
      </c>
      <c r="AC422" s="16" t="s">
        <v>1303</v>
      </c>
      <c r="AD422" s="16"/>
    </row>
    <row r="423">
      <c r="A423" s="76"/>
      <c r="B423" s="76"/>
      <c r="C423" s="76"/>
      <c r="D423" s="73" t="b">
        <v>0</v>
      </c>
      <c r="E423" s="76" t="s">
        <v>1969</v>
      </c>
      <c r="F423" s="75" t="b">
        <v>0</v>
      </c>
      <c r="G423" s="75" t="b">
        <v>0</v>
      </c>
      <c r="H423" s="75" t="b">
        <v>0</v>
      </c>
      <c r="I423" s="76" t="s">
        <v>2583</v>
      </c>
      <c r="J423" s="76" t="s">
        <v>2584</v>
      </c>
      <c r="K423" s="76" t="s">
        <v>1137</v>
      </c>
      <c r="L423" s="76" t="s">
        <v>2580</v>
      </c>
      <c r="M423" s="73" t="s">
        <v>33</v>
      </c>
      <c r="N423" s="73" t="s">
        <v>2585</v>
      </c>
      <c r="O423" s="73" t="s">
        <v>2586</v>
      </c>
      <c r="P423" s="73"/>
      <c r="Q423" s="73"/>
      <c r="R423" s="77">
        <v>600.0</v>
      </c>
      <c r="S423" s="77">
        <v>545.1</v>
      </c>
      <c r="T423" s="77">
        <v>2023.0</v>
      </c>
      <c r="U423" s="73" t="s">
        <v>343</v>
      </c>
      <c r="V423" s="73"/>
      <c r="W423" s="73"/>
      <c r="X423" s="98" t="s">
        <v>2587</v>
      </c>
      <c r="Y423" s="73"/>
      <c r="Z423" s="73"/>
      <c r="AA423" s="78" t="s">
        <v>2587</v>
      </c>
      <c r="AB423" s="73" t="s">
        <v>72</v>
      </c>
      <c r="AC423" s="73" t="s">
        <v>2588</v>
      </c>
      <c r="AD423" s="73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</row>
    <row r="424">
      <c r="A424" s="76"/>
      <c r="B424" s="76"/>
      <c r="C424" s="76"/>
      <c r="D424" s="73" t="b">
        <v>0</v>
      </c>
      <c r="E424" s="76" t="s">
        <v>1969</v>
      </c>
      <c r="F424" s="75" t="b">
        <v>0</v>
      </c>
      <c r="G424" s="75" t="b">
        <v>0</v>
      </c>
      <c r="H424" s="75" t="b">
        <v>0</v>
      </c>
      <c r="I424" s="76" t="s">
        <v>2583</v>
      </c>
      <c r="J424" s="76" t="s">
        <v>2589</v>
      </c>
      <c r="K424" s="76" t="s">
        <v>1137</v>
      </c>
      <c r="L424" s="76" t="s">
        <v>2580</v>
      </c>
      <c r="M424" s="73" t="s">
        <v>2590</v>
      </c>
      <c r="N424" s="73" t="s">
        <v>2591</v>
      </c>
      <c r="O424" s="73" t="s">
        <v>2592</v>
      </c>
      <c r="P424" s="73"/>
      <c r="Q424" s="73"/>
      <c r="R424" s="77">
        <v>5803.0</v>
      </c>
      <c r="S424" s="73"/>
      <c r="T424" s="77">
        <v>2022.0</v>
      </c>
      <c r="U424" s="73" t="s">
        <v>331</v>
      </c>
      <c r="V424" s="73" t="s">
        <v>644</v>
      </c>
      <c r="W424" s="73"/>
      <c r="X424" s="98" t="s">
        <v>2593</v>
      </c>
      <c r="Y424" s="73" t="s">
        <v>2594</v>
      </c>
      <c r="Z424" s="73"/>
      <c r="AA424" s="78" t="s">
        <v>2593</v>
      </c>
      <c r="AB424" s="73" t="s">
        <v>372</v>
      </c>
      <c r="AC424" s="73" t="s">
        <v>2595</v>
      </c>
      <c r="AD424" s="73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</row>
    <row r="425">
      <c r="A425" s="2"/>
      <c r="B425" s="2"/>
      <c r="C425" s="2"/>
      <c r="D425" s="4" t="b">
        <v>1</v>
      </c>
      <c r="E425" s="2" t="s">
        <v>2596</v>
      </c>
      <c r="F425" s="4" t="b">
        <v>0</v>
      </c>
      <c r="G425" s="4" t="b">
        <v>0</v>
      </c>
      <c r="H425" s="4" t="b">
        <v>0</v>
      </c>
      <c r="J425" s="2" t="s">
        <v>2597</v>
      </c>
      <c r="K425" s="2" t="s">
        <v>1137</v>
      </c>
      <c r="L425" s="2" t="s">
        <v>2580</v>
      </c>
      <c r="M425" s="16" t="s">
        <v>2598</v>
      </c>
      <c r="N425" s="16" t="s">
        <v>2599</v>
      </c>
      <c r="O425" s="16" t="s">
        <v>2600</v>
      </c>
      <c r="P425" s="16"/>
      <c r="Q425" s="16"/>
      <c r="R425" s="31">
        <v>1005.0</v>
      </c>
      <c r="S425" s="16"/>
      <c r="T425" s="31">
        <v>2023.0</v>
      </c>
      <c r="U425" s="16" t="s">
        <v>343</v>
      </c>
      <c r="V425" s="16"/>
      <c r="W425" s="16"/>
      <c r="X425" s="15" t="s">
        <v>2601</v>
      </c>
      <c r="Y425" s="16" t="s">
        <v>2602</v>
      </c>
      <c r="Z425" s="16"/>
      <c r="AA425" s="32" t="s">
        <v>2601</v>
      </c>
      <c r="AB425" s="16" t="s">
        <v>2603</v>
      </c>
      <c r="AC425" s="16" t="s">
        <v>2604</v>
      </c>
      <c r="AD425" s="16"/>
    </row>
    <row r="426">
      <c r="A426" s="23"/>
      <c r="B426" s="23"/>
      <c r="C426" s="23"/>
      <c r="D426" s="24" t="b">
        <v>0</v>
      </c>
      <c r="E426" s="23" t="s">
        <v>1969</v>
      </c>
      <c r="F426" s="25" t="b">
        <v>0</v>
      </c>
      <c r="G426" s="25" t="b">
        <v>1</v>
      </c>
      <c r="H426" s="25" t="b">
        <v>0</v>
      </c>
      <c r="I426" s="22"/>
      <c r="J426" s="23" t="s">
        <v>2605</v>
      </c>
      <c r="K426" s="23" t="s">
        <v>1137</v>
      </c>
      <c r="L426" s="23" t="s">
        <v>2580</v>
      </c>
      <c r="M426" s="24" t="s">
        <v>60</v>
      </c>
      <c r="N426" s="24" t="s">
        <v>2606</v>
      </c>
      <c r="O426" s="24" t="s">
        <v>1647</v>
      </c>
      <c r="P426" s="29"/>
      <c r="Q426" s="29">
        <v>300.0</v>
      </c>
      <c r="R426" s="24"/>
      <c r="S426" s="24"/>
      <c r="T426" s="24"/>
      <c r="U426" s="24" t="s">
        <v>331</v>
      </c>
      <c r="V426" s="24"/>
      <c r="W426" s="24"/>
      <c r="X426" s="28" t="s">
        <v>2607</v>
      </c>
      <c r="Y426" s="24"/>
      <c r="Z426" s="24"/>
      <c r="AA426" s="30" t="s">
        <v>2607</v>
      </c>
      <c r="AB426" s="24" t="s">
        <v>334</v>
      </c>
      <c r="AC426" s="24" t="s">
        <v>2607</v>
      </c>
      <c r="AD426" s="24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</row>
    <row r="427">
      <c r="A427" s="18"/>
      <c r="B427" s="18"/>
      <c r="C427" s="18"/>
      <c r="D427" s="19" t="b">
        <v>1</v>
      </c>
      <c r="E427" s="18" t="s">
        <v>2608</v>
      </c>
      <c r="F427" s="19" t="b">
        <v>0</v>
      </c>
      <c r="G427" s="19" t="b">
        <v>0</v>
      </c>
      <c r="H427" s="19" t="b">
        <v>0</v>
      </c>
      <c r="I427" s="17"/>
      <c r="J427" s="18" t="s">
        <v>2609</v>
      </c>
      <c r="K427" s="18" t="s">
        <v>1137</v>
      </c>
      <c r="L427" s="18" t="s">
        <v>2580</v>
      </c>
      <c r="M427" s="52" t="s">
        <v>2610</v>
      </c>
      <c r="N427" s="52" t="s">
        <v>76</v>
      </c>
      <c r="O427" s="52" t="s">
        <v>2611</v>
      </c>
      <c r="P427" s="54"/>
      <c r="Q427" s="54">
        <v>8.0</v>
      </c>
      <c r="R427" s="52"/>
      <c r="S427" s="52"/>
      <c r="T427" s="54">
        <v>2018.0</v>
      </c>
      <c r="U427" s="52" t="s">
        <v>331</v>
      </c>
      <c r="V427" s="52" t="s">
        <v>2612</v>
      </c>
      <c r="W427" s="52"/>
      <c r="X427" s="20" t="s">
        <v>2613</v>
      </c>
      <c r="Y427" s="52" t="s">
        <v>2614</v>
      </c>
      <c r="Z427" s="52"/>
      <c r="AA427" s="53" t="s">
        <v>2613</v>
      </c>
      <c r="AB427" s="52" t="s">
        <v>72</v>
      </c>
      <c r="AC427" s="52" t="s">
        <v>2613</v>
      </c>
      <c r="AD427" s="52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</row>
    <row r="428">
      <c r="A428" s="2"/>
      <c r="B428" s="2"/>
      <c r="C428" s="2"/>
      <c r="D428" s="4" t="b">
        <v>1</v>
      </c>
      <c r="E428" s="2" t="s">
        <v>2615</v>
      </c>
      <c r="F428" s="4" t="b">
        <v>0</v>
      </c>
      <c r="G428" s="4" t="b">
        <v>0</v>
      </c>
      <c r="H428" s="4" t="b">
        <v>0</v>
      </c>
      <c r="J428" s="2" t="s">
        <v>2616</v>
      </c>
      <c r="K428" s="2" t="s">
        <v>1137</v>
      </c>
      <c r="L428" s="2" t="s">
        <v>2580</v>
      </c>
      <c r="M428" s="16" t="s">
        <v>2598</v>
      </c>
      <c r="N428" s="16" t="s">
        <v>76</v>
      </c>
      <c r="O428" s="16" t="s">
        <v>2617</v>
      </c>
      <c r="P428" s="31"/>
      <c r="Q428" s="31">
        <v>116.0</v>
      </c>
      <c r="R428" s="31">
        <v>116.0</v>
      </c>
      <c r="S428" s="31">
        <v>0.31</v>
      </c>
      <c r="T428" s="31">
        <v>2020.0</v>
      </c>
      <c r="U428" s="16" t="s">
        <v>343</v>
      </c>
      <c r="V428" s="16" t="s">
        <v>2618</v>
      </c>
      <c r="W428" s="16"/>
      <c r="X428" s="5" t="s">
        <v>2619</v>
      </c>
      <c r="Y428" s="16" t="s">
        <v>2620</v>
      </c>
      <c r="Z428" s="16"/>
      <c r="AA428" s="32" t="s">
        <v>2619</v>
      </c>
      <c r="AB428" s="16" t="s">
        <v>422</v>
      </c>
      <c r="AC428" s="16" t="s">
        <v>2621</v>
      </c>
      <c r="AD428" s="16"/>
    </row>
    <row r="429">
      <c r="A429" s="2"/>
      <c r="B429" s="2"/>
      <c r="C429" s="2"/>
      <c r="D429" s="4" t="b">
        <v>1</v>
      </c>
      <c r="E429" s="2" t="s">
        <v>2622</v>
      </c>
      <c r="F429" s="4" t="b">
        <v>0</v>
      </c>
      <c r="G429" s="4" t="b">
        <v>0</v>
      </c>
      <c r="H429" s="4" t="b">
        <v>0</v>
      </c>
      <c r="J429" s="2" t="s">
        <v>2623</v>
      </c>
      <c r="K429" s="2" t="s">
        <v>1137</v>
      </c>
      <c r="L429" s="2" t="s">
        <v>2580</v>
      </c>
      <c r="M429" s="16" t="s">
        <v>2598</v>
      </c>
      <c r="N429" s="16" t="s">
        <v>2624</v>
      </c>
      <c r="O429" s="16"/>
      <c r="P429" s="16"/>
      <c r="Q429" s="16"/>
      <c r="R429" s="31">
        <v>598.0</v>
      </c>
      <c r="S429" s="31">
        <v>0.48</v>
      </c>
      <c r="T429" s="31">
        <v>2021.0</v>
      </c>
      <c r="U429" s="16" t="s">
        <v>343</v>
      </c>
      <c r="V429" s="16" t="s">
        <v>2625</v>
      </c>
      <c r="W429" s="16"/>
      <c r="X429" s="15" t="s">
        <v>2626</v>
      </c>
      <c r="Y429" s="16" t="s">
        <v>2627</v>
      </c>
      <c r="Z429" s="16"/>
      <c r="AA429" s="32" t="s">
        <v>2626</v>
      </c>
      <c r="AB429" s="16" t="s">
        <v>72</v>
      </c>
      <c r="AC429" s="16" t="s">
        <v>2628</v>
      </c>
      <c r="AD429" s="16"/>
    </row>
    <row r="430">
      <c r="A430" s="2"/>
      <c r="B430" s="2"/>
      <c r="C430" s="2"/>
      <c r="D430" s="4" t="b">
        <v>1</v>
      </c>
      <c r="E430" s="2" t="s">
        <v>2629</v>
      </c>
      <c r="F430" s="4" t="b">
        <v>0</v>
      </c>
      <c r="G430" s="4" t="b">
        <v>0</v>
      </c>
      <c r="H430" s="4" t="b">
        <v>0</v>
      </c>
      <c r="J430" s="2" t="s">
        <v>2630</v>
      </c>
      <c r="K430" s="2" t="s">
        <v>1137</v>
      </c>
      <c r="L430" s="2" t="s">
        <v>2580</v>
      </c>
      <c r="M430" s="16" t="s">
        <v>60</v>
      </c>
      <c r="N430" s="16" t="s">
        <v>76</v>
      </c>
      <c r="O430" s="16" t="s">
        <v>2631</v>
      </c>
      <c r="P430" s="31"/>
      <c r="Q430" s="31">
        <v>443.0</v>
      </c>
      <c r="R430" s="16"/>
      <c r="S430" s="16"/>
      <c r="T430" s="31">
        <v>2024.0</v>
      </c>
      <c r="U430" s="16" t="s">
        <v>331</v>
      </c>
      <c r="V430" s="16"/>
      <c r="W430" s="16"/>
      <c r="X430" s="15" t="s">
        <v>2632</v>
      </c>
      <c r="Y430" s="16" t="s">
        <v>2633</v>
      </c>
      <c r="Z430" s="16"/>
      <c r="AA430" s="32" t="s">
        <v>2632</v>
      </c>
      <c r="AB430" s="16" t="s">
        <v>1307</v>
      </c>
      <c r="AC430" s="16" t="s">
        <v>1307</v>
      </c>
      <c r="AD430" s="16"/>
    </row>
    <row r="431">
      <c r="A431" s="18"/>
      <c r="B431" s="18"/>
      <c r="C431" s="18"/>
      <c r="D431" s="19" t="b">
        <v>1</v>
      </c>
      <c r="E431" s="18" t="s">
        <v>2634</v>
      </c>
      <c r="F431" s="19" t="b">
        <v>0</v>
      </c>
      <c r="G431" s="19" t="b">
        <v>0</v>
      </c>
      <c r="H431" s="19" t="b">
        <v>0</v>
      </c>
      <c r="I431" s="17"/>
      <c r="J431" s="18" t="s">
        <v>2635</v>
      </c>
      <c r="K431" s="18" t="s">
        <v>1137</v>
      </c>
      <c r="L431" s="18" t="s">
        <v>2580</v>
      </c>
      <c r="M431" s="52" t="s">
        <v>2355</v>
      </c>
      <c r="N431" s="52" t="s">
        <v>76</v>
      </c>
      <c r="O431" s="52" t="s">
        <v>2636</v>
      </c>
      <c r="P431" s="52"/>
      <c r="Q431" s="52"/>
      <c r="R431" s="52"/>
      <c r="S431" s="52"/>
      <c r="T431" s="54">
        <v>2022.0</v>
      </c>
      <c r="U431" s="52" t="s">
        <v>2637</v>
      </c>
      <c r="V431" s="52"/>
      <c r="W431" s="52"/>
      <c r="X431" s="20" t="s">
        <v>2638</v>
      </c>
      <c r="Y431" s="52" t="s">
        <v>2639</v>
      </c>
      <c r="Z431" s="52"/>
      <c r="AA431" s="53" t="s">
        <v>2638</v>
      </c>
      <c r="AB431" s="52" t="s">
        <v>2640</v>
      </c>
      <c r="AC431" s="52" t="s">
        <v>2641</v>
      </c>
      <c r="AD431" s="52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</row>
    <row r="432">
      <c r="A432" s="23"/>
      <c r="B432" s="23"/>
      <c r="C432" s="23"/>
      <c r="D432" s="24" t="b">
        <v>0</v>
      </c>
      <c r="E432" s="23" t="s">
        <v>2642</v>
      </c>
      <c r="F432" s="25" t="b">
        <v>0</v>
      </c>
      <c r="G432" s="25" t="b">
        <v>1</v>
      </c>
      <c r="H432" s="25" t="b">
        <v>0</v>
      </c>
      <c r="I432" s="22"/>
      <c r="J432" s="23" t="s">
        <v>2643</v>
      </c>
      <c r="K432" s="23" t="s">
        <v>1137</v>
      </c>
      <c r="L432" s="23" t="s">
        <v>2580</v>
      </c>
      <c r="M432" s="24" t="s">
        <v>2598</v>
      </c>
      <c r="N432" s="24" t="s">
        <v>2644</v>
      </c>
      <c r="O432" s="24" t="s">
        <v>2645</v>
      </c>
      <c r="P432" s="29"/>
      <c r="Q432" s="29">
        <v>2380.0</v>
      </c>
      <c r="R432" s="29">
        <v>6500.0</v>
      </c>
      <c r="S432" s="24"/>
      <c r="T432" s="29">
        <v>2023.0</v>
      </c>
      <c r="U432" s="24" t="s">
        <v>343</v>
      </c>
      <c r="V432" s="24"/>
      <c r="W432" s="24"/>
      <c r="X432" s="28" t="s">
        <v>2646</v>
      </c>
      <c r="Y432" s="24" t="s">
        <v>2647</v>
      </c>
      <c r="Z432" s="24"/>
      <c r="AA432" s="30" t="s">
        <v>2646</v>
      </c>
      <c r="AB432" s="24" t="s">
        <v>2648</v>
      </c>
      <c r="AC432" s="24" t="s">
        <v>2649</v>
      </c>
      <c r="AD432" s="24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</row>
    <row r="433">
      <c r="A433" s="23"/>
      <c r="B433" s="23"/>
      <c r="C433" s="23"/>
      <c r="D433" s="24" t="b">
        <v>0</v>
      </c>
      <c r="E433" s="23" t="s">
        <v>2642</v>
      </c>
      <c r="F433" s="25" t="b">
        <v>0</v>
      </c>
      <c r="G433" s="25" t="b">
        <v>1</v>
      </c>
      <c r="H433" s="25" t="b">
        <v>0</v>
      </c>
      <c r="I433" s="22"/>
      <c r="J433" s="23" t="s">
        <v>2650</v>
      </c>
      <c r="K433" s="23" t="s">
        <v>1137</v>
      </c>
      <c r="L433" s="23" t="s">
        <v>2580</v>
      </c>
      <c r="M433" s="24" t="s">
        <v>2590</v>
      </c>
      <c r="N433" s="24" t="s">
        <v>2644</v>
      </c>
      <c r="O433" s="24" t="s">
        <v>2651</v>
      </c>
      <c r="P433" s="29"/>
      <c r="Q433" s="29">
        <v>580.0</v>
      </c>
      <c r="R433" s="29">
        <v>88500.0</v>
      </c>
      <c r="S433" s="24"/>
      <c r="T433" s="29">
        <v>2023.0</v>
      </c>
      <c r="U433" s="24" t="s">
        <v>331</v>
      </c>
      <c r="V433" s="24"/>
      <c r="W433" s="24"/>
      <c r="X433" s="28" t="s">
        <v>2652</v>
      </c>
      <c r="Y433" s="24" t="s">
        <v>2647</v>
      </c>
      <c r="Z433" s="24"/>
      <c r="AA433" s="30" t="s">
        <v>2652</v>
      </c>
      <c r="AB433" s="24" t="s">
        <v>2648</v>
      </c>
      <c r="AC433" s="24" t="s">
        <v>2649</v>
      </c>
      <c r="AD433" s="24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</row>
    <row r="434">
      <c r="A434" s="2"/>
      <c r="B434" s="2"/>
      <c r="C434" s="2"/>
      <c r="D434" s="4" t="b">
        <v>1</v>
      </c>
      <c r="E434" s="2" t="s">
        <v>2653</v>
      </c>
      <c r="F434" s="4" t="b">
        <v>0</v>
      </c>
      <c r="G434" s="4" t="b">
        <v>0</v>
      </c>
      <c r="H434" s="4" t="b">
        <v>0</v>
      </c>
      <c r="J434" s="2" t="s">
        <v>2654</v>
      </c>
      <c r="K434" s="2" t="s">
        <v>1137</v>
      </c>
      <c r="L434" s="2" t="s">
        <v>2580</v>
      </c>
      <c r="M434" s="16" t="s">
        <v>2655</v>
      </c>
      <c r="N434" s="16" t="s">
        <v>34</v>
      </c>
      <c r="O434" s="16" t="s">
        <v>215</v>
      </c>
      <c r="P434" s="31"/>
      <c r="Q434" s="31">
        <v>6.0</v>
      </c>
      <c r="R434" s="31">
        <v>2780.0</v>
      </c>
      <c r="S434" s="31">
        <v>1.15</v>
      </c>
      <c r="T434" s="31">
        <v>2016.0</v>
      </c>
      <c r="U434" s="16" t="s">
        <v>331</v>
      </c>
      <c r="V434" s="16" t="s">
        <v>2656</v>
      </c>
      <c r="W434" s="16"/>
      <c r="X434" s="15" t="s">
        <v>2657</v>
      </c>
      <c r="Y434" s="16" t="s">
        <v>2658</v>
      </c>
      <c r="Z434" s="16"/>
      <c r="AA434" s="32" t="s">
        <v>2657</v>
      </c>
      <c r="AB434" s="16" t="s">
        <v>334</v>
      </c>
      <c r="AC434" s="16" t="s">
        <v>2659</v>
      </c>
      <c r="AD434" s="16"/>
    </row>
    <row r="435">
      <c r="A435" s="2"/>
      <c r="B435" s="2"/>
      <c r="C435" s="2"/>
      <c r="D435" s="4" t="b">
        <v>1</v>
      </c>
      <c r="E435" s="2" t="s">
        <v>2660</v>
      </c>
      <c r="F435" s="4" t="b">
        <v>0</v>
      </c>
      <c r="G435" s="4" t="b">
        <v>0</v>
      </c>
      <c r="H435" s="4" t="b">
        <v>0</v>
      </c>
      <c r="J435" s="2" t="s">
        <v>2661</v>
      </c>
      <c r="K435" s="2" t="s">
        <v>1137</v>
      </c>
      <c r="L435" s="2" t="s">
        <v>2580</v>
      </c>
      <c r="M435" s="16" t="s">
        <v>2598</v>
      </c>
      <c r="N435" s="16" t="s">
        <v>76</v>
      </c>
      <c r="O435" s="16" t="s">
        <v>2662</v>
      </c>
      <c r="P435" s="31"/>
      <c r="Q435" s="31">
        <v>598.0</v>
      </c>
      <c r="R435" s="31">
        <v>598.0</v>
      </c>
      <c r="S435" s="16"/>
      <c r="T435" s="31">
        <v>2023.0</v>
      </c>
      <c r="U435" s="16" t="s">
        <v>343</v>
      </c>
      <c r="V435" s="16" t="s">
        <v>2663</v>
      </c>
      <c r="W435" s="16"/>
      <c r="X435" s="15" t="s">
        <v>2664</v>
      </c>
      <c r="Y435" s="16"/>
      <c r="Z435" s="16"/>
      <c r="AA435" s="32" t="s">
        <v>2664</v>
      </c>
      <c r="AB435" s="16" t="s">
        <v>105</v>
      </c>
      <c r="AC435" s="16" t="s">
        <v>2665</v>
      </c>
      <c r="AD435" s="16"/>
    </row>
    <row r="436">
      <c r="A436" s="2"/>
      <c r="B436" s="2"/>
      <c r="C436" s="2"/>
      <c r="D436" s="4" t="b">
        <v>1</v>
      </c>
      <c r="E436" s="2" t="s">
        <v>2666</v>
      </c>
      <c r="F436" s="4" t="b">
        <v>0</v>
      </c>
      <c r="G436" s="4" t="b">
        <v>0</v>
      </c>
      <c r="H436" s="4" t="b">
        <v>0</v>
      </c>
      <c r="J436" s="2" t="s">
        <v>2667</v>
      </c>
      <c r="K436" s="2" t="s">
        <v>1137</v>
      </c>
      <c r="L436" s="2" t="s">
        <v>2580</v>
      </c>
      <c r="M436" s="16" t="s">
        <v>108</v>
      </c>
      <c r="N436" s="16" t="s">
        <v>76</v>
      </c>
      <c r="O436" s="16" t="s">
        <v>1937</v>
      </c>
      <c r="P436" s="31"/>
      <c r="Q436" s="31">
        <v>192.0</v>
      </c>
      <c r="R436" s="31">
        <v>17412.0</v>
      </c>
      <c r="S436" s="16"/>
      <c r="T436" s="31">
        <v>2020.0</v>
      </c>
      <c r="U436" s="16" t="s">
        <v>343</v>
      </c>
      <c r="V436" s="16" t="s">
        <v>663</v>
      </c>
      <c r="W436" s="16"/>
      <c r="X436" s="15" t="s">
        <v>2668</v>
      </c>
      <c r="Y436" s="16" t="s">
        <v>2669</v>
      </c>
      <c r="Z436" s="16"/>
      <c r="AA436" s="32" t="s">
        <v>2668</v>
      </c>
      <c r="AB436" s="16" t="s">
        <v>666</v>
      </c>
      <c r="AC436" s="16" t="s">
        <v>2670</v>
      </c>
      <c r="AD436" s="16"/>
    </row>
    <row r="437">
      <c r="A437" s="12"/>
      <c r="B437" s="12"/>
      <c r="C437" s="12"/>
      <c r="D437" s="13" t="b">
        <v>1</v>
      </c>
      <c r="E437" s="12" t="s">
        <v>2671</v>
      </c>
      <c r="F437" s="13" t="b">
        <v>0</v>
      </c>
      <c r="G437" s="13" t="b">
        <v>0</v>
      </c>
      <c r="H437" s="13" t="b">
        <v>0</v>
      </c>
      <c r="I437" s="11"/>
      <c r="J437" s="12" t="s">
        <v>2672</v>
      </c>
      <c r="K437" s="12" t="s">
        <v>1137</v>
      </c>
      <c r="L437" s="12" t="s">
        <v>2580</v>
      </c>
      <c r="M437" s="35" t="s">
        <v>235</v>
      </c>
      <c r="N437" s="35" t="s">
        <v>76</v>
      </c>
      <c r="O437" s="35" t="s">
        <v>2673</v>
      </c>
      <c r="P437" s="36"/>
      <c r="Q437" s="36">
        <v>242.0</v>
      </c>
      <c r="R437" s="36">
        <v>2780.0</v>
      </c>
      <c r="S437" s="36">
        <v>28.21</v>
      </c>
      <c r="T437" s="36">
        <v>2021.0</v>
      </c>
      <c r="U437" s="35" t="s">
        <v>331</v>
      </c>
      <c r="V437" s="35"/>
      <c r="W437" s="35"/>
      <c r="X437" s="14" t="s">
        <v>2674</v>
      </c>
      <c r="Y437" s="35" t="s">
        <v>2675</v>
      </c>
      <c r="Z437" s="35"/>
      <c r="AA437" s="37" t="s">
        <v>2674</v>
      </c>
      <c r="AB437" s="35" t="s">
        <v>334</v>
      </c>
      <c r="AC437" s="35" t="s">
        <v>1238</v>
      </c>
      <c r="AD437" s="35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</row>
    <row r="438">
      <c r="A438" s="2"/>
      <c r="B438" s="2"/>
      <c r="C438" s="2"/>
      <c r="D438" s="4" t="b">
        <v>1</v>
      </c>
      <c r="E438" s="2" t="s">
        <v>2676</v>
      </c>
      <c r="F438" s="4" t="b">
        <v>0</v>
      </c>
      <c r="G438" s="4" t="b">
        <v>0</v>
      </c>
      <c r="H438" s="4" t="b">
        <v>0</v>
      </c>
      <c r="J438" s="2" t="s">
        <v>2677</v>
      </c>
      <c r="K438" s="2" t="s">
        <v>1137</v>
      </c>
      <c r="L438" s="2" t="s">
        <v>1191</v>
      </c>
      <c r="M438" s="16" t="s">
        <v>1501</v>
      </c>
      <c r="N438" s="16" t="s">
        <v>34</v>
      </c>
      <c r="O438" s="16" t="s">
        <v>167</v>
      </c>
      <c r="P438" s="31"/>
      <c r="Q438" s="31">
        <v>3661.0</v>
      </c>
      <c r="R438" s="31">
        <v>3661.0</v>
      </c>
      <c r="S438" s="16"/>
      <c r="T438" s="31">
        <v>2019.0</v>
      </c>
      <c r="U438" s="16" t="s">
        <v>343</v>
      </c>
      <c r="V438" s="16" t="s">
        <v>1221</v>
      </c>
      <c r="W438" s="16"/>
      <c r="X438" s="15" t="s">
        <v>2678</v>
      </c>
      <c r="Y438" s="16" t="s">
        <v>2679</v>
      </c>
      <c r="Z438" s="16"/>
      <c r="AA438" s="32" t="s">
        <v>2678</v>
      </c>
      <c r="AB438" s="16" t="s">
        <v>105</v>
      </c>
      <c r="AC438" s="16" t="s">
        <v>2679</v>
      </c>
      <c r="AD438" s="16"/>
    </row>
    <row r="439">
      <c r="A439" s="76"/>
      <c r="B439" s="76"/>
      <c r="C439" s="76"/>
      <c r="D439" s="73" t="b">
        <v>0</v>
      </c>
      <c r="E439" s="76" t="s">
        <v>2680</v>
      </c>
      <c r="F439" s="75" t="b">
        <v>0</v>
      </c>
      <c r="G439" s="75" t="b">
        <v>0</v>
      </c>
      <c r="H439" s="75" t="b">
        <v>0</v>
      </c>
      <c r="I439" s="76" t="s">
        <v>2681</v>
      </c>
      <c r="J439" s="76" t="s">
        <v>2682</v>
      </c>
      <c r="K439" s="76" t="s">
        <v>1137</v>
      </c>
      <c r="L439" s="76" t="s">
        <v>1191</v>
      </c>
      <c r="M439" s="73" t="s">
        <v>2683</v>
      </c>
      <c r="N439" s="73" t="s">
        <v>76</v>
      </c>
      <c r="O439" s="73" t="s">
        <v>2684</v>
      </c>
      <c r="P439" s="77"/>
      <c r="Q439" s="77">
        <v>4670.0</v>
      </c>
      <c r="R439" s="77">
        <v>4670.0</v>
      </c>
      <c r="S439" s="73"/>
      <c r="T439" s="77">
        <v>2019.0</v>
      </c>
      <c r="U439" s="73" t="s">
        <v>343</v>
      </c>
      <c r="V439" s="73" t="s">
        <v>624</v>
      </c>
      <c r="W439" s="73"/>
      <c r="X439" s="98" t="s">
        <v>2685</v>
      </c>
      <c r="Y439" s="73" t="s">
        <v>2686</v>
      </c>
      <c r="Z439" s="73"/>
      <c r="AA439" s="78" t="s">
        <v>2685</v>
      </c>
      <c r="AB439" s="73" t="s">
        <v>346</v>
      </c>
      <c r="AC439" s="73" t="s">
        <v>2687</v>
      </c>
      <c r="AD439" s="73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</row>
    <row r="440">
      <c r="A440" s="12"/>
      <c r="B440" s="12"/>
      <c r="C440" s="12"/>
      <c r="D440" s="13" t="b">
        <v>1</v>
      </c>
      <c r="E440" s="12" t="s">
        <v>2688</v>
      </c>
      <c r="F440" s="13" t="b">
        <v>0</v>
      </c>
      <c r="G440" s="13" t="b">
        <v>0</v>
      </c>
      <c r="H440" s="13" t="b">
        <v>0</v>
      </c>
      <c r="I440" s="11"/>
      <c r="J440" s="12" t="s">
        <v>2689</v>
      </c>
      <c r="K440" s="12" t="s">
        <v>1137</v>
      </c>
      <c r="L440" s="12" t="s">
        <v>1191</v>
      </c>
      <c r="M440" s="35" t="s">
        <v>1501</v>
      </c>
      <c r="N440" s="35" t="s">
        <v>2690</v>
      </c>
      <c r="O440" s="35" t="s">
        <v>2691</v>
      </c>
      <c r="P440" s="36"/>
      <c r="Q440" s="36">
        <v>3661.0</v>
      </c>
      <c r="R440" s="36">
        <v>757.0</v>
      </c>
      <c r="S440" s="35"/>
      <c r="T440" s="36">
        <v>2019.0</v>
      </c>
      <c r="U440" s="35" t="s">
        <v>343</v>
      </c>
      <c r="V440" s="35"/>
      <c r="W440" s="35"/>
      <c r="X440" s="14" t="s">
        <v>2692</v>
      </c>
      <c r="Y440" s="35" t="s">
        <v>2693</v>
      </c>
      <c r="Z440" s="35"/>
      <c r="AA440" s="37" t="s">
        <v>2692</v>
      </c>
      <c r="AB440" s="35" t="s">
        <v>372</v>
      </c>
      <c r="AC440" s="35" t="s">
        <v>2692</v>
      </c>
      <c r="AD440" s="35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</row>
    <row r="441">
      <c r="A441" s="2"/>
      <c r="B441" s="2"/>
      <c r="C441" s="2"/>
      <c r="D441" s="4" t="b">
        <v>1</v>
      </c>
      <c r="E441" s="2" t="s">
        <v>2694</v>
      </c>
      <c r="F441" s="4" t="b">
        <v>0</v>
      </c>
      <c r="G441" s="4" t="b">
        <v>0</v>
      </c>
      <c r="H441" s="4" t="b">
        <v>0</v>
      </c>
      <c r="J441" s="2" t="s">
        <v>2695</v>
      </c>
      <c r="K441" s="2" t="s">
        <v>1137</v>
      </c>
      <c r="L441" s="2" t="s">
        <v>1191</v>
      </c>
      <c r="M441" s="16" t="s">
        <v>2696</v>
      </c>
      <c r="N441" s="16" t="s">
        <v>2697</v>
      </c>
      <c r="O441" s="16" t="s">
        <v>2698</v>
      </c>
      <c r="P441" s="16"/>
      <c r="Q441" s="16"/>
      <c r="R441" s="16"/>
      <c r="S441" s="16"/>
      <c r="T441" s="31">
        <v>2022.0</v>
      </c>
      <c r="U441" s="16" t="s">
        <v>343</v>
      </c>
      <c r="V441" s="16"/>
      <c r="W441" s="16"/>
      <c r="X441" s="15" t="s">
        <v>2699</v>
      </c>
      <c r="Y441" s="16" t="s">
        <v>2700</v>
      </c>
      <c r="Z441" s="16"/>
      <c r="AA441" s="32" t="s">
        <v>2699</v>
      </c>
      <c r="AB441" s="16" t="s">
        <v>72</v>
      </c>
      <c r="AC441" s="16" t="s">
        <v>2701</v>
      </c>
      <c r="AD441" s="16"/>
    </row>
    <row r="442">
      <c r="A442" s="2"/>
      <c r="B442" s="2"/>
      <c r="C442" s="2"/>
      <c r="D442" s="4" t="b">
        <v>1</v>
      </c>
      <c r="E442" s="2" t="s">
        <v>2702</v>
      </c>
      <c r="F442" s="4" t="b">
        <v>0</v>
      </c>
      <c r="G442" s="4" t="b">
        <v>0</v>
      </c>
      <c r="H442" s="4" t="b">
        <v>0</v>
      </c>
      <c r="J442" s="2" t="s">
        <v>2703</v>
      </c>
      <c r="K442" s="2" t="s">
        <v>1137</v>
      </c>
      <c r="L442" s="2" t="s">
        <v>1191</v>
      </c>
      <c r="M442" s="16" t="s">
        <v>2704</v>
      </c>
      <c r="N442" s="16" t="s">
        <v>76</v>
      </c>
      <c r="O442" s="16" t="s">
        <v>1937</v>
      </c>
      <c r="P442" s="31"/>
      <c r="Q442" s="31">
        <v>24.0</v>
      </c>
      <c r="R442" s="16"/>
      <c r="S442" s="16"/>
      <c r="T442" s="31">
        <v>2015.0</v>
      </c>
      <c r="U442" s="16" t="s">
        <v>343</v>
      </c>
      <c r="V442" s="16" t="s">
        <v>2705</v>
      </c>
      <c r="W442" s="16"/>
      <c r="X442" s="15" t="s">
        <v>2706</v>
      </c>
      <c r="Y442" s="16" t="s">
        <v>2707</v>
      </c>
      <c r="Z442" s="16"/>
      <c r="AA442" s="32" t="s">
        <v>2706</v>
      </c>
      <c r="AB442" s="16" t="s">
        <v>2708</v>
      </c>
      <c r="AC442" s="16" t="s">
        <v>2706</v>
      </c>
      <c r="AD442" s="16"/>
    </row>
    <row r="443">
      <c r="A443" s="12"/>
      <c r="B443" s="12"/>
      <c r="C443" s="12"/>
      <c r="D443" s="13" t="b">
        <v>1</v>
      </c>
      <c r="E443" s="12" t="s">
        <v>2709</v>
      </c>
      <c r="F443" s="13" t="b">
        <v>0</v>
      </c>
      <c r="G443" s="13" t="b">
        <v>0</v>
      </c>
      <c r="H443" s="11"/>
      <c r="I443" s="11"/>
      <c r="J443" s="12" t="s">
        <v>2709</v>
      </c>
      <c r="K443" s="12" t="s">
        <v>1137</v>
      </c>
      <c r="L443" s="12" t="s">
        <v>1191</v>
      </c>
      <c r="M443" s="35" t="s">
        <v>1501</v>
      </c>
      <c r="N443" s="35" t="s">
        <v>76</v>
      </c>
      <c r="O443" s="35" t="s">
        <v>2710</v>
      </c>
      <c r="P443" s="36"/>
      <c r="Q443" s="36">
        <v>463.0</v>
      </c>
      <c r="R443" s="36">
        <v>463.0</v>
      </c>
      <c r="S443" s="35"/>
      <c r="T443" s="36">
        <v>2013.0</v>
      </c>
      <c r="U443" s="35" t="s">
        <v>343</v>
      </c>
      <c r="V443" s="35"/>
      <c r="W443" s="35"/>
      <c r="X443" s="14" t="s">
        <v>2711</v>
      </c>
      <c r="Y443" s="35"/>
      <c r="Z443" s="35"/>
      <c r="AA443" s="37" t="s">
        <v>2711</v>
      </c>
      <c r="AB443" s="35" t="s">
        <v>2712</v>
      </c>
      <c r="AC443" s="35" t="s">
        <v>2713</v>
      </c>
      <c r="AD443" s="35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</row>
    <row r="444">
      <c r="A444" s="2"/>
      <c r="B444" s="2"/>
      <c r="C444" s="2"/>
      <c r="D444" s="4" t="b">
        <v>1</v>
      </c>
      <c r="E444" s="2" t="s">
        <v>2714</v>
      </c>
      <c r="F444" s="4" t="b">
        <v>0</v>
      </c>
      <c r="G444" s="4" t="b">
        <v>0</v>
      </c>
      <c r="J444" s="2" t="s">
        <v>2715</v>
      </c>
      <c r="K444" s="2" t="s">
        <v>1137</v>
      </c>
      <c r="L444" s="2" t="s">
        <v>1191</v>
      </c>
      <c r="M444" s="16" t="s">
        <v>1501</v>
      </c>
      <c r="N444" s="16" t="s">
        <v>34</v>
      </c>
      <c r="O444" s="16" t="s">
        <v>2716</v>
      </c>
      <c r="P444" s="16"/>
      <c r="Q444" s="16"/>
      <c r="R444" s="16"/>
      <c r="S444" s="16"/>
      <c r="T444" s="31">
        <v>2015.0</v>
      </c>
      <c r="U444" s="16" t="s">
        <v>343</v>
      </c>
      <c r="V444" s="16"/>
      <c r="W444" s="16"/>
      <c r="X444" s="15" t="s">
        <v>2717</v>
      </c>
      <c r="Y444" s="16"/>
      <c r="Z444" s="16"/>
      <c r="AA444" s="32" t="s">
        <v>2717</v>
      </c>
      <c r="AB444" s="16" t="s">
        <v>105</v>
      </c>
      <c r="AC444" s="33" t="s">
        <v>2718</v>
      </c>
      <c r="AD444" s="16"/>
    </row>
    <row r="445">
      <c r="A445" s="2"/>
      <c r="B445" s="2"/>
      <c r="C445" s="2"/>
      <c r="D445" s="4" t="b">
        <v>1</v>
      </c>
      <c r="E445" s="2" t="s">
        <v>2719</v>
      </c>
      <c r="F445" s="4" t="b">
        <v>0</v>
      </c>
      <c r="G445" s="4" t="b">
        <v>0</v>
      </c>
      <c r="J445" s="2" t="s">
        <v>2720</v>
      </c>
      <c r="K445" s="2" t="s">
        <v>1137</v>
      </c>
      <c r="L445" s="2" t="s">
        <v>1191</v>
      </c>
      <c r="M445" s="16" t="s">
        <v>1501</v>
      </c>
      <c r="N445" s="16" t="s">
        <v>685</v>
      </c>
      <c r="O445" s="16" t="s">
        <v>2721</v>
      </c>
      <c r="P445" s="31"/>
      <c r="Q445" s="31">
        <v>134.0</v>
      </c>
      <c r="R445" s="31">
        <v>129.0</v>
      </c>
      <c r="S445" s="16"/>
      <c r="T445" s="31">
        <v>2017.0</v>
      </c>
      <c r="U445" s="16" t="s">
        <v>343</v>
      </c>
      <c r="V445" s="16" t="s">
        <v>2722</v>
      </c>
      <c r="W445" s="16"/>
      <c r="X445" s="15" t="s">
        <v>2723</v>
      </c>
      <c r="Y445" s="16" t="s">
        <v>2724</v>
      </c>
      <c r="Z445" s="16"/>
      <c r="AA445" s="32" t="s">
        <v>2723</v>
      </c>
      <c r="AB445" s="16" t="s">
        <v>2725</v>
      </c>
      <c r="AC445" s="33" t="s">
        <v>2726</v>
      </c>
      <c r="AD445" s="16"/>
    </row>
    <row r="446">
      <c r="A446" s="18"/>
      <c r="B446" s="18"/>
      <c r="C446" s="18"/>
      <c r="D446" s="19" t="b">
        <v>0</v>
      </c>
      <c r="E446" s="17"/>
      <c r="F446" s="19" t="b">
        <v>0</v>
      </c>
      <c r="G446" s="19" t="b">
        <v>1</v>
      </c>
      <c r="H446" s="17"/>
      <c r="I446" s="17"/>
      <c r="J446" s="18" t="s">
        <v>2727</v>
      </c>
      <c r="K446" s="18" t="s">
        <v>1137</v>
      </c>
      <c r="L446" s="18" t="s">
        <v>1191</v>
      </c>
      <c r="M446" s="52" t="s">
        <v>2728</v>
      </c>
      <c r="N446" s="52" t="s">
        <v>34</v>
      </c>
      <c r="O446" s="52" t="s">
        <v>2729</v>
      </c>
      <c r="P446" s="52"/>
      <c r="Q446" s="52"/>
      <c r="R446" s="52"/>
      <c r="S446" s="52"/>
      <c r="T446" s="54">
        <v>2021.0</v>
      </c>
      <c r="U446" s="52" t="s">
        <v>540</v>
      </c>
      <c r="V446" s="52"/>
      <c r="W446" s="52"/>
      <c r="X446" s="20" t="s">
        <v>2730</v>
      </c>
      <c r="Y446" s="52" t="s">
        <v>2731</v>
      </c>
      <c r="Z446" s="52"/>
      <c r="AA446" s="53" t="s">
        <v>2730</v>
      </c>
      <c r="AB446" s="52" t="s">
        <v>2732</v>
      </c>
      <c r="AC446" s="71" t="s">
        <v>2730</v>
      </c>
      <c r="AD446" s="52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</row>
    <row r="447">
      <c r="A447" s="2"/>
      <c r="B447" s="2"/>
      <c r="C447" s="2"/>
      <c r="D447" s="4" t="b">
        <v>1</v>
      </c>
      <c r="E447" s="2" t="s">
        <v>2733</v>
      </c>
      <c r="F447" s="4" t="b">
        <v>0</v>
      </c>
      <c r="G447" s="4" t="b">
        <v>0</v>
      </c>
      <c r="J447" s="2" t="s">
        <v>2734</v>
      </c>
      <c r="K447" s="2" t="s">
        <v>1137</v>
      </c>
      <c r="L447" s="2" t="s">
        <v>1191</v>
      </c>
      <c r="X447" s="15" t="s">
        <v>2735</v>
      </c>
      <c r="AA447" s="32" t="s">
        <v>2735</v>
      </c>
    </row>
    <row r="448">
      <c r="A448" s="23"/>
      <c r="B448" s="23"/>
      <c r="C448" s="23"/>
      <c r="D448" s="24" t="b">
        <v>0</v>
      </c>
      <c r="E448" s="22"/>
      <c r="F448" s="25" t="b">
        <v>0</v>
      </c>
      <c r="G448" s="25" t="b">
        <v>1</v>
      </c>
      <c r="H448" s="22"/>
      <c r="I448" s="22"/>
      <c r="J448" s="23" t="s">
        <v>2736</v>
      </c>
      <c r="K448" s="23" t="s">
        <v>1137</v>
      </c>
      <c r="L448" s="23" t="s">
        <v>1191</v>
      </c>
      <c r="M448" s="22" t="s">
        <v>1410</v>
      </c>
      <c r="N448" s="22" t="s">
        <v>2737</v>
      </c>
      <c r="O448" s="22" t="s">
        <v>2738</v>
      </c>
      <c r="P448" s="22"/>
      <c r="Q448" s="22">
        <v>32.0</v>
      </c>
      <c r="R448" s="22">
        <v>32.0</v>
      </c>
      <c r="S448" s="22"/>
      <c r="T448" s="22">
        <v>2016.0</v>
      </c>
      <c r="U448" s="22" t="s">
        <v>343</v>
      </c>
      <c r="V448" s="22" t="s">
        <v>495</v>
      </c>
      <c r="W448" s="22"/>
      <c r="X448" s="28" t="s">
        <v>2739</v>
      </c>
      <c r="Y448" s="99" t="s">
        <v>2740</v>
      </c>
      <c r="Z448" s="22"/>
      <c r="AA448" s="30" t="s">
        <v>2739</v>
      </c>
      <c r="AB448" s="22" t="s">
        <v>372</v>
      </c>
      <c r="AC448" s="27" t="s">
        <v>2741</v>
      </c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</row>
    <row r="449">
      <c r="A449" s="2"/>
      <c r="B449" s="2"/>
      <c r="C449" s="2"/>
      <c r="D449" s="4" t="b">
        <v>1</v>
      </c>
      <c r="E449" s="2" t="s">
        <v>2742</v>
      </c>
      <c r="F449" s="4" t="b">
        <v>0</v>
      </c>
      <c r="G449" s="4" t="b">
        <v>0</v>
      </c>
      <c r="J449" s="2" t="s">
        <v>2743</v>
      </c>
      <c r="K449" s="2" t="s">
        <v>1137</v>
      </c>
      <c r="L449" s="2" t="s">
        <v>1191</v>
      </c>
      <c r="M449" s="3" t="s">
        <v>2744</v>
      </c>
      <c r="N449" s="3" t="s">
        <v>2745</v>
      </c>
      <c r="O449" s="3" t="s">
        <v>2746</v>
      </c>
      <c r="Q449" s="3">
        <v>15.0</v>
      </c>
      <c r="R449" s="3">
        <v>15.0</v>
      </c>
      <c r="S449" s="3">
        <v>0.15</v>
      </c>
      <c r="T449" s="3">
        <v>2020.0</v>
      </c>
      <c r="U449" s="3" t="s">
        <v>343</v>
      </c>
      <c r="X449" s="15" t="s">
        <v>2747</v>
      </c>
      <c r="Y449" s="3" t="s">
        <v>2748</v>
      </c>
      <c r="AA449" s="32" t="s">
        <v>2747</v>
      </c>
      <c r="AB449" s="3" t="s">
        <v>2749</v>
      </c>
      <c r="AC449" s="5" t="s">
        <v>2747</v>
      </c>
    </row>
    <row r="450">
      <c r="A450" s="76"/>
      <c r="B450" s="76"/>
      <c r="C450" s="76"/>
      <c r="D450" s="73" t="b">
        <v>0</v>
      </c>
      <c r="E450" s="74"/>
      <c r="F450" s="75" t="b">
        <v>0</v>
      </c>
      <c r="G450" s="75" t="b">
        <v>0</v>
      </c>
      <c r="H450" s="74"/>
      <c r="I450" s="76" t="s">
        <v>2750</v>
      </c>
      <c r="J450" s="76" t="s">
        <v>2751</v>
      </c>
      <c r="K450" s="76" t="s">
        <v>1137</v>
      </c>
      <c r="L450" s="76" t="s">
        <v>1191</v>
      </c>
      <c r="M450" s="74" t="s">
        <v>1410</v>
      </c>
      <c r="N450" s="74" t="s">
        <v>2752</v>
      </c>
      <c r="O450" s="74" t="s">
        <v>2753</v>
      </c>
      <c r="P450" s="74"/>
      <c r="Q450" s="74">
        <v>1200.0</v>
      </c>
      <c r="R450" s="74">
        <v>1200.0</v>
      </c>
      <c r="S450" s="74"/>
      <c r="T450" s="74">
        <v>2018.0</v>
      </c>
      <c r="U450" s="74" t="s">
        <v>343</v>
      </c>
      <c r="V450" s="74" t="s">
        <v>644</v>
      </c>
      <c r="W450" s="74"/>
      <c r="X450" s="98" t="s">
        <v>2754</v>
      </c>
      <c r="Y450" s="74" t="s">
        <v>2755</v>
      </c>
      <c r="Z450" s="74"/>
      <c r="AA450" s="78" t="s">
        <v>2754</v>
      </c>
      <c r="AB450" s="74" t="s">
        <v>346</v>
      </c>
      <c r="AC450" s="94" t="s">
        <v>2754</v>
      </c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</row>
    <row r="451">
      <c r="A451" s="2"/>
      <c r="B451" s="2"/>
      <c r="C451" s="2"/>
      <c r="D451" s="4" t="b">
        <v>1</v>
      </c>
      <c r="E451" s="2" t="s">
        <v>2756</v>
      </c>
      <c r="F451" s="4" t="b">
        <v>0</v>
      </c>
      <c r="G451" s="4" t="b">
        <v>0</v>
      </c>
      <c r="J451" s="2" t="s">
        <v>2756</v>
      </c>
      <c r="K451" s="2" t="s">
        <v>1137</v>
      </c>
      <c r="L451" s="2" t="s">
        <v>1191</v>
      </c>
      <c r="M451" s="3" t="s">
        <v>1410</v>
      </c>
      <c r="N451" s="3" t="s">
        <v>2757</v>
      </c>
      <c r="O451" s="3" t="s">
        <v>2758</v>
      </c>
      <c r="Q451" s="3">
        <v>750.0</v>
      </c>
      <c r="R451" s="3">
        <v>4500.0</v>
      </c>
      <c r="S451" s="3">
        <v>12.9</v>
      </c>
      <c r="T451" s="3">
        <v>2018.0</v>
      </c>
      <c r="U451" s="3" t="s">
        <v>343</v>
      </c>
      <c r="V451" s="3" t="s">
        <v>2759</v>
      </c>
      <c r="X451" s="15" t="s">
        <v>2760</v>
      </c>
      <c r="Y451" s="3" t="s">
        <v>2761</v>
      </c>
      <c r="AA451" s="32" t="s">
        <v>2760</v>
      </c>
      <c r="AB451" s="3" t="s">
        <v>2762</v>
      </c>
      <c r="AC451" s="5" t="s">
        <v>2763</v>
      </c>
    </row>
    <row r="452">
      <c r="A452" s="2"/>
      <c r="B452" s="2"/>
      <c r="C452" s="2"/>
      <c r="D452" s="4" t="b">
        <v>1</v>
      </c>
      <c r="E452" s="2" t="s">
        <v>2764</v>
      </c>
      <c r="F452" s="4" t="b">
        <v>0</v>
      </c>
      <c r="G452" s="4" t="b">
        <v>0</v>
      </c>
      <c r="J452" s="2" t="s">
        <v>2764</v>
      </c>
      <c r="K452" s="2" t="s">
        <v>1137</v>
      </c>
      <c r="L452" s="2" t="s">
        <v>1191</v>
      </c>
      <c r="M452" s="3" t="s">
        <v>1410</v>
      </c>
      <c r="N452" s="3" t="s">
        <v>2765</v>
      </c>
      <c r="O452" s="3" t="s">
        <v>2766</v>
      </c>
      <c r="Q452" s="3">
        <v>100.0</v>
      </c>
      <c r="R452" s="3">
        <v>100.0</v>
      </c>
      <c r="T452" s="3">
        <v>2009.0</v>
      </c>
      <c r="U452" s="3" t="s">
        <v>343</v>
      </c>
      <c r="V452" s="3" t="s">
        <v>2767</v>
      </c>
      <c r="X452" s="15" t="s">
        <v>2768</v>
      </c>
      <c r="Y452" s="3" t="s">
        <v>2769</v>
      </c>
      <c r="AA452" s="32" t="s">
        <v>2768</v>
      </c>
      <c r="AB452" s="3" t="s">
        <v>2770</v>
      </c>
      <c r="AC452" s="5" t="s">
        <v>2768</v>
      </c>
    </row>
    <row r="453">
      <c r="A453" s="2"/>
      <c r="B453" s="2"/>
      <c r="C453" s="2"/>
      <c r="D453" s="4" t="b">
        <v>1</v>
      </c>
      <c r="E453" s="2" t="s">
        <v>2771</v>
      </c>
      <c r="F453" s="4" t="b">
        <v>0</v>
      </c>
      <c r="G453" s="4" t="b">
        <v>0</v>
      </c>
      <c r="J453" s="2" t="s">
        <v>2772</v>
      </c>
      <c r="K453" s="2" t="s">
        <v>1137</v>
      </c>
      <c r="L453" s="2" t="s">
        <v>1191</v>
      </c>
      <c r="M453" s="3" t="s">
        <v>2773</v>
      </c>
      <c r="N453" s="3" t="s">
        <v>2774</v>
      </c>
      <c r="O453" s="3" t="s">
        <v>2775</v>
      </c>
      <c r="U453" s="3" t="s">
        <v>331</v>
      </c>
      <c r="X453" s="15" t="s">
        <v>2776</v>
      </c>
      <c r="Y453" s="3" t="s">
        <v>2777</v>
      </c>
      <c r="AA453" s="32" t="s">
        <v>2776</v>
      </c>
      <c r="AB453" s="3" t="s">
        <v>346</v>
      </c>
      <c r="AC453" s="5" t="s">
        <v>2776</v>
      </c>
    </row>
    <row r="454">
      <c r="A454" s="23"/>
      <c r="B454" s="23"/>
      <c r="C454" s="23"/>
      <c r="D454" s="25" t="b">
        <v>1</v>
      </c>
      <c r="E454" s="23" t="s">
        <v>2778</v>
      </c>
      <c r="F454" s="25" t="b">
        <v>0</v>
      </c>
      <c r="G454" s="25" t="b">
        <v>0</v>
      </c>
      <c r="H454" s="22"/>
      <c r="I454" s="23" t="s">
        <v>2779</v>
      </c>
      <c r="J454" s="23" t="s">
        <v>2780</v>
      </c>
      <c r="K454" s="23" t="s">
        <v>1137</v>
      </c>
      <c r="L454" s="23" t="s">
        <v>1191</v>
      </c>
      <c r="M454" s="22" t="s">
        <v>2781</v>
      </c>
      <c r="N454" s="22" t="s">
        <v>2782</v>
      </c>
      <c r="O454" s="22" t="s">
        <v>2783</v>
      </c>
      <c r="P454" s="22"/>
      <c r="Q454" s="22">
        <v>10.0</v>
      </c>
      <c r="R454" s="22">
        <v>110.0</v>
      </c>
      <c r="S454" s="22"/>
      <c r="T454" s="22">
        <v>2015.0</v>
      </c>
      <c r="U454" s="22" t="s">
        <v>331</v>
      </c>
      <c r="V454" s="22" t="s">
        <v>682</v>
      </c>
      <c r="W454" s="22"/>
      <c r="X454" s="28" t="s">
        <v>2784</v>
      </c>
      <c r="Y454" s="22" t="s">
        <v>2785</v>
      </c>
      <c r="Z454" s="22"/>
      <c r="AA454" s="69" t="s">
        <v>2784</v>
      </c>
      <c r="AB454" s="22" t="s">
        <v>105</v>
      </c>
      <c r="AC454" s="27" t="s">
        <v>2786</v>
      </c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</row>
    <row r="455">
      <c r="A455" s="23"/>
      <c r="B455" s="23"/>
      <c r="C455" s="23"/>
      <c r="D455" s="24" t="b">
        <v>0</v>
      </c>
      <c r="E455" s="22"/>
      <c r="F455" s="25" t="b">
        <v>0</v>
      </c>
      <c r="G455" s="25" t="b">
        <v>1</v>
      </c>
      <c r="H455" s="22"/>
      <c r="I455" s="22"/>
      <c r="J455" s="23" t="s">
        <v>2787</v>
      </c>
      <c r="K455" s="23" t="s">
        <v>1137</v>
      </c>
      <c r="L455" s="23" t="s">
        <v>1191</v>
      </c>
      <c r="M455" s="22" t="s">
        <v>2773</v>
      </c>
      <c r="N455" s="22" t="s">
        <v>2788</v>
      </c>
      <c r="O455" s="22" t="s">
        <v>2789</v>
      </c>
      <c r="P455" s="22"/>
      <c r="Q455" s="22">
        <v>400.0</v>
      </c>
      <c r="R455" s="22">
        <v>400.0</v>
      </c>
      <c r="S455" s="22"/>
      <c r="T455" s="22">
        <v>2023.0</v>
      </c>
      <c r="U455" s="22" t="s">
        <v>331</v>
      </c>
      <c r="V455" s="22"/>
      <c r="W455" s="22"/>
      <c r="X455" s="28" t="s">
        <v>2790</v>
      </c>
      <c r="Y455" s="22" t="s">
        <v>2791</v>
      </c>
      <c r="Z455" s="22"/>
      <c r="AA455" s="30" t="s">
        <v>2790</v>
      </c>
      <c r="AB455" s="22" t="s">
        <v>2792</v>
      </c>
      <c r="AC455" s="27" t="s">
        <v>2793</v>
      </c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</row>
    <row r="456">
      <c r="A456" s="23"/>
      <c r="B456" s="23"/>
      <c r="C456" s="23"/>
      <c r="D456" s="25" t="b">
        <v>1</v>
      </c>
      <c r="E456" s="23" t="s">
        <v>2794</v>
      </c>
      <c r="F456" s="25" t="b">
        <v>0</v>
      </c>
      <c r="G456" s="25" t="b">
        <v>0</v>
      </c>
      <c r="H456" s="22"/>
      <c r="I456" s="23" t="s">
        <v>2795</v>
      </c>
      <c r="J456" s="23" t="s">
        <v>2796</v>
      </c>
      <c r="K456" s="23" t="s">
        <v>1137</v>
      </c>
      <c r="L456" s="23" t="s">
        <v>1191</v>
      </c>
      <c r="M456" s="22" t="s">
        <v>1410</v>
      </c>
      <c r="N456" s="22" t="s">
        <v>2745</v>
      </c>
      <c r="O456" s="22" t="s">
        <v>2797</v>
      </c>
      <c r="P456" s="22"/>
      <c r="Q456" s="22">
        <v>20.0</v>
      </c>
      <c r="R456" s="22">
        <v>20.0</v>
      </c>
      <c r="S456" s="22"/>
      <c r="T456" s="22">
        <v>2017.0</v>
      </c>
      <c r="U456" s="22" t="s">
        <v>343</v>
      </c>
      <c r="V456" s="22" t="s">
        <v>2798</v>
      </c>
      <c r="W456" s="22"/>
      <c r="X456" s="28" t="s">
        <v>2799</v>
      </c>
      <c r="Y456" s="22" t="s">
        <v>2800</v>
      </c>
      <c r="Z456" s="22"/>
      <c r="AA456" s="30" t="s">
        <v>2799</v>
      </c>
      <c r="AB456" s="22" t="s">
        <v>105</v>
      </c>
      <c r="AC456" s="27" t="s">
        <v>2801</v>
      </c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</row>
    <row r="457">
      <c r="A457" s="23"/>
      <c r="B457" s="23"/>
      <c r="C457" s="23"/>
      <c r="D457" s="24" t="b">
        <v>0</v>
      </c>
      <c r="E457" s="22"/>
      <c r="F457" s="25" t="b">
        <v>0</v>
      </c>
      <c r="G457" s="25" t="b">
        <v>1</v>
      </c>
      <c r="H457" s="22"/>
      <c r="I457" s="22"/>
      <c r="J457" s="23" t="s">
        <v>2802</v>
      </c>
      <c r="K457" s="23" t="s">
        <v>1137</v>
      </c>
      <c r="L457" s="23" t="s">
        <v>1191</v>
      </c>
      <c r="M457" s="22" t="s">
        <v>1410</v>
      </c>
      <c r="N457" s="22" t="s">
        <v>2803</v>
      </c>
      <c r="O457" s="22" t="s">
        <v>2804</v>
      </c>
      <c r="P457" s="22"/>
      <c r="Q457" s="22">
        <v>200.0</v>
      </c>
      <c r="R457" s="22">
        <v>200.0</v>
      </c>
      <c r="S457" s="22">
        <v>0.5</v>
      </c>
      <c r="T457" s="22"/>
      <c r="U457" s="22" t="s">
        <v>343</v>
      </c>
      <c r="V457" s="22" t="s">
        <v>1221</v>
      </c>
      <c r="W457" s="22"/>
      <c r="X457" s="28" t="s">
        <v>2805</v>
      </c>
      <c r="Y457" s="22" t="s">
        <v>2806</v>
      </c>
      <c r="Z457" s="22"/>
      <c r="AA457" s="30" t="s">
        <v>2805</v>
      </c>
      <c r="AB457" s="22" t="s">
        <v>634</v>
      </c>
      <c r="AC457" s="27" t="s">
        <v>2807</v>
      </c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</row>
    <row r="458">
      <c r="A458" s="23"/>
      <c r="B458" s="23"/>
      <c r="C458" s="23"/>
      <c r="D458" s="25" t="b">
        <v>1</v>
      </c>
      <c r="E458" s="23" t="s">
        <v>2808</v>
      </c>
      <c r="F458" s="25" t="b">
        <v>0</v>
      </c>
      <c r="G458" s="25" t="b">
        <v>0</v>
      </c>
      <c r="H458" s="22"/>
      <c r="I458" s="23" t="s">
        <v>2809</v>
      </c>
      <c r="J458" s="23" t="s">
        <v>2808</v>
      </c>
      <c r="K458" s="23" t="s">
        <v>1137</v>
      </c>
      <c r="L458" s="23" t="s">
        <v>1137</v>
      </c>
      <c r="M458" s="22" t="s">
        <v>2810</v>
      </c>
      <c r="N458" s="22" t="s">
        <v>2811</v>
      </c>
      <c r="O458" s="22"/>
      <c r="P458" s="23">
        <v>46.0</v>
      </c>
      <c r="Q458" s="22"/>
      <c r="R458" s="22"/>
      <c r="S458" s="22"/>
      <c r="T458" s="22" t="s">
        <v>1809</v>
      </c>
      <c r="U458" s="22" t="s">
        <v>331</v>
      </c>
      <c r="V458" s="22" t="s">
        <v>2812</v>
      </c>
      <c r="W458" s="22"/>
      <c r="X458" s="28" t="s">
        <v>2813</v>
      </c>
      <c r="Y458" s="22" t="s">
        <v>2814</v>
      </c>
      <c r="Z458" s="22"/>
      <c r="AA458" s="30" t="s">
        <v>2813</v>
      </c>
      <c r="AB458" s="22" t="s">
        <v>1150</v>
      </c>
      <c r="AC458" s="27" t="s">
        <v>2815</v>
      </c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</row>
    <row r="459">
      <c r="A459" s="2"/>
      <c r="B459" s="2"/>
      <c r="C459" s="2"/>
      <c r="D459" s="4" t="b">
        <v>1</v>
      </c>
      <c r="E459" s="2" t="s">
        <v>2816</v>
      </c>
      <c r="F459" s="4" t="b">
        <v>0</v>
      </c>
      <c r="G459" s="4" t="b">
        <v>0</v>
      </c>
      <c r="J459" s="2" t="s">
        <v>2816</v>
      </c>
      <c r="K459" s="2" t="s">
        <v>1137</v>
      </c>
      <c r="L459" s="2" t="s">
        <v>1137</v>
      </c>
      <c r="M459" s="3" t="s">
        <v>235</v>
      </c>
      <c r="N459" s="3" t="s">
        <v>2817</v>
      </c>
      <c r="O459" s="3" t="s">
        <v>2818</v>
      </c>
      <c r="P459" s="2">
        <v>7.0</v>
      </c>
      <c r="T459" s="3" t="s">
        <v>1814</v>
      </c>
      <c r="U459" s="3" t="s">
        <v>331</v>
      </c>
      <c r="V459" s="3" t="s">
        <v>2819</v>
      </c>
      <c r="X459" s="15" t="s">
        <v>2820</v>
      </c>
      <c r="Y459" s="3" t="s">
        <v>2821</v>
      </c>
      <c r="AA459" s="32" t="s">
        <v>2820</v>
      </c>
      <c r="AB459" s="3" t="s">
        <v>1150</v>
      </c>
      <c r="AC459" s="5" t="s">
        <v>2822</v>
      </c>
    </row>
    <row r="460">
      <c r="A460" s="12"/>
      <c r="B460" s="12"/>
      <c r="C460" s="12"/>
      <c r="D460" s="13" t="b">
        <v>1</v>
      </c>
      <c r="E460" s="23" t="s">
        <v>2823</v>
      </c>
      <c r="F460" s="13" t="b">
        <v>0</v>
      </c>
      <c r="G460" s="13" t="b">
        <v>0</v>
      </c>
      <c r="H460" s="11"/>
      <c r="I460" s="11"/>
      <c r="J460" s="12" t="s">
        <v>2824</v>
      </c>
      <c r="K460" s="12" t="s">
        <v>1137</v>
      </c>
      <c r="L460" s="12" t="s">
        <v>1137</v>
      </c>
      <c r="M460" s="11" t="s">
        <v>2810</v>
      </c>
      <c r="N460" s="11" t="s">
        <v>2825</v>
      </c>
      <c r="O460" s="11"/>
      <c r="P460" s="12">
        <v>62.0</v>
      </c>
      <c r="Q460" s="11"/>
      <c r="R460" s="11"/>
      <c r="S460" s="11"/>
      <c r="T460" s="11" t="s">
        <v>1819</v>
      </c>
      <c r="U460" s="11" t="s">
        <v>331</v>
      </c>
      <c r="V460" s="11" t="s">
        <v>2826</v>
      </c>
      <c r="W460" s="11"/>
      <c r="X460" s="14" t="s">
        <v>2827</v>
      </c>
      <c r="Y460" s="11" t="s">
        <v>2828</v>
      </c>
      <c r="Z460" s="11"/>
      <c r="AA460" s="37" t="s">
        <v>2827</v>
      </c>
      <c r="AB460" s="11" t="s">
        <v>1150</v>
      </c>
      <c r="AC460" s="100" t="s">
        <v>2829</v>
      </c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</row>
    <row r="461">
      <c r="A461" s="12"/>
      <c r="B461" s="12"/>
      <c r="C461" s="12"/>
      <c r="D461" s="13" t="b">
        <v>1</v>
      </c>
      <c r="E461" s="12" t="s">
        <v>2830</v>
      </c>
      <c r="F461" s="13" t="b">
        <v>0</v>
      </c>
      <c r="G461" s="13" t="b">
        <v>0</v>
      </c>
      <c r="H461" s="11"/>
      <c r="I461" s="11"/>
      <c r="J461" s="12" t="s">
        <v>2831</v>
      </c>
      <c r="K461" s="12" t="s">
        <v>1137</v>
      </c>
      <c r="L461" s="12" t="s">
        <v>1137</v>
      </c>
      <c r="M461" s="11" t="s">
        <v>1617</v>
      </c>
      <c r="N461" s="11" t="s">
        <v>2832</v>
      </c>
      <c r="O461" s="11"/>
      <c r="P461" s="12">
        <v>49.0</v>
      </c>
      <c r="Q461" s="11"/>
      <c r="R461" s="11"/>
      <c r="S461" s="11"/>
      <c r="T461" s="11" t="s">
        <v>2833</v>
      </c>
      <c r="U461" s="11" t="s">
        <v>331</v>
      </c>
      <c r="V461" s="11" t="s">
        <v>2834</v>
      </c>
      <c r="W461" s="11"/>
      <c r="X461" s="14" t="s">
        <v>2835</v>
      </c>
      <c r="Y461" s="11" t="s">
        <v>2836</v>
      </c>
      <c r="Z461" s="11"/>
      <c r="AA461" s="37" t="s">
        <v>2835</v>
      </c>
      <c r="AB461" s="11" t="s">
        <v>1150</v>
      </c>
      <c r="AC461" s="100" t="s">
        <v>2835</v>
      </c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</row>
    <row r="462">
      <c r="A462" s="2"/>
      <c r="B462" s="2"/>
      <c r="C462" s="2"/>
      <c r="D462" s="4" t="b">
        <v>1</v>
      </c>
      <c r="E462" s="2" t="s">
        <v>2837</v>
      </c>
      <c r="F462" s="4" t="b">
        <v>0</v>
      </c>
      <c r="G462" s="4" t="b">
        <v>0</v>
      </c>
      <c r="J462" s="2" t="s">
        <v>2838</v>
      </c>
      <c r="K462" s="2" t="s">
        <v>1137</v>
      </c>
      <c r="L462" s="2" t="s">
        <v>1137</v>
      </c>
      <c r="M462" s="3" t="s">
        <v>2810</v>
      </c>
      <c r="N462" s="3" t="s">
        <v>2839</v>
      </c>
      <c r="P462" s="2">
        <v>132.0</v>
      </c>
      <c r="T462" s="3" t="s">
        <v>1814</v>
      </c>
      <c r="U462" s="3" t="s">
        <v>331</v>
      </c>
      <c r="X462" s="15" t="s">
        <v>2840</v>
      </c>
      <c r="Y462" s="3" t="s">
        <v>2841</v>
      </c>
      <c r="AA462" s="32" t="s">
        <v>2840</v>
      </c>
      <c r="AB462" s="3" t="s">
        <v>1150</v>
      </c>
      <c r="AC462" s="5" t="s">
        <v>2840</v>
      </c>
    </row>
    <row r="463">
      <c r="A463" s="2"/>
      <c r="B463" s="2"/>
      <c r="C463" s="2"/>
      <c r="D463" s="4" t="b">
        <v>1</v>
      </c>
      <c r="E463" s="2" t="s">
        <v>2842</v>
      </c>
      <c r="F463" s="4" t="b">
        <v>0</v>
      </c>
      <c r="G463" s="4" t="b">
        <v>0</v>
      </c>
      <c r="J463" s="2" t="s">
        <v>2843</v>
      </c>
      <c r="K463" s="2" t="s">
        <v>1137</v>
      </c>
      <c r="L463" s="2" t="s">
        <v>1137</v>
      </c>
      <c r="M463" s="3" t="s">
        <v>2844</v>
      </c>
      <c r="N463" s="3" t="s">
        <v>2845</v>
      </c>
      <c r="P463" s="2">
        <v>188.0</v>
      </c>
      <c r="T463" s="3" t="s">
        <v>1814</v>
      </c>
      <c r="U463" s="3" t="s">
        <v>331</v>
      </c>
      <c r="X463" s="15" t="s">
        <v>2846</v>
      </c>
      <c r="Y463" s="3" t="s">
        <v>2841</v>
      </c>
      <c r="AA463" s="32" t="s">
        <v>2846</v>
      </c>
      <c r="AB463" s="3" t="s">
        <v>1150</v>
      </c>
      <c r="AC463" s="5" t="s">
        <v>2846</v>
      </c>
    </row>
    <row r="464">
      <c r="A464" s="2"/>
      <c r="B464" s="2"/>
      <c r="C464" s="2"/>
      <c r="D464" s="4" t="b">
        <v>1</v>
      </c>
      <c r="E464" s="2" t="s">
        <v>2847</v>
      </c>
      <c r="F464" s="4" t="b">
        <v>0</v>
      </c>
      <c r="G464" s="4" t="b">
        <v>0</v>
      </c>
      <c r="J464" s="2" t="s">
        <v>2848</v>
      </c>
      <c r="K464" s="2" t="s">
        <v>1137</v>
      </c>
      <c r="L464" s="2" t="s">
        <v>1137</v>
      </c>
      <c r="M464" s="3" t="s">
        <v>2849</v>
      </c>
      <c r="N464" s="3" t="s">
        <v>1909</v>
      </c>
      <c r="P464" s="2">
        <v>3.0</v>
      </c>
      <c r="Q464" s="2">
        <v>120.0</v>
      </c>
      <c r="R464" s="2">
        <v>120.0</v>
      </c>
      <c r="S464" s="3" t="s">
        <v>2850</v>
      </c>
      <c r="T464" s="3" t="s">
        <v>1801</v>
      </c>
      <c r="U464" s="3" t="s">
        <v>331</v>
      </c>
      <c r="V464" s="3" t="s">
        <v>2851</v>
      </c>
      <c r="X464" s="15" t="s">
        <v>2852</v>
      </c>
      <c r="Y464" s="3" t="s">
        <v>2853</v>
      </c>
      <c r="AA464" s="32" t="s">
        <v>2852</v>
      </c>
      <c r="AB464" s="3" t="s">
        <v>1150</v>
      </c>
      <c r="AC464" s="5" t="s">
        <v>2852</v>
      </c>
    </row>
    <row r="465">
      <c r="A465" s="2"/>
      <c r="B465" s="2"/>
      <c r="C465" s="2"/>
      <c r="D465" s="4" t="b">
        <v>1</v>
      </c>
      <c r="E465" s="2" t="s">
        <v>2854</v>
      </c>
      <c r="F465" s="4" t="b">
        <v>0</v>
      </c>
      <c r="G465" s="4" t="b">
        <v>0</v>
      </c>
      <c r="J465" s="2" t="s">
        <v>2854</v>
      </c>
      <c r="K465" s="2" t="s">
        <v>1137</v>
      </c>
      <c r="L465" s="2" t="s">
        <v>1137</v>
      </c>
      <c r="M465" s="3" t="s">
        <v>2855</v>
      </c>
      <c r="N465" s="3" t="s">
        <v>2856</v>
      </c>
      <c r="P465" s="2">
        <v>227.0</v>
      </c>
      <c r="T465" s="3" t="s">
        <v>1814</v>
      </c>
      <c r="U465" s="3" t="s">
        <v>331</v>
      </c>
      <c r="V465" s="3" t="s">
        <v>2857</v>
      </c>
      <c r="X465" s="15" t="s">
        <v>2193</v>
      </c>
      <c r="Y465" s="3" t="s">
        <v>2858</v>
      </c>
      <c r="AA465" s="32" t="s">
        <v>2193</v>
      </c>
      <c r="AB465" s="3" t="s">
        <v>1150</v>
      </c>
      <c r="AC465" s="5" t="s">
        <v>2193</v>
      </c>
    </row>
    <row r="466">
      <c r="A466" s="2"/>
      <c r="B466" s="2"/>
      <c r="C466" s="2"/>
      <c r="D466" s="4" t="b">
        <v>1</v>
      </c>
      <c r="E466" s="2" t="s">
        <v>2859</v>
      </c>
      <c r="F466" s="4" t="b">
        <v>0</v>
      </c>
      <c r="G466" s="4" t="b">
        <v>0</v>
      </c>
      <c r="J466" s="2" t="s">
        <v>2859</v>
      </c>
      <c r="K466" s="2" t="s">
        <v>1137</v>
      </c>
      <c r="L466" s="2" t="s">
        <v>1137</v>
      </c>
      <c r="M466" s="3" t="s">
        <v>2810</v>
      </c>
      <c r="N466" s="3" t="s">
        <v>2860</v>
      </c>
      <c r="P466" s="2">
        <v>10.0</v>
      </c>
      <c r="T466" s="3" t="s">
        <v>1809</v>
      </c>
      <c r="U466" s="3" t="s">
        <v>331</v>
      </c>
      <c r="V466" s="3" t="s">
        <v>2861</v>
      </c>
      <c r="X466" s="15" t="s">
        <v>2862</v>
      </c>
      <c r="Y466" s="3" t="s">
        <v>2863</v>
      </c>
      <c r="AA466" s="32" t="s">
        <v>2862</v>
      </c>
      <c r="AB466" s="3" t="s">
        <v>1150</v>
      </c>
      <c r="AC466" s="5" t="s">
        <v>2862</v>
      </c>
    </row>
    <row r="467">
      <c r="A467" s="2"/>
      <c r="B467" s="2"/>
      <c r="C467" s="2"/>
      <c r="D467" s="4" t="b">
        <v>1</v>
      </c>
      <c r="E467" s="2" t="s">
        <v>2864</v>
      </c>
      <c r="F467" s="4" t="b">
        <v>0</v>
      </c>
      <c r="G467" s="4" t="b">
        <v>0</v>
      </c>
      <c r="J467" s="2" t="s">
        <v>2864</v>
      </c>
      <c r="K467" s="2" t="s">
        <v>1137</v>
      </c>
      <c r="L467" s="2" t="s">
        <v>1137</v>
      </c>
      <c r="M467" s="3" t="s">
        <v>2865</v>
      </c>
      <c r="N467" s="3" t="s">
        <v>2866</v>
      </c>
      <c r="P467" s="2">
        <v>1000.0</v>
      </c>
      <c r="T467" s="3" t="s">
        <v>1790</v>
      </c>
      <c r="U467" s="3" t="s">
        <v>331</v>
      </c>
      <c r="V467" s="3" t="s">
        <v>2867</v>
      </c>
      <c r="X467" s="15" t="s">
        <v>2868</v>
      </c>
      <c r="Y467" s="3" t="s">
        <v>2869</v>
      </c>
      <c r="AA467" s="32" t="s">
        <v>2868</v>
      </c>
      <c r="AB467" s="3" t="s">
        <v>2870</v>
      </c>
      <c r="AC467" s="5" t="s">
        <v>2868</v>
      </c>
    </row>
    <row r="468">
      <c r="A468" s="2"/>
      <c r="B468" s="2"/>
      <c r="C468" s="2"/>
      <c r="D468" s="4" t="b">
        <v>1</v>
      </c>
      <c r="E468" s="2" t="s">
        <v>2871</v>
      </c>
      <c r="F468" s="4" t="b">
        <v>0</v>
      </c>
      <c r="G468" s="4" t="b">
        <v>0</v>
      </c>
      <c r="J468" s="2" t="s">
        <v>2872</v>
      </c>
      <c r="K468" s="2" t="s">
        <v>1137</v>
      </c>
      <c r="L468" s="2" t="s">
        <v>1137</v>
      </c>
      <c r="M468" s="3" t="s">
        <v>2873</v>
      </c>
      <c r="N468" s="3" t="s">
        <v>2874</v>
      </c>
      <c r="P468" s="2">
        <v>25.0</v>
      </c>
      <c r="R468" s="2">
        <v>50.0</v>
      </c>
      <c r="T468" s="3" t="s">
        <v>2875</v>
      </c>
      <c r="U468" s="3" t="s">
        <v>331</v>
      </c>
      <c r="V468" s="3" t="s">
        <v>2876</v>
      </c>
      <c r="X468" s="15" t="s">
        <v>2877</v>
      </c>
      <c r="Y468" s="3" t="s">
        <v>2878</v>
      </c>
      <c r="AA468" s="32" t="s">
        <v>2877</v>
      </c>
      <c r="AB468" s="3" t="s">
        <v>1150</v>
      </c>
      <c r="AC468" s="5" t="s">
        <v>2878</v>
      </c>
    </row>
    <row r="469">
      <c r="D469" s="4" t="b">
        <v>1</v>
      </c>
      <c r="E469" s="4" t="s">
        <v>2879</v>
      </c>
      <c r="F469" s="4" t="b">
        <v>0</v>
      </c>
      <c r="G469" s="4" t="b">
        <v>0</v>
      </c>
      <c r="H469" s="16"/>
      <c r="I469" s="16"/>
      <c r="J469" s="16" t="s">
        <v>2880</v>
      </c>
      <c r="K469" s="4" t="s">
        <v>819</v>
      </c>
      <c r="L469" s="16" t="s">
        <v>819</v>
      </c>
      <c r="M469" s="16" t="s">
        <v>60</v>
      </c>
      <c r="N469" s="16" t="s">
        <v>76</v>
      </c>
      <c r="O469" s="2" t="s">
        <v>77</v>
      </c>
      <c r="P469" s="31">
        <v>30.0</v>
      </c>
      <c r="Q469" s="16"/>
      <c r="R469" s="16" t="s">
        <v>596</v>
      </c>
      <c r="S469" s="16" t="s">
        <v>2881</v>
      </c>
      <c r="T469" s="2">
        <v>2.6</v>
      </c>
      <c r="U469" s="2"/>
      <c r="V469" s="2"/>
      <c r="W469" s="31">
        <v>2007.0</v>
      </c>
      <c r="X469" s="31">
        <v>3.0</v>
      </c>
      <c r="Y469" s="31"/>
      <c r="Z469" s="32"/>
      <c r="AA469" s="32" t="s">
        <v>2882</v>
      </c>
      <c r="AB469" s="32" t="s">
        <v>2883</v>
      </c>
      <c r="AC469" s="16"/>
      <c r="AD469" s="32" t="s">
        <v>2884</v>
      </c>
      <c r="AE469" s="16"/>
    </row>
    <row r="470">
      <c r="A470" s="11"/>
      <c r="B470" s="11"/>
      <c r="C470" s="11"/>
      <c r="D470" s="13" t="b">
        <v>1</v>
      </c>
      <c r="E470" s="13" t="s">
        <v>2885</v>
      </c>
      <c r="F470" s="13" t="b">
        <v>0</v>
      </c>
      <c r="G470" s="13" t="b">
        <v>0</v>
      </c>
      <c r="H470" s="35"/>
      <c r="I470" s="35"/>
      <c r="J470" s="35" t="s">
        <v>2886</v>
      </c>
      <c r="K470" s="13" t="s">
        <v>819</v>
      </c>
      <c r="L470" s="35" t="s">
        <v>2887</v>
      </c>
      <c r="M470" s="35" t="s">
        <v>200</v>
      </c>
      <c r="N470" s="35" t="s">
        <v>34</v>
      </c>
      <c r="O470" s="13" t="s">
        <v>167</v>
      </c>
      <c r="P470" s="36">
        <v>100000.0</v>
      </c>
      <c r="Q470" s="35"/>
      <c r="R470" s="35" t="s">
        <v>2888</v>
      </c>
      <c r="S470" s="35" t="s">
        <v>2889</v>
      </c>
      <c r="T470" s="12">
        <v>7.0</v>
      </c>
      <c r="U470" s="12"/>
      <c r="V470" s="12"/>
      <c r="W470" s="36">
        <v>2008.0</v>
      </c>
      <c r="X470" s="36">
        <v>2.0</v>
      </c>
      <c r="Y470" s="36"/>
      <c r="Z470" s="37"/>
      <c r="AA470" s="37" t="s">
        <v>2890</v>
      </c>
      <c r="AB470" s="37" t="s">
        <v>2890</v>
      </c>
      <c r="AC470" s="35"/>
      <c r="AD470" s="37" t="s">
        <v>2890</v>
      </c>
      <c r="AE470" s="35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</row>
    <row r="471">
      <c r="A471" s="74"/>
      <c r="B471" s="74"/>
      <c r="C471" s="74"/>
      <c r="D471" s="73" t="b">
        <v>0</v>
      </c>
      <c r="E471" s="73"/>
      <c r="F471" s="75" t="b">
        <v>0</v>
      </c>
      <c r="G471" s="75" t="b">
        <v>0</v>
      </c>
      <c r="H471" s="75" t="b">
        <v>1</v>
      </c>
      <c r="I471" s="75" t="s">
        <v>2891</v>
      </c>
      <c r="J471" s="73" t="s">
        <v>2892</v>
      </c>
      <c r="K471" s="75" t="s">
        <v>819</v>
      </c>
      <c r="L471" s="73" t="s">
        <v>819</v>
      </c>
      <c r="M471" s="73" t="s">
        <v>235</v>
      </c>
      <c r="N471" s="73" t="s">
        <v>76</v>
      </c>
      <c r="O471" s="76" t="s">
        <v>77</v>
      </c>
      <c r="P471" s="77">
        <v>15.0</v>
      </c>
      <c r="Q471" s="73"/>
      <c r="R471" s="73" t="s">
        <v>273</v>
      </c>
      <c r="S471" s="73" t="s">
        <v>2893</v>
      </c>
      <c r="T471" s="76">
        <v>0.034</v>
      </c>
      <c r="U471" s="76"/>
      <c r="V471" s="76"/>
      <c r="W471" s="77">
        <v>2009.0</v>
      </c>
      <c r="X471" s="77">
        <v>3.0</v>
      </c>
      <c r="Y471" s="77"/>
      <c r="Z471" s="78"/>
      <c r="AA471" s="78" t="s">
        <v>2894</v>
      </c>
      <c r="AB471" s="78" t="s">
        <v>2894</v>
      </c>
      <c r="AC471" s="73"/>
      <c r="AD471" s="78" t="s">
        <v>2894</v>
      </c>
      <c r="AE471" s="73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</row>
    <row r="472">
      <c r="D472" s="4" t="b">
        <v>1</v>
      </c>
      <c r="E472" s="4" t="s">
        <v>2895</v>
      </c>
      <c r="F472" s="4" t="b">
        <v>0</v>
      </c>
      <c r="G472" s="4" t="b">
        <v>0</v>
      </c>
      <c r="H472" s="16"/>
      <c r="I472" s="16"/>
      <c r="J472" s="16" t="s">
        <v>2896</v>
      </c>
      <c r="K472" s="4" t="s">
        <v>819</v>
      </c>
      <c r="L472" s="16" t="s">
        <v>819</v>
      </c>
      <c r="M472" s="16" t="s">
        <v>60</v>
      </c>
      <c r="N472" s="16" t="s">
        <v>76</v>
      </c>
      <c r="O472" s="2" t="s">
        <v>77</v>
      </c>
      <c r="P472" s="31">
        <v>22.0</v>
      </c>
      <c r="Q472" s="16"/>
      <c r="R472" s="16" t="s">
        <v>2897</v>
      </c>
      <c r="S472" s="16" t="s">
        <v>2898</v>
      </c>
      <c r="T472" s="2">
        <v>2.5</v>
      </c>
      <c r="U472" s="2"/>
      <c r="V472" s="2"/>
      <c r="W472" s="31">
        <v>2010.0</v>
      </c>
      <c r="X472" s="31">
        <v>3.0</v>
      </c>
      <c r="Y472" s="31"/>
      <c r="Z472" s="32"/>
      <c r="AA472" s="32" t="s">
        <v>2899</v>
      </c>
      <c r="AB472" s="32" t="s">
        <v>2900</v>
      </c>
      <c r="AC472" s="16"/>
      <c r="AD472" s="32" t="s">
        <v>2901</v>
      </c>
      <c r="AE472" s="16"/>
    </row>
    <row r="473">
      <c r="D473" s="4" t="b">
        <v>1</v>
      </c>
      <c r="E473" s="4" t="s">
        <v>2902</v>
      </c>
      <c r="F473" s="4" t="b">
        <v>0</v>
      </c>
      <c r="G473" s="4" t="b">
        <v>0</v>
      </c>
      <c r="H473" s="16"/>
      <c r="I473" s="16"/>
      <c r="J473" s="16" t="s">
        <v>2903</v>
      </c>
      <c r="K473" s="4" t="s">
        <v>819</v>
      </c>
      <c r="L473" s="16" t="s">
        <v>819</v>
      </c>
      <c r="M473" s="16" t="s">
        <v>235</v>
      </c>
      <c r="N473" s="16" t="s">
        <v>76</v>
      </c>
      <c r="O473" s="2" t="s">
        <v>77</v>
      </c>
      <c r="P473" s="31">
        <v>50.0</v>
      </c>
      <c r="Q473" s="16"/>
      <c r="R473" s="16" t="s">
        <v>596</v>
      </c>
      <c r="S473" s="16" t="s">
        <v>2904</v>
      </c>
      <c r="T473" s="2">
        <v>0.3</v>
      </c>
      <c r="U473" s="2"/>
      <c r="V473" s="2"/>
      <c r="W473" s="31">
        <v>2012.0</v>
      </c>
      <c r="X473" s="31">
        <v>3.0</v>
      </c>
      <c r="Y473" s="31"/>
      <c r="Z473" s="32"/>
      <c r="AA473" s="32" t="s">
        <v>2905</v>
      </c>
      <c r="AB473" s="32" t="s">
        <v>2906</v>
      </c>
      <c r="AC473" s="16"/>
      <c r="AD473" s="32" t="s">
        <v>2907</v>
      </c>
      <c r="AE473" s="16"/>
    </row>
    <row r="474">
      <c r="D474" s="4" t="b">
        <v>1</v>
      </c>
      <c r="E474" s="4" t="s">
        <v>2908</v>
      </c>
      <c r="F474" s="16"/>
      <c r="G474" s="16"/>
      <c r="H474" s="16"/>
      <c r="I474" s="16"/>
      <c r="J474" s="16" t="s">
        <v>2908</v>
      </c>
      <c r="K474" s="4" t="s">
        <v>819</v>
      </c>
      <c r="L474" s="16" t="s">
        <v>819</v>
      </c>
      <c r="M474" s="16" t="s">
        <v>60</v>
      </c>
      <c r="N474" s="16" t="s">
        <v>76</v>
      </c>
      <c r="O474" s="2" t="s">
        <v>77</v>
      </c>
      <c r="P474" s="16" t="s">
        <v>2909</v>
      </c>
      <c r="Q474" s="16"/>
      <c r="R474" s="16" t="s">
        <v>138</v>
      </c>
      <c r="S474" s="16" t="s">
        <v>2910</v>
      </c>
      <c r="T474" s="2">
        <v>3.9</v>
      </c>
      <c r="U474" s="2"/>
      <c r="V474" s="2"/>
      <c r="W474" s="31">
        <v>2015.0</v>
      </c>
      <c r="X474" s="31">
        <v>3.0</v>
      </c>
      <c r="Y474" s="31"/>
      <c r="Z474" s="32"/>
      <c r="AA474" s="32" t="s">
        <v>2911</v>
      </c>
      <c r="AB474" s="16" t="s">
        <v>275</v>
      </c>
      <c r="AC474" s="16"/>
      <c r="AD474" s="32" t="s">
        <v>2912</v>
      </c>
      <c r="AE474" s="16"/>
    </row>
    <row r="475">
      <c r="A475" s="38"/>
      <c r="B475" s="38"/>
      <c r="C475" s="38"/>
      <c r="D475" s="55" t="b">
        <v>1</v>
      </c>
      <c r="E475" s="55" t="s">
        <v>2913</v>
      </c>
      <c r="F475" s="55"/>
      <c r="G475" s="55"/>
      <c r="H475" s="55"/>
      <c r="I475" s="55"/>
      <c r="J475" s="56" t="s">
        <v>2914</v>
      </c>
      <c r="K475" s="55" t="s">
        <v>819</v>
      </c>
      <c r="L475" s="56" t="s">
        <v>819</v>
      </c>
      <c r="M475" s="56" t="s">
        <v>60</v>
      </c>
      <c r="N475" s="56" t="s">
        <v>76</v>
      </c>
      <c r="O475" s="39" t="s">
        <v>77</v>
      </c>
      <c r="P475" s="58">
        <v>1204.0</v>
      </c>
      <c r="Q475" s="56"/>
      <c r="R475" s="56" t="s">
        <v>138</v>
      </c>
      <c r="S475" s="56" t="s">
        <v>2915</v>
      </c>
      <c r="T475" s="39"/>
      <c r="U475" s="39"/>
      <c r="V475" s="39"/>
      <c r="W475" s="58">
        <v>2015.0</v>
      </c>
      <c r="X475" s="58">
        <v>3.0</v>
      </c>
      <c r="Y475" s="58"/>
      <c r="Z475" s="57"/>
      <c r="AA475" s="57" t="s">
        <v>2916</v>
      </c>
      <c r="AB475" s="56" t="s">
        <v>275</v>
      </c>
      <c r="AC475" s="56"/>
      <c r="AD475" s="57" t="s">
        <v>2917</v>
      </c>
      <c r="AE475" s="56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</row>
    <row r="476">
      <c r="A476" s="38"/>
      <c r="B476" s="38"/>
      <c r="C476" s="38"/>
      <c r="D476" s="55" t="b">
        <v>1</v>
      </c>
      <c r="E476" s="55" t="s">
        <v>2918</v>
      </c>
      <c r="F476" s="56"/>
      <c r="G476" s="56"/>
      <c r="H476" s="56"/>
      <c r="I476" s="55" t="s">
        <v>2461</v>
      </c>
      <c r="J476" s="56" t="s">
        <v>2918</v>
      </c>
      <c r="K476" s="55" t="s">
        <v>819</v>
      </c>
      <c r="L476" s="56" t="s">
        <v>819</v>
      </c>
      <c r="M476" s="56" t="s">
        <v>60</v>
      </c>
      <c r="N476" s="56" t="s">
        <v>76</v>
      </c>
      <c r="O476" s="39" t="s">
        <v>77</v>
      </c>
      <c r="P476" s="56" t="s">
        <v>2919</v>
      </c>
      <c r="Q476" s="56"/>
      <c r="R476" s="56" t="s">
        <v>138</v>
      </c>
      <c r="S476" s="56" t="s">
        <v>2920</v>
      </c>
      <c r="T476" s="39"/>
      <c r="U476" s="39"/>
      <c r="V476" s="39"/>
      <c r="W476" s="58">
        <v>2017.0</v>
      </c>
      <c r="X476" s="58">
        <v>3.0</v>
      </c>
      <c r="Y476" s="58"/>
      <c r="Z476" s="57"/>
      <c r="AA476" s="57" t="s">
        <v>2921</v>
      </c>
      <c r="AB476" s="56" t="s">
        <v>2922</v>
      </c>
      <c r="AC476" s="56"/>
      <c r="AD476" s="57" t="s">
        <v>2923</v>
      </c>
      <c r="AE476" s="56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</row>
    <row r="477">
      <c r="A477" s="22"/>
      <c r="B477" s="22"/>
      <c r="C477" s="22"/>
      <c r="D477" s="25" t="b">
        <v>0</v>
      </c>
      <c r="E477" s="25" t="s">
        <v>2924</v>
      </c>
      <c r="F477" s="24"/>
      <c r="G477" s="25" t="b">
        <v>1</v>
      </c>
      <c r="H477" s="24"/>
      <c r="I477" s="24"/>
      <c r="J477" s="24" t="s">
        <v>2924</v>
      </c>
      <c r="K477" s="25" t="s">
        <v>819</v>
      </c>
      <c r="L477" s="24"/>
      <c r="M477" s="24" t="s">
        <v>200</v>
      </c>
      <c r="N477" s="24" t="s">
        <v>76</v>
      </c>
      <c r="O477" s="23" t="s">
        <v>77</v>
      </c>
      <c r="P477" s="29">
        <v>213.0</v>
      </c>
      <c r="Q477" s="24"/>
      <c r="R477" s="24" t="s">
        <v>37</v>
      </c>
      <c r="S477" s="24" t="s">
        <v>2925</v>
      </c>
      <c r="T477" s="23"/>
      <c r="U477" s="23"/>
      <c r="V477" s="23"/>
      <c r="W477" s="29">
        <v>2019.0</v>
      </c>
      <c r="X477" s="29">
        <v>2.0</v>
      </c>
      <c r="Y477" s="29"/>
      <c r="Z477" s="30"/>
      <c r="AA477" s="30" t="s">
        <v>2926</v>
      </c>
      <c r="AB477" s="30" t="s">
        <v>2927</v>
      </c>
      <c r="AC477" s="24"/>
      <c r="AD477" s="30" t="s">
        <v>2926</v>
      </c>
      <c r="AE477" s="24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</row>
    <row r="478">
      <c r="A478" s="22"/>
      <c r="B478" s="22"/>
      <c r="C478" s="22"/>
      <c r="D478" s="25" t="b">
        <v>1</v>
      </c>
      <c r="E478" s="25" t="s">
        <v>2928</v>
      </c>
      <c r="F478" s="24"/>
      <c r="G478" s="24"/>
      <c r="H478" s="24"/>
      <c r="I478" s="25" t="s">
        <v>2929</v>
      </c>
      <c r="J478" s="24" t="s">
        <v>2930</v>
      </c>
      <c r="K478" s="25" t="s">
        <v>819</v>
      </c>
      <c r="L478" s="24" t="s">
        <v>2931</v>
      </c>
      <c r="M478" s="24" t="s">
        <v>200</v>
      </c>
      <c r="N478" s="24" t="s">
        <v>34</v>
      </c>
      <c r="O478" s="25" t="s">
        <v>167</v>
      </c>
      <c r="P478" s="29">
        <v>331.0</v>
      </c>
      <c r="Q478" s="24"/>
      <c r="R478" s="24" t="s">
        <v>195</v>
      </c>
      <c r="S478" s="24" t="s">
        <v>2932</v>
      </c>
      <c r="T478" s="23"/>
      <c r="U478" s="23"/>
      <c r="V478" s="23"/>
      <c r="W478" s="29">
        <v>2019.0</v>
      </c>
      <c r="X478" s="29">
        <v>2.0</v>
      </c>
      <c r="Y478" s="29"/>
      <c r="Z478" s="30"/>
      <c r="AA478" s="30" t="s">
        <v>2933</v>
      </c>
      <c r="AB478" s="30" t="s">
        <v>2934</v>
      </c>
      <c r="AC478" s="24"/>
      <c r="AD478" s="30" t="s">
        <v>2933</v>
      </c>
      <c r="AE478" s="24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</row>
    <row r="479">
      <c r="A479" s="38"/>
      <c r="B479" s="38"/>
      <c r="C479" s="38"/>
      <c r="D479" s="55" t="b">
        <v>1</v>
      </c>
      <c r="E479" s="39" t="s">
        <v>2928</v>
      </c>
      <c r="F479" s="39"/>
      <c r="G479" s="39"/>
      <c r="H479" s="39"/>
      <c r="I479" s="39" t="s">
        <v>2461</v>
      </c>
      <c r="J479" s="56" t="s">
        <v>2935</v>
      </c>
      <c r="K479" s="55" t="s">
        <v>819</v>
      </c>
      <c r="L479" s="56" t="s">
        <v>2931</v>
      </c>
      <c r="M479" s="56" t="s">
        <v>200</v>
      </c>
      <c r="N479" s="56" t="s">
        <v>34</v>
      </c>
      <c r="O479" s="55" t="s">
        <v>167</v>
      </c>
      <c r="P479" s="58">
        <v>331.0</v>
      </c>
      <c r="Q479" s="56"/>
      <c r="R479" s="56" t="s">
        <v>45</v>
      </c>
      <c r="S479" s="56" t="s">
        <v>2932</v>
      </c>
      <c r="T479" s="39"/>
      <c r="U479" s="39"/>
      <c r="V479" s="39"/>
      <c r="W479" s="58">
        <v>2019.0</v>
      </c>
      <c r="X479" s="58">
        <v>2.0</v>
      </c>
      <c r="Y479" s="58"/>
      <c r="Z479" s="57"/>
      <c r="AA479" s="57" t="s">
        <v>2933</v>
      </c>
      <c r="AB479" s="57" t="s">
        <v>2934</v>
      </c>
      <c r="AC479" s="56"/>
      <c r="AD479" s="57" t="s">
        <v>2933</v>
      </c>
      <c r="AE479" s="56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</row>
    <row r="480">
      <c r="A480" s="38"/>
      <c r="B480" s="38"/>
      <c r="C480" s="38"/>
      <c r="D480" s="55" t="b">
        <v>1</v>
      </c>
      <c r="E480" s="39" t="s">
        <v>2936</v>
      </c>
      <c r="F480" s="38"/>
      <c r="G480" s="38"/>
      <c r="H480" s="38"/>
      <c r="I480" s="38"/>
      <c r="J480" s="56" t="s">
        <v>2936</v>
      </c>
      <c r="K480" s="55" t="s">
        <v>819</v>
      </c>
      <c r="L480" s="56" t="s">
        <v>819</v>
      </c>
      <c r="M480" s="56" t="s">
        <v>60</v>
      </c>
      <c r="N480" s="56" t="s">
        <v>76</v>
      </c>
      <c r="O480" s="39" t="s">
        <v>77</v>
      </c>
      <c r="P480" s="58">
        <v>300.0</v>
      </c>
      <c r="Q480" s="56"/>
      <c r="R480" s="56" t="s">
        <v>138</v>
      </c>
      <c r="S480" s="56" t="s">
        <v>2937</v>
      </c>
      <c r="T480" s="39"/>
      <c r="U480" s="39"/>
      <c r="V480" s="39"/>
      <c r="W480" s="58">
        <v>2019.0</v>
      </c>
      <c r="X480" s="58">
        <v>3.0</v>
      </c>
      <c r="Y480" s="58"/>
      <c r="Z480" s="57"/>
      <c r="AA480" s="57" t="s">
        <v>2938</v>
      </c>
      <c r="AB480" s="57" t="s">
        <v>2939</v>
      </c>
      <c r="AC480" s="56"/>
      <c r="AD480" s="57" t="s">
        <v>2940</v>
      </c>
      <c r="AE480" s="56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</row>
    <row r="481">
      <c r="A481" s="17"/>
      <c r="B481" s="17"/>
      <c r="C481" s="17"/>
      <c r="D481" s="19" t="b">
        <v>1</v>
      </c>
      <c r="E481" s="18" t="s">
        <v>2941</v>
      </c>
      <c r="F481" s="17"/>
      <c r="G481" s="17"/>
      <c r="H481" s="17"/>
      <c r="I481" s="17"/>
      <c r="J481" s="52" t="s">
        <v>2942</v>
      </c>
      <c r="K481" s="19" t="s">
        <v>819</v>
      </c>
      <c r="L481" s="52" t="s">
        <v>819</v>
      </c>
      <c r="M481" s="52" t="s">
        <v>75</v>
      </c>
      <c r="N481" s="52" t="s">
        <v>76</v>
      </c>
      <c r="O481" s="18" t="s">
        <v>77</v>
      </c>
      <c r="P481" s="52" t="s">
        <v>2943</v>
      </c>
      <c r="Q481" s="52"/>
      <c r="R481" s="52" t="s">
        <v>63</v>
      </c>
      <c r="S481" s="52" t="s">
        <v>2944</v>
      </c>
      <c r="T481" s="18">
        <v>5.0</v>
      </c>
      <c r="U481" s="18"/>
      <c r="V481" s="18"/>
      <c r="W481" s="54">
        <v>2019.0</v>
      </c>
      <c r="X481" s="54">
        <v>3.0</v>
      </c>
      <c r="Y481" s="54"/>
      <c r="Z481" s="53"/>
      <c r="AA481" s="53" t="s">
        <v>2945</v>
      </c>
      <c r="AB481" s="53" t="s">
        <v>2946</v>
      </c>
      <c r="AC481" s="52"/>
      <c r="AD481" s="53" t="s">
        <v>2947</v>
      </c>
      <c r="AE481" s="52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</row>
    <row r="482">
      <c r="A482" s="22"/>
      <c r="B482" s="22"/>
      <c r="C482" s="22"/>
      <c r="D482" s="23" t="b">
        <v>0</v>
      </c>
      <c r="E482" s="23"/>
      <c r="F482" s="22"/>
      <c r="G482" s="22"/>
      <c r="H482" s="25" t="b">
        <v>1</v>
      </c>
      <c r="I482" s="23" t="s">
        <v>2948</v>
      </c>
      <c r="J482" s="23" t="s">
        <v>2949</v>
      </c>
      <c r="K482" s="23" t="s">
        <v>32</v>
      </c>
      <c r="L482" s="23" t="s">
        <v>572</v>
      </c>
      <c r="M482" s="22" t="s">
        <v>60</v>
      </c>
      <c r="N482" s="22" t="s">
        <v>2950</v>
      </c>
      <c r="O482" s="22" t="s">
        <v>2951</v>
      </c>
      <c r="P482" s="22" t="s">
        <v>2952</v>
      </c>
      <c r="Q482" s="22" t="s">
        <v>2953</v>
      </c>
      <c r="R482" s="22" t="s">
        <v>79</v>
      </c>
      <c r="S482" s="22"/>
      <c r="T482" s="22"/>
      <c r="U482" s="22"/>
      <c r="V482" s="22"/>
      <c r="W482" s="22">
        <v>2023.0</v>
      </c>
      <c r="X482" s="22" t="s">
        <v>331</v>
      </c>
      <c r="Y482" s="22"/>
      <c r="Z482" s="23"/>
      <c r="AA482" s="28" t="s">
        <v>2954</v>
      </c>
      <c r="AB482" s="22"/>
      <c r="AC482" s="22" t="s">
        <v>2955</v>
      </c>
      <c r="AD482" s="22" t="s">
        <v>2954</v>
      </c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</row>
    <row r="483">
      <c r="A483" s="22"/>
      <c r="B483" s="22"/>
      <c r="C483" s="22"/>
      <c r="D483" s="23" t="b">
        <v>0</v>
      </c>
      <c r="E483" s="22"/>
      <c r="F483" s="22"/>
      <c r="G483" s="25" t="b">
        <v>1</v>
      </c>
      <c r="H483" s="22"/>
      <c r="I483" s="23"/>
      <c r="J483" s="23" t="s">
        <v>2956</v>
      </c>
      <c r="K483" s="23" t="s">
        <v>32</v>
      </c>
      <c r="L483" s="23" t="s">
        <v>572</v>
      </c>
      <c r="M483" s="22" t="s">
        <v>60</v>
      </c>
      <c r="N483" s="22" t="s">
        <v>2957</v>
      </c>
      <c r="O483" s="22" t="s">
        <v>2958</v>
      </c>
      <c r="P483" s="22" t="s">
        <v>2959</v>
      </c>
      <c r="Q483" s="22"/>
      <c r="R483" s="22" t="s">
        <v>697</v>
      </c>
      <c r="S483" s="22"/>
      <c r="T483" s="22"/>
      <c r="U483" s="22"/>
      <c r="V483" s="22"/>
      <c r="W483" s="22">
        <v>2019.0</v>
      </c>
      <c r="X483" s="22" t="s">
        <v>331</v>
      </c>
      <c r="Y483" s="22" t="s">
        <v>699</v>
      </c>
      <c r="Z483" s="23"/>
      <c r="AA483" s="27" t="s">
        <v>2960</v>
      </c>
      <c r="AB483" s="22"/>
      <c r="AC483" s="22" t="s">
        <v>2961</v>
      </c>
      <c r="AD483" s="22" t="s">
        <v>2960</v>
      </c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</row>
    <row r="484">
      <c r="A484" s="38"/>
      <c r="B484" s="38"/>
      <c r="C484" s="38"/>
      <c r="D484" s="39" t="b">
        <v>1</v>
      </c>
      <c r="E484" s="38"/>
      <c r="F484" s="38"/>
      <c r="G484" s="38"/>
      <c r="H484" s="38"/>
      <c r="I484" s="38"/>
      <c r="J484" s="39" t="s">
        <v>2962</v>
      </c>
      <c r="K484" s="39" t="s">
        <v>32</v>
      </c>
      <c r="L484" s="39" t="s">
        <v>572</v>
      </c>
      <c r="M484" s="38" t="s">
        <v>33</v>
      </c>
      <c r="N484" s="38" t="s">
        <v>76</v>
      </c>
      <c r="O484" s="38" t="s">
        <v>2963</v>
      </c>
      <c r="P484" s="38" t="s">
        <v>2964</v>
      </c>
      <c r="Q484" s="38">
        <v>243324.0</v>
      </c>
      <c r="R484" s="38" t="s">
        <v>670</v>
      </c>
      <c r="S484" s="38"/>
      <c r="T484" s="38"/>
      <c r="U484" s="38"/>
      <c r="V484" s="38"/>
      <c r="W484" s="38">
        <v>2021.0</v>
      </c>
      <c r="X484" s="38" t="s">
        <v>343</v>
      </c>
      <c r="Y484" s="38" t="s">
        <v>2965</v>
      </c>
      <c r="Z484" s="39"/>
      <c r="AA484" s="40" t="s">
        <v>2966</v>
      </c>
      <c r="AB484" s="38"/>
      <c r="AC484" s="38" t="s">
        <v>673</v>
      </c>
      <c r="AD484" s="38" t="s">
        <v>2966</v>
      </c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</row>
    <row r="485">
      <c r="A485" s="74"/>
      <c r="B485" s="74"/>
      <c r="C485" s="74"/>
      <c r="D485" s="76" t="b">
        <v>0</v>
      </c>
      <c r="E485" s="76"/>
      <c r="F485" s="74"/>
      <c r="G485" s="74"/>
      <c r="H485" s="75" t="b">
        <v>1</v>
      </c>
      <c r="I485" s="76" t="s">
        <v>2967</v>
      </c>
      <c r="J485" s="76" t="s">
        <v>2968</v>
      </c>
      <c r="K485" s="76" t="s">
        <v>32</v>
      </c>
      <c r="L485" s="76" t="s">
        <v>572</v>
      </c>
      <c r="M485" s="74" t="s">
        <v>60</v>
      </c>
      <c r="N485" s="74" t="s">
        <v>2969</v>
      </c>
      <c r="O485" s="74" t="s">
        <v>2970</v>
      </c>
      <c r="P485" s="74" t="s">
        <v>2971</v>
      </c>
      <c r="Q485" s="74"/>
      <c r="R485" s="74" t="s">
        <v>688</v>
      </c>
      <c r="S485" s="74"/>
      <c r="T485" s="74"/>
      <c r="U485" s="74"/>
      <c r="V485" s="74"/>
      <c r="W485" s="74">
        <v>2010.0</v>
      </c>
      <c r="X485" s="74" t="s">
        <v>690</v>
      </c>
      <c r="Y485" s="74" t="s">
        <v>2972</v>
      </c>
      <c r="Z485" s="76"/>
      <c r="AA485" s="98" t="s">
        <v>2973</v>
      </c>
      <c r="AB485" s="74"/>
      <c r="AC485" s="74" t="s">
        <v>693</v>
      </c>
      <c r="AD485" s="74" t="s">
        <v>2973</v>
      </c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</row>
    <row r="486">
      <c r="A486" s="74"/>
      <c r="B486" s="74"/>
      <c r="C486" s="74"/>
      <c r="D486" s="76" t="b">
        <v>0</v>
      </c>
      <c r="E486" s="74"/>
      <c r="F486" s="74"/>
      <c r="G486" s="74"/>
      <c r="H486" s="75" t="b">
        <v>1</v>
      </c>
      <c r="I486" s="76" t="s">
        <v>2967</v>
      </c>
      <c r="J486" s="76" t="s">
        <v>2974</v>
      </c>
      <c r="K486" s="76" t="s">
        <v>32</v>
      </c>
      <c r="L486" s="76" t="s">
        <v>572</v>
      </c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6"/>
      <c r="AA486" s="98" t="s">
        <v>2975</v>
      </c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</row>
    <row r="487">
      <c r="D487" s="4" t="b">
        <v>1</v>
      </c>
      <c r="E487" s="2" t="s">
        <v>2976</v>
      </c>
      <c r="J487" s="16" t="s">
        <v>2976</v>
      </c>
      <c r="K487" s="4" t="s">
        <v>819</v>
      </c>
      <c r="L487" s="16" t="s">
        <v>819</v>
      </c>
      <c r="M487" s="16" t="s">
        <v>60</v>
      </c>
      <c r="N487" s="16" t="s">
        <v>76</v>
      </c>
      <c r="O487" s="2" t="s">
        <v>77</v>
      </c>
      <c r="P487" s="31">
        <v>80.0</v>
      </c>
      <c r="Q487" s="16"/>
      <c r="R487" s="16" t="s">
        <v>2977</v>
      </c>
      <c r="S487" s="16" t="s">
        <v>2978</v>
      </c>
      <c r="T487" s="2">
        <v>10.7</v>
      </c>
      <c r="U487" s="2"/>
      <c r="V487" s="2"/>
      <c r="W487" s="31">
        <v>2020.0</v>
      </c>
      <c r="X487" s="31">
        <v>3.0</v>
      </c>
      <c r="Y487" s="31"/>
      <c r="Z487" s="32"/>
      <c r="AA487" s="33" t="s">
        <v>2979</v>
      </c>
      <c r="AB487" s="16" t="s">
        <v>221</v>
      </c>
      <c r="AC487" s="16"/>
      <c r="AD487" s="32" t="s">
        <v>2979</v>
      </c>
      <c r="AE487" s="16"/>
    </row>
    <row r="488">
      <c r="D488" s="4" t="b">
        <v>1</v>
      </c>
      <c r="E488" s="2" t="s">
        <v>2980</v>
      </c>
      <c r="J488" s="16" t="s">
        <v>2980</v>
      </c>
      <c r="K488" s="4" t="s">
        <v>819</v>
      </c>
      <c r="L488" s="16" t="s">
        <v>819</v>
      </c>
      <c r="M488" s="16" t="s">
        <v>235</v>
      </c>
      <c r="N488" s="16" t="s">
        <v>76</v>
      </c>
      <c r="O488" s="2" t="s">
        <v>77</v>
      </c>
      <c r="P488" s="31">
        <v>30.0</v>
      </c>
      <c r="Q488" s="16"/>
      <c r="R488" s="16" t="s">
        <v>63</v>
      </c>
      <c r="S488" s="16" t="s">
        <v>2981</v>
      </c>
      <c r="T488" s="2">
        <v>1.82</v>
      </c>
      <c r="U488" s="2"/>
      <c r="V488" s="2"/>
      <c r="W488" s="31">
        <v>2020.0</v>
      </c>
      <c r="X488" s="31">
        <v>3.0</v>
      </c>
      <c r="Y488" s="31"/>
      <c r="Z488" s="32"/>
      <c r="AA488" s="32" t="s">
        <v>2982</v>
      </c>
      <c r="AB488" s="16"/>
      <c r="AC488" s="16"/>
      <c r="AD488" s="32" t="s">
        <v>2982</v>
      </c>
      <c r="AE488" s="16"/>
    </row>
    <row r="489">
      <c r="A489" s="38"/>
      <c r="B489" s="38"/>
      <c r="C489" s="38"/>
      <c r="D489" s="55" t="b">
        <v>1</v>
      </c>
      <c r="E489" s="39" t="s">
        <v>2983</v>
      </c>
      <c r="F489" s="38"/>
      <c r="G489" s="38"/>
      <c r="H489" s="38"/>
      <c r="I489" s="38"/>
      <c r="J489" s="56" t="s">
        <v>2983</v>
      </c>
      <c r="K489" s="55" t="s">
        <v>819</v>
      </c>
      <c r="L489" s="56" t="s">
        <v>819</v>
      </c>
      <c r="M489" s="56" t="s">
        <v>60</v>
      </c>
      <c r="N489" s="56" t="s">
        <v>76</v>
      </c>
      <c r="O489" s="39" t="s">
        <v>77</v>
      </c>
      <c r="P489" s="58">
        <v>400.0</v>
      </c>
      <c r="Q489" s="56"/>
      <c r="R489" s="56" t="s">
        <v>138</v>
      </c>
      <c r="S489" s="56" t="s">
        <v>2937</v>
      </c>
      <c r="T489" s="39"/>
      <c r="U489" s="39"/>
      <c r="V489" s="39"/>
      <c r="W489" s="58">
        <v>2021.0</v>
      </c>
      <c r="X489" s="58">
        <v>3.0</v>
      </c>
      <c r="Y489" s="58"/>
      <c r="Z489" s="57"/>
      <c r="AA489" s="57" t="s">
        <v>2984</v>
      </c>
      <c r="AB489" s="57" t="s">
        <v>2985</v>
      </c>
      <c r="AC489" s="56"/>
      <c r="AD489" s="57" t="s">
        <v>2986</v>
      </c>
      <c r="AE489" s="56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</row>
    <row r="490">
      <c r="D490" s="4" t="b">
        <v>1</v>
      </c>
      <c r="E490" s="2" t="s">
        <v>2987</v>
      </c>
      <c r="J490" s="16" t="s">
        <v>2988</v>
      </c>
      <c r="K490" s="4" t="s">
        <v>819</v>
      </c>
      <c r="L490" s="16" t="s">
        <v>819</v>
      </c>
      <c r="M490" s="16" t="s">
        <v>60</v>
      </c>
      <c r="N490" s="16" t="s">
        <v>76</v>
      </c>
      <c r="O490" s="2" t="s">
        <v>77</v>
      </c>
      <c r="P490" s="16" t="s">
        <v>2989</v>
      </c>
      <c r="Q490" s="16"/>
      <c r="R490" s="16" t="s">
        <v>138</v>
      </c>
      <c r="S490" s="16" t="s">
        <v>820</v>
      </c>
      <c r="T490" s="2"/>
      <c r="U490" s="2"/>
      <c r="V490" s="2"/>
      <c r="W490" s="31">
        <v>2021.0</v>
      </c>
      <c r="X490" s="31">
        <v>3.0</v>
      </c>
      <c r="Y490" s="31"/>
      <c r="Z490" s="32"/>
      <c r="AA490" s="32" t="s">
        <v>2990</v>
      </c>
      <c r="AB490" s="32" t="s">
        <v>2991</v>
      </c>
      <c r="AC490" s="16"/>
      <c r="AD490" s="32" t="s">
        <v>2992</v>
      </c>
      <c r="AE490" s="16"/>
    </row>
    <row r="491">
      <c r="D491" s="4" t="b">
        <v>1</v>
      </c>
      <c r="E491" s="2" t="s">
        <v>2993</v>
      </c>
      <c r="J491" s="16" t="s">
        <v>2993</v>
      </c>
      <c r="K491" s="4" t="s">
        <v>819</v>
      </c>
      <c r="L491" s="16" t="s">
        <v>819</v>
      </c>
      <c r="M491" s="16" t="s">
        <v>60</v>
      </c>
      <c r="N491" s="16" t="s">
        <v>76</v>
      </c>
      <c r="O491" s="2" t="s">
        <v>77</v>
      </c>
      <c r="P491" s="31">
        <v>50.0</v>
      </c>
      <c r="Q491" s="16"/>
      <c r="R491" s="16" t="s">
        <v>138</v>
      </c>
      <c r="S491" s="16" t="s">
        <v>2994</v>
      </c>
      <c r="U491" s="2"/>
      <c r="V491" s="2" t="s">
        <v>1151</v>
      </c>
      <c r="W491" s="31">
        <v>2021.0</v>
      </c>
      <c r="X491" s="31">
        <v>3.0</v>
      </c>
      <c r="Y491" s="31"/>
      <c r="Z491" s="32"/>
      <c r="AA491" s="32" t="s">
        <v>2995</v>
      </c>
      <c r="AB491" s="32" t="s">
        <v>2996</v>
      </c>
      <c r="AC491" s="4" t="s">
        <v>72</v>
      </c>
      <c r="AD491" s="65" t="s">
        <v>2997</v>
      </c>
      <c r="AE491" s="16"/>
    </row>
    <row r="492">
      <c r="A492" s="38"/>
      <c r="B492" s="38"/>
      <c r="C492" s="38"/>
      <c r="D492" s="55" t="b">
        <v>1</v>
      </c>
      <c r="E492" s="39" t="s">
        <v>2998</v>
      </c>
      <c r="F492" s="38"/>
      <c r="G492" s="38"/>
      <c r="H492" s="38"/>
      <c r="I492" s="38"/>
      <c r="J492" s="56" t="s">
        <v>2998</v>
      </c>
      <c r="K492" s="55" t="s">
        <v>819</v>
      </c>
      <c r="L492" s="56" t="s">
        <v>819</v>
      </c>
      <c r="M492" s="56" t="s">
        <v>60</v>
      </c>
      <c r="N492" s="56" t="s">
        <v>2999</v>
      </c>
      <c r="O492" s="39" t="s">
        <v>77</v>
      </c>
      <c r="P492" s="58">
        <v>90.0</v>
      </c>
      <c r="Q492" s="56"/>
      <c r="R492" s="56" t="s">
        <v>138</v>
      </c>
      <c r="S492" s="56" t="s">
        <v>3000</v>
      </c>
      <c r="T492" s="39"/>
      <c r="U492" s="39"/>
      <c r="V492" s="39"/>
      <c r="W492" s="58">
        <v>2021.0</v>
      </c>
      <c r="X492" s="58">
        <v>3.0</v>
      </c>
      <c r="Y492" s="58"/>
      <c r="Z492" s="57"/>
      <c r="AA492" s="57" t="s">
        <v>3001</v>
      </c>
      <c r="AB492" s="57" t="s">
        <v>3002</v>
      </c>
      <c r="AC492" s="56"/>
      <c r="AD492" s="57" t="s">
        <v>3003</v>
      </c>
      <c r="AE492" s="56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</row>
    <row r="493">
      <c r="A493" s="38"/>
      <c r="B493" s="38"/>
      <c r="C493" s="38"/>
      <c r="D493" s="55" t="b">
        <v>1</v>
      </c>
      <c r="E493" s="39" t="s">
        <v>3004</v>
      </c>
      <c r="F493" s="38"/>
      <c r="G493" s="38"/>
      <c r="H493" s="38"/>
      <c r="I493" s="38"/>
      <c r="J493" s="56" t="s">
        <v>3004</v>
      </c>
      <c r="K493" s="55" t="s">
        <v>819</v>
      </c>
      <c r="L493" s="56" t="s">
        <v>819</v>
      </c>
      <c r="M493" s="56" t="s">
        <v>60</v>
      </c>
      <c r="N493" s="56" t="s">
        <v>76</v>
      </c>
      <c r="O493" s="39" t="s">
        <v>77</v>
      </c>
      <c r="P493" s="56" t="s">
        <v>3005</v>
      </c>
      <c r="Q493" s="56"/>
      <c r="R493" s="56" t="s">
        <v>138</v>
      </c>
      <c r="S493" s="56" t="s">
        <v>3006</v>
      </c>
      <c r="T493" s="38"/>
      <c r="U493" s="39"/>
      <c r="V493" s="39"/>
      <c r="W493" s="58">
        <v>2021.0</v>
      </c>
      <c r="X493" s="58">
        <v>3.0</v>
      </c>
      <c r="Y493" s="58"/>
      <c r="Z493" s="57"/>
      <c r="AA493" s="57" t="s">
        <v>3007</v>
      </c>
      <c r="AB493" s="57" t="s">
        <v>3008</v>
      </c>
      <c r="AC493" s="56"/>
      <c r="AD493" s="57" t="s">
        <v>3007</v>
      </c>
      <c r="AE493" s="56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</row>
    <row r="494">
      <c r="A494" s="74"/>
      <c r="B494" s="74"/>
      <c r="C494" s="74"/>
      <c r="D494" s="73" t="b">
        <v>0</v>
      </c>
      <c r="E494" s="74"/>
      <c r="F494" s="74"/>
      <c r="G494" s="74"/>
      <c r="H494" s="75" t="b">
        <v>1</v>
      </c>
      <c r="I494" s="76" t="s">
        <v>3009</v>
      </c>
      <c r="J494" s="73" t="s">
        <v>3010</v>
      </c>
      <c r="K494" s="75" t="s">
        <v>819</v>
      </c>
      <c r="L494" s="73" t="s">
        <v>3011</v>
      </c>
      <c r="M494" s="73" t="s">
        <v>200</v>
      </c>
      <c r="N494" s="73" t="s">
        <v>34</v>
      </c>
      <c r="O494" s="75" t="s">
        <v>167</v>
      </c>
      <c r="P494" s="77">
        <v>119828.0</v>
      </c>
      <c r="Q494" s="73"/>
      <c r="R494" s="73" t="s">
        <v>37</v>
      </c>
      <c r="S494" s="73" t="s">
        <v>3012</v>
      </c>
      <c r="T494" s="76"/>
      <c r="U494" s="76"/>
      <c r="V494" s="76"/>
      <c r="W494" s="77">
        <v>2022.0</v>
      </c>
      <c r="X494" s="77">
        <v>2.0</v>
      </c>
      <c r="Y494" s="77"/>
      <c r="Z494" s="78"/>
      <c r="AA494" s="78" t="s">
        <v>3013</v>
      </c>
      <c r="AB494" s="78" t="s">
        <v>3013</v>
      </c>
      <c r="AC494" s="73"/>
      <c r="AD494" s="78" t="s">
        <v>3014</v>
      </c>
      <c r="AE494" s="73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</row>
    <row r="495">
      <c r="A495" s="22"/>
      <c r="B495" s="22"/>
      <c r="C495" s="22"/>
      <c r="D495" s="24" t="b">
        <v>0</v>
      </c>
      <c r="E495" s="22"/>
      <c r="F495" s="22"/>
      <c r="G495" s="25" t="b">
        <v>1</v>
      </c>
      <c r="H495" s="22"/>
      <c r="I495" s="22"/>
      <c r="J495" s="24" t="s">
        <v>3015</v>
      </c>
      <c r="K495" s="25" t="s">
        <v>819</v>
      </c>
      <c r="L495" s="24" t="s">
        <v>819</v>
      </c>
      <c r="M495" s="24" t="s">
        <v>60</v>
      </c>
      <c r="N495" s="24" t="s">
        <v>76</v>
      </c>
      <c r="O495" s="23" t="s">
        <v>77</v>
      </c>
      <c r="P495" s="29">
        <v>4500.0</v>
      </c>
      <c r="Q495" s="24"/>
      <c r="R495" s="24" t="s">
        <v>138</v>
      </c>
      <c r="S495" s="24" t="s">
        <v>3016</v>
      </c>
      <c r="T495" s="23"/>
      <c r="U495" s="23"/>
      <c r="V495" s="23"/>
      <c r="W495" s="29">
        <v>2022.0</v>
      </c>
      <c r="X495" s="29">
        <v>3.0</v>
      </c>
      <c r="Y495" s="29"/>
      <c r="Z495" s="30"/>
      <c r="AA495" s="30" t="s">
        <v>3017</v>
      </c>
      <c r="AB495" s="24" t="s">
        <v>275</v>
      </c>
      <c r="AC495" s="24"/>
      <c r="AD495" s="30" t="s">
        <v>3018</v>
      </c>
      <c r="AE495" s="24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</row>
    <row r="496">
      <c r="A496" s="38"/>
      <c r="B496" s="38"/>
      <c r="C496" s="38"/>
      <c r="D496" s="55" t="b">
        <v>1</v>
      </c>
      <c r="E496" s="39" t="s">
        <v>3019</v>
      </c>
      <c r="F496" s="38"/>
      <c r="G496" s="38"/>
      <c r="H496" s="38"/>
      <c r="I496" s="39" t="s">
        <v>96</v>
      </c>
      <c r="J496" s="56" t="s">
        <v>3020</v>
      </c>
      <c r="K496" s="55" t="s">
        <v>819</v>
      </c>
      <c r="L496" s="56" t="s">
        <v>3021</v>
      </c>
      <c r="M496" s="56" t="s">
        <v>235</v>
      </c>
      <c r="N496" s="56" t="s">
        <v>76</v>
      </c>
      <c r="O496" s="39" t="s">
        <v>77</v>
      </c>
      <c r="P496" s="58">
        <v>38496.0</v>
      </c>
      <c r="Q496" s="56"/>
      <c r="R496" s="56" t="s">
        <v>138</v>
      </c>
      <c r="S496" s="56" t="s">
        <v>3022</v>
      </c>
      <c r="T496" s="39"/>
      <c r="U496" s="39"/>
      <c r="V496" s="39"/>
      <c r="W496" s="58">
        <v>2022.0</v>
      </c>
      <c r="X496" s="58">
        <v>2.0</v>
      </c>
      <c r="Y496" s="58"/>
      <c r="Z496" s="57"/>
      <c r="AA496" s="57" t="s">
        <v>3023</v>
      </c>
      <c r="AB496" s="56" t="s">
        <v>275</v>
      </c>
      <c r="AC496" s="56"/>
      <c r="AD496" s="57" t="s">
        <v>3023</v>
      </c>
      <c r="AE496" s="56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</row>
    <row r="497">
      <c r="A497" s="38"/>
      <c r="B497" s="38"/>
      <c r="C497" s="38"/>
      <c r="D497" s="55" t="b">
        <v>1</v>
      </c>
      <c r="E497" s="39" t="s">
        <v>3024</v>
      </c>
      <c r="F497" s="38"/>
      <c r="G497" s="38"/>
      <c r="H497" s="38"/>
      <c r="I497" s="38"/>
      <c r="J497" s="56" t="s">
        <v>3024</v>
      </c>
      <c r="K497" s="55" t="s">
        <v>819</v>
      </c>
      <c r="L497" s="56" t="s">
        <v>819</v>
      </c>
      <c r="M497" s="56" t="s">
        <v>283</v>
      </c>
      <c r="N497" s="56" t="s">
        <v>76</v>
      </c>
      <c r="O497" s="39" t="s">
        <v>77</v>
      </c>
      <c r="P497" s="56" t="s">
        <v>3025</v>
      </c>
      <c r="Q497" s="56"/>
      <c r="R497" s="56" t="s">
        <v>138</v>
      </c>
      <c r="S497" s="56" t="s">
        <v>3026</v>
      </c>
      <c r="T497" s="39"/>
      <c r="U497" s="39"/>
      <c r="V497" s="39"/>
      <c r="W497" s="58">
        <v>2022.0</v>
      </c>
      <c r="X497" s="58">
        <v>3.0</v>
      </c>
      <c r="Y497" s="58"/>
      <c r="Z497" s="57"/>
      <c r="AA497" s="57" t="s">
        <v>3027</v>
      </c>
      <c r="AB497" s="57" t="s">
        <v>3028</v>
      </c>
      <c r="AC497" s="56"/>
      <c r="AD497" s="57" t="s">
        <v>3027</v>
      </c>
      <c r="AE497" s="56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</row>
    <row r="498">
      <c r="A498" s="38"/>
      <c r="B498" s="38"/>
      <c r="C498" s="38"/>
      <c r="D498" s="55" t="b">
        <v>1</v>
      </c>
      <c r="E498" s="39" t="s">
        <v>3029</v>
      </c>
      <c r="F498" s="38"/>
      <c r="G498" s="38"/>
      <c r="H498" s="38"/>
      <c r="I498" s="38"/>
      <c r="J498" s="56" t="s">
        <v>3029</v>
      </c>
      <c r="K498" s="55" t="s">
        <v>819</v>
      </c>
      <c r="L498" s="56" t="s">
        <v>2931</v>
      </c>
      <c r="M498" s="56" t="s">
        <v>301</v>
      </c>
      <c r="N498" s="56" t="s">
        <v>76</v>
      </c>
      <c r="O498" s="39" t="s">
        <v>77</v>
      </c>
      <c r="P498" s="58">
        <v>203.0</v>
      </c>
      <c r="Q498" s="56"/>
      <c r="R498" s="56" t="s">
        <v>2888</v>
      </c>
      <c r="S498" s="56" t="s">
        <v>3030</v>
      </c>
      <c r="T498" s="39" t="s">
        <v>1411</v>
      </c>
      <c r="U498" s="39"/>
      <c r="V498" s="39"/>
      <c r="W498" s="58">
        <v>2022.0</v>
      </c>
      <c r="X498" s="58">
        <v>2.0</v>
      </c>
      <c r="Y498" s="58"/>
      <c r="Z498" s="57"/>
      <c r="AA498" s="57" t="s">
        <v>3031</v>
      </c>
      <c r="AB498" s="57" t="s">
        <v>3032</v>
      </c>
      <c r="AC498" s="56"/>
      <c r="AD498" s="57" t="s">
        <v>3031</v>
      </c>
      <c r="AE498" s="56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</row>
    <row r="499">
      <c r="A499" s="17"/>
      <c r="B499" s="17"/>
      <c r="C499" s="17"/>
      <c r="D499" s="19" t="b">
        <v>1</v>
      </c>
      <c r="E499" s="18" t="s">
        <v>3033</v>
      </c>
      <c r="F499" s="17"/>
      <c r="G499" s="17"/>
      <c r="H499" s="17"/>
      <c r="I499" s="17"/>
      <c r="J499" s="52" t="s">
        <v>3034</v>
      </c>
      <c r="K499" s="19" t="s">
        <v>819</v>
      </c>
      <c r="L499" s="52" t="s">
        <v>819</v>
      </c>
      <c r="M499" s="52" t="s">
        <v>75</v>
      </c>
      <c r="N499" s="52" t="s">
        <v>76</v>
      </c>
      <c r="O499" s="18" t="s">
        <v>77</v>
      </c>
      <c r="P499" s="52" t="s">
        <v>3035</v>
      </c>
      <c r="Q499" s="52"/>
      <c r="R499" s="52" t="s">
        <v>138</v>
      </c>
      <c r="S499" s="52" t="s">
        <v>3036</v>
      </c>
      <c r="T499" s="18"/>
      <c r="U499" s="18"/>
      <c r="V499" s="18"/>
      <c r="W499" s="54">
        <v>2022.0</v>
      </c>
      <c r="X499" s="54">
        <v>3.0</v>
      </c>
      <c r="Y499" s="54"/>
      <c r="Z499" s="53"/>
      <c r="AA499" s="53" t="s">
        <v>3037</v>
      </c>
      <c r="AB499" s="53" t="s">
        <v>3038</v>
      </c>
      <c r="AC499" s="52"/>
      <c r="AD499" s="53" t="s">
        <v>3039</v>
      </c>
      <c r="AE499" s="52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</row>
    <row r="500">
      <c r="A500" s="38"/>
      <c r="B500" s="38"/>
      <c r="C500" s="38"/>
      <c r="D500" s="55" t="b">
        <v>1</v>
      </c>
      <c r="E500" s="39" t="s">
        <v>3040</v>
      </c>
      <c r="F500" s="38"/>
      <c r="G500" s="38"/>
      <c r="H500" s="38"/>
      <c r="I500" s="38"/>
      <c r="J500" s="56" t="s">
        <v>3040</v>
      </c>
      <c r="K500" s="55" t="s">
        <v>819</v>
      </c>
      <c r="L500" s="56" t="s">
        <v>2931</v>
      </c>
      <c r="M500" s="56" t="s">
        <v>235</v>
      </c>
      <c r="N500" s="56" t="s">
        <v>76</v>
      </c>
      <c r="O500" s="39" t="s">
        <v>77</v>
      </c>
      <c r="P500" s="58">
        <v>1500.0</v>
      </c>
      <c r="Q500" s="56"/>
      <c r="R500" s="56" t="s">
        <v>1107</v>
      </c>
      <c r="S500" s="56" t="s">
        <v>3041</v>
      </c>
      <c r="T500" s="39">
        <v>91.1</v>
      </c>
      <c r="U500" s="39"/>
      <c r="V500" s="39"/>
      <c r="W500" s="58">
        <v>2022.0</v>
      </c>
      <c r="X500" s="58">
        <v>3.0</v>
      </c>
      <c r="Y500" s="58"/>
      <c r="Z500" s="57"/>
      <c r="AA500" s="57" t="s">
        <v>3042</v>
      </c>
      <c r="AB500" s="56" t="s">
        <v>275</v>
      </c>
      <c r="AC500" s="56"/>
      <c r="AD500" s="66" t="s">
        <v>3043</v>
      </c>
      <c r="AE500" s="56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</row>
    <row r="501">
      <c r="A501" s="38"/>
      <c r="B501" s="38"/>
      <c r="C501" s="38"/>
      <c r="D501" s="55" t="b">
        <v>1</v>
      </c>
      <c r="E501" s="39" t="s">
        <v>3044</v>
      </c>
      <c r="F501" s="38"/>
      <c r="G501" s="38"/>
      <c r="H501" s="38"/>
      <c r="I501" s="38"/>
      <c r="J501" s="56" t="s">
        <v>3044</v>
      </c>
      <c r="K501" s="55" t="s">
        <v>819</v>
      </c>
      <c r="L501" s="56" t="s">
        <v>819</v>
      </c>
      <c r="M501" s="56" t="s">
        <v>60</v>
      </c>
      <c r="N501" s="56" t="s">
        <v>76</v>
      </c>
      <c r="O501" s="39" t="s">
        <v>77</v>
      </c>
      <c r="P501" s="58">
        <v>628.0</v>
      </c>
      <c r="Q501" s="56"/>
      <c r="R501" s="56" t="s">
        <v>63</v>
      </c>
      <c r="S501" s="56" t="s">
        <v>3045</v>
      </c>
      <c r="T501" s="39">
        <v>68.5</v>
      </c>
      <c r="U501" s="39"/>
      <c r="V501" s="39"/>
      <c r="W501" s="58">
        <v>2022.0</v>
      </c>
      <c r="X501" s="58">
        <v>3.0</v>
      </c>
      <c r="Y501" s="58"/>
      <c r="Z501" s="57"/>
      <c r="AA501" s="57" t="s">
        <v>3046</v>
      </c>
      <c r="AB501" s="56"/>
      <c r="AC501" s="56"/>
      <c r="AD501" s="57" t="s">
        <v>3046</v>
      </c>
      <c r="AE501" s="56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</row>
    <row r="502">
      <c r="D502" s="4" t="b">
        <v>1</v>
      </c>
      <c r="E502" s="2" t="s">
        <v>3047</v>
      </c>
      <c r="J502" s="16" t="s">
        <v>3048</v>
      </c>
      <c r="K502" s="4" t="s">
        <v>819</v>
      </c>
      <c r="L502" s="16" t="s">
        <v>2887</v>
      </c>
      <c r="M502" s="16" t="s">
        <v>200</v>
      </c>
      <c r="N502" s="16" t="s">
        <v>76</v>
      </c>
      <c r="O502" s="2" t="s">
        <v>77</v>
      </c>
      <c r="P502" s="31">
        <v>4456.0</v>
      </c>
      <c r="Q502" s="16"/>
      <c r="R502" s="16" t="s">
        <v>37</v>
      </c>
      <c r="S502" s="16" t="s">
        <v>2889</v>
      </c>
      <c r="T502" s="2">
        <v>0.209</v>
      </c>
      <c r="U502" s="2"/>
      <c r="V502" s="2"/>
      <c r="W502" s="31">
        <v>2023.0</v>
      </c>
      <c r="X502" s="31">
        <v>2.0</v>
      </c>
      <c r="Y502" s="31"/>
      <c r="Z502" s="32"/>
      <c r="AA502" s="32" t="s">
        <v>3049</v>
      </c>
      <c r="AB502" s="32" t="s">
        <v>3050</v>
      </c>
      <c r="AC502" s="16"/>
      <c r="AD502" s="32" t="s">
        <v>3049</v>
      </c>
      <c r="AE502" s="16"/>
    </row>
    <row r="503">
      <c r="A503" s="74"/>
      <c r="B503" s="74"/>
      <c r="C503" s="74"/>
      <c r="D503" s="75" t="b">
        <v>0</v>
      </c>
      <c r="E503" s="76" t="s">
        <v>3051</v>
      </c>
      <c r="F503" s="74"/>
      <c r="G503" s="74"/>
      <c r="H503" s="75" t="b">
        <v>1</v>
      </c>
      <c r="I503" s="76" t="s">
        <v>3052</v>
      </c>
      <c r="J503" s="73" t="s">
        <v>3053</v>
      </c>
      <c r="K503" s="75" t="s">
        <v>819</v>
      </c>
      <c r="L503" s="73" t="s">
        <v>819</v>
      </c>
      <c r="M503" s="73" t="s">
        <v>235</v>
      </c>
      <c r="N503" s="73" t="s">
        <v>61</v>
      </c>
      <c r="O503" s="75" t="s">
        <v>523</v>
      </c>
      <c r="P503" s="77">
        <v>394.0</v>
      </c>
      <c r="Q503" s="73"/>
      <c r="R503" s="73" t="s">
        <v>138</v>
      </c>
      <c r="S503" s="73" t="s">
        <v>3054</v>
      </c>
      <c r="T503" s="76">
        <v>12.5</v>
      </c>
      <c r="U503" s="76"/>
      <c r="V503" s="76"/>
      <c r="W503" s="77">
        <v>2023.0</v>
      </c>
      <c r="X503" s="77">
        <v>3.0</v>
      </c>
      <c r="Y503" s="77"/>
      <c r="Z503" s="78"/>
      <c r="AA503" s="78" t="s">
        <v>3055</v>
      </c>
      <c r="AB503" s="78" t="s">
        <v>3056</v>
      </c>
      <c r="AC503" s="73"/>
      <c r="AD503" s="78" t="s">
        <v>3055</v>
      </c>
      <c r="AE503" s="73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</row>
    <row r="504">
      <c r="A504" s="38"/>
      <c r="B504" s="38"/>
      <c r="C504" s="38"/>
      <c r="D504" s="55" t="b">
        <v>1</v>
      </c>
      <c r="E504" s="39" t="s">
        <v>3057</v>
      </c>
      <c r="F504" s="38"/>
      <c r="G504" s="38"/>
      <c r="H504" s="38"/>
      <c r="I504" s="38"/>
      <c r="J504" s="56" t="s">
        <v>3057</v>
      </c>
      <c r="K504" s="55" t="s">
        <v>819</v>
      </c>
      <c r="L504" s="56" t="s">
        <v>3058</v>
      </c>
      <c r="M504" s="56" t="s">
        <v>60</v>
      </c>
      <c r="N504" s="56" t="s">
        <v>76</v>
      </c>
      <c r="O504" s="39" t="s">
        <v>77</v>
      </c>
      <c r="P504" s="58">
        <v>197.0</v>
      </c>
      <c r="Q504" s="56"/>
      <c r="R504" s="56" t="s">
        <v>63</v>
      </c>
      <c r="S504" s="56" t="s">
        <v>3059</v>
      </c>
      <c r="T504" s="39">
        <v>23.12</v>
      </c>
      <c r="U504" s="39"/>
      <c r="V504" s="39"/>
      <c r="W504" s="58">
        <v>2023.0</v>
      </c>
      <c r="X504" s="58">
        <v>3.0</v>
      </c>
      <c r="Y504" s="58"/>
      <c r="Z504" s="57"/>
      <c r="AA504" s="57" t="s">
        <v>3060</v>
      </c>
      <c r="AB504" s="57" t="s">
        <v>3061</v>
      </c>
      <c r="AC504" s="56"/>
      <c r="AD504" s="66" t="s">
        <v>3060</v>
      </c>
      <c r="AE504" s="56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</row>
    <row r="505">
      <c r="A505" s="38"/>
      <c r="B505" s="38"/>
      <c r="C505" s="38"/>
      <c r="D505" s="55" t="b">
        <v>1</v>
      </c>
      <c r="E505" s="39" t="s">
        <v>3062</v>
      </c>
      <c r="F505" s="38"/>
      <c r="G505" s="38"/>
      <c r="H505" s="38"/>
      <c r="I505" s="38"/>
      <c r="J505" s="56" t="s">
        <v>3063</v>
      </c>
      <c r="K505" s="55" t="s">
        <v>819</v>
      </c>
      <c r="L505" s="56" t="s">
        <v>819</v>
      </c>
      <c r="M505" s="56" t="s">
        <v>235</v>
      </c>
      <c r="N505" s="56" t="s">
        <v>76</v>
      </c>
      <c r="O505" s="39" t="s">
        <v>77</v>
      </c>
      <c r="P505" s="56" t="s">
        <v>3064</v>
      </c>
      <c r="Q505" s="56"/>
      <c r="R505" s="56" t="s">
        <v>138</v>
      </c>
      <c r="S505" s="56" t="s">
        <v>3065</v>
      </c>
      <c r="T505" s="39">
        <v>10.3</v>
      </c>
      <c r="U505" s="39"/>
      <c r="V505" s="39"/>
      <c r="W505" s="58">
        <v>2023.0</v>
      </c>
      <c r="X505" s="58">
        <v>3.0</v>
      </c>
      <c r="Y505" s="58"/>
      <c r="Z505" s="57"/>
      <c r="AA505" s="57" t="s">
        <v>3066</v>
      </c>
      <c r="AB505" s="56"/>
      <c r="AC505" s="56"/>
      <c r="AD505" s="66" t="s">
        <v>3067</v>
      </c>
      <c r="AE505" s="56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</row>
    <row r="506">
      <c r="A506" s="22"/>
      <c r="B506" s="22"/>
      <c r="C506" s="22"/>
      <c r="D506" s="24" t="b">
        <v>0</v>
      </c>
      <c r="E506" s="22"/>
      <c r="F506" s="22"/>
      <c r="G506" s="25" t="b">
        <v>1</v>
      </c>
      <c r="H506" s="22"/>
      <c r="I506" s="22"/>
      <c r="J506" s="24" t="s">
        <v>3015</v>
      </c>
      <c r="K506" s="25" t="s">
        <v>819</v>
      </c>
      <c r="L506" s="24" t="s">
        <v>819</v>
      </c>
      <c r="M506" s="24" t="s">
        <v>60</v>
      </c>
      <c r="N506" s="24" t="s">
        <v>76</v>
      </c>
      <c r="O506" s="23" t="s">
        <v>77</v>
      </c>
      <c r="P506" s="29">
        <v>4500.0</v>
      </c>
      <c r="Q506" s="24"/>
      <c r="R506" s="24" t="s">
        <v>138</v>
      </c>
      <c r="S506" s="24" t="s">
        <v>3016</v>
      </c>
      <c r="T506" s="23"/>
      <c r="U506" s="23"/>
      <c r="V506" s="23"/>
      <c r="W506" s="29">
        <v>2023.0</v>
      </c>
      <c r="X506" s="29">
        <v>3.0</v>
      </c>
      <c r="Y506" s="29"/>
      <c r="Z506" s="30"/>
      <c r="AA506" s="30" t="s">
        <v>3017</v>
      </c>
      <c r="AB506" s="24" t="s">
        <v>275</v>
      </c>
      <c r="AC506" s="24"/>
      <c r="AD506" s="30" t="s">
        <v>3018</v>
      </c>
      <c r="AE506" s="24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</row>
    <row r="507">
      <c r="A507" s="38"/>
      <c r="B507" s="38"/>
      <c r="C507" s="38"/>
      <c r="D507" s="55" t="b">
        <v>1</v>
      </c>
      <c r="E507" s="39" t="s">
        <v>3068</v>
      </c>
      <c r="F507" s="38"/>
      <c r="G507" s="38"/>
      <c r="H507" s="38"/>
      <c r="I507" s="38"/>
      <c r="J507" s="56" t="s">
        <v>3069</v>
      </c>
      <c r="K507" s="55" t="s">
        <v>819</v>
      </c>
      <c r="L507" s="56" t="s">
        <v>819</v>
      </c>
      <c r="M507" s="56" t="s">
        <v>60</v>
      </c>
      <c r="N507" s="56" t="s">
        <v>76</v>
      </c>
      <c r="O507" s="39" t="s">
        <v>77</v>
      </c>
      <c r="P507" s="56" t="s">
        <v>3070</v>
      </c>
      <c r="Q507" s="56"/>
      <c r="R507" s="56" t="s">
        <v>138</v>
      </c>
      <c r="S507" s="56" t="s">
        <v>2937</v>
      </c>
      <c r="T507" s="39"/>
      <c r="U507" s="39"/>
      <c r="V507" s="39"/>
      <c r="W507" s="58">
        <v>2023.0</v>
      </c>
      <c r="X507" s="58">
        <v>3.0</v>
      </c>
      <c r="Y507" s="58"/>
      <c r="Z507" s="56"/>
      <c r="AA507" s="56" t="s">
        <v>3071</v>
      </c>
      <c r="AB507" s="56" t="s">
        <v>3072</v>
      </c>
      <c r="AC507" s="56"/>
      <c r="AD507" s="57" t="s">
        <v>3073</v>
      </c>
      <c r="AE507" s="56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</row>
    <row r="508">
      <c r="D508" s="4" t="b">
        <v>1</v>
      </c>
      <c r="E508" s="2" t="s">
        <v>3074</v>
      </c>
      <c r="J508" s="16" t="s">
        <v>3075</v>
      </c>
      <c r="K508" s="4" t="s">
        <v>819</v>
      </c>
      <c r="L508" s="16" t="s">
        <v>819</v>
      </c>
      <c r="M508" s="16" t="s">
        <v>3076</v>
      </c>
      <c r="N508" s="16" t="s">
        <v>76</v>
      </c>
      <c r="O508" s="4" t="s">
        <v>167</v>
      </c>
      <c r="P508" s="16" t="s">
        <v>3077</v>
      </c>
      <c r="Q508" s="16"/>
      <c r="R508" s="16" t="s">
        <v>138</v>
      </c>
      <c r="S508" s="16" t="s">
        <v>3078</v>
      </c>
      <c r="T508" s="2"/>
      <c r="U508" s="2"/>
      <c r="V508" s="2"/>
      <c r="W508" s="31">
        <v>2023.0</v>
      </c>
      <c r="X508" s="31">
        <v>3.0</v>
      </c>
      <c r="Y508" s="31"/>
      <c r="Z508" s="32"/>
      <c r="AA508" s="32" t="s">
        <v>3079</v>
      </c>
      <c r="AB508" s="32" t="s">
        <v>3080</v>
      </c>
      <c r="AC508" s="16"/>
      <c r="AD508" s="32" t="s">
        <v>3081</v>
      </c>
      <c r="AE508" s="16"/>
    </row>
    <row r="509">
      <c r="A509" s="22"/>
      <c r="B509" s="22"/>
      <c r="C509" s="22"/>
      <c r="D509" s="24" t="b">
        <v>0</v>
      </c>
      <c r="E509" s="22"/>
      <c r="F509" s="22"/>
      <c r="G509" s="25" t="b">
        <v>1</v>
      </c>
      <c r="H509" s="22"/>
      <c r="I509" s="22"/>
      <c r="J509" s="24" t="s">
        <v>3082</v>
      </c>
      <c r="K509" s="25" t="s">
        <v>819</v>
      </c>
      <c r="L509" s="24" t="s">
        <v>3083</v>
      </c>
      <c r="M509" s="24" t="s">
        <v>75</v>
      </c>
      <c r="N509" s="24" t="s">
        <v>3084</v>
      </c>
      <c r="O509" s="25" t="s">
        <v>523</v>
      </c>
      <c r="P509" s="29">
        <v>1300.0</v>
      </c>
      <c r="Q509" s="24"/>
      <c r="R509" s="24" t="s">
        <v>138</v>
      </c>
      <c r="S509" s="24"/>
      <c r="T509" s="23"/>
      <c r="U509" s="23"/>
      <c r="V509" s="23"/>
      <c r="W509" s="29">
        <v>2023.0</v>
      </c>
      <c r="X509" s="29">
        <v>3.0</v>
      </c>
      <c r="Y509" s="29"/>
      <c r="Z509" s="30"/>
      <c r="AA509" s="30" t="s">
        <v>3085</v>
      </c>
      <c r="AB509" s="24" t="s">
        <v>275</v>
      </c>
      <c r="AC509" s="24"/>
      <c r="AD509" s="30" t="s">
        <v>3086</v>
      </c>
      <c r="AE509" s="24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</row>
    <row r="510">
      <c r="A510" s="74"/>
      <c r="B510" s="74"/>
      <c r="C510" s="74"/>
      <c r="D510" s="75" t="b">
        <v>0</v>
      </c>
      <c r="E510" s="74"/>
      <c r="F510" s="74"/>
      <c r="G510" s="74"/>
      <c r="H510" s="75" t="b">
        <v>1</v>
      </c>
      <c r="I510" s="76" t="s">
        <v>3087</v>
      </c>
      <c r="J510" s="73" t="s">
        <v>3088</v>
      </c>
      <c r="K510" s="75" t="s">
        <v>819</v>
      </c>
      <c r="L510" s="73"/>
      <c r="M510" s="73" t="s">
        <v>108</v>
      </c>
      <c r="N510" s="73" t="s">
        <v>76</v>
      </c>
      <c r="O510" s="76" t="s">
        <v>77</v>
      </c>
      <c r="P510" s="73" t="s">
        <v>3089</v>
      </c>
      <c r="Q510" s="73"/>
      <c r="R510" s="73" t="s">
        <v>1107</v>
      </c>
      <c r="S510" s="73" t="s">
        <v>3090</v>
      </c>
      <c r="T510" s="76">
        <v>4.2</v>
      </c>
      <c r="U510" s="76"/>
      <c r="V510" s="76"/>
      <c r="W510" s="77">
        <v>2023.0</v>
      </c>
      <c r="X510" s="77">
        <v>2.0</v>
      </c>
      <c r="Y510" s="77"/>
      <c r="Z510" s="78"/>
      <c r="AA510" s="78" t="s">
        <v>3091</v>
      </c>
      <c r="AB510" s="73" t="s">
        <v>275</v>
      </c>
      <c r="AC510" s="73"/>
      <c r="AD510" s="78" t="s">
        <v>3092</v>
      </c>
      <c r="AE510" s="73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</row>
    <row r="511">
      <c r="D511" s="4" t="b">
        <v>1</v>
      </c>
      <c r="E511" s="2" t="s">
        <v>3093</v>
      </c>
      <c r="J511" s="16" t="s">
        <v>3094</v>
      </c>
      <c r="K511" s="4" t="s">
        <v>819</v>
      </c>
      <c r="L511" s="16"/>
      <c r="M511" s="16" t="s">
        <v>60</v>
      </c>
      <c r="N511" s="16" t="s">
        <v>61</v>
      </c>
      <c r="O511" s="4" t="s">
        <v>523</v>
      </c>
      <c r="P511" s="31">
        <v>1300.0</v>
      </c>
      <c r="Q511" s="16"/>
      <c r="R511" s="16" t="s">
        <v>37</v>
      </c>
      <c r="S511" s="16" t="s">
        <v>3095</v>
      </c>
      <c r="T511" s="2">
        <v>2.32</v>
      </c>
      <c r="U511" s="2"/>
      <c r="V511" s="2"/>
      <c r="W511" s="31">
        <v>2023.0</v>
      </c>
      <c r="X511" s="31">
        <v>2.0</v>
      </c>
      <c r="Y511" s="31"/>
      <c r="Z511" s="32"/>
      <c r="AA511" s="32" t="s">
        <v>3096</v>
      </c>
      <c r="AB511" s="16" t="s">
        <v>275</v>
      </c>
      <c r="AC511" s="16"/>
      <c r="AD511" s="32" t="s">
        <v>3097</v>
      </c>
      <c r="AE511" s="16"/>
    </row>
    <row r="512">
      <c r="D512" s="4" t="b">
        <v>1</v>
      </c>
      <c r="E512" s="2" t="s">
        <v>3098</v>
      </c>
      <c r="J512" s="16" t="s">
        <v>3099</v>
      </c>
      <c r="K512" s="4" t="s">
        <v>819</v>
      </c>
      <c r="L512" s="16" t="s">
        <v>819</v>
      </c>
      <c r="M512" s="16" t="s">
        <v>60</v>
      </c>
      <c r="N512" s="16" t="s">
        <v>76</v>
      </c>
      <c r="O512" s="2" t="s">
        <v>77</v>
      </c>
      <c r="P512" s="31">
        <v>57.0</v>
      </c>
      <c r="Q512" s="16"/>
      <c r="R512" s="16" t="s">
        <v>63</v>
      </c>
      <c r="S512" s="16" t="s">
        <v>3100</v>
      </c>
      <c r="T512" s="2">
        <v>9.89</v>
      </c>
      <c r="U512" s="2"/>
      <c r="V512" s="2"/>
      <c r="W512" s="31">
        <v>2023.0</v>
      </c>
      <c r="X512" s="31">
        <v>3.0</v>
      </c>
      <c r="Y512" s="31"/>
      <c r="Z512" s="32"/>
      <c r="AA512" s="32" t="s">
        <v>3101</v>
      </c>
      <c r="AB512" s="32" t="s">
        <v>3102</v>
      </c>
      <c r="AC512" s="16"/>
      <c r="AD512" s="32" t="s">
        <v>3101</v>
      </c>
      <c r="AE512" s="16"/>
    </row>
    <row r="513">
      <c r="D513" s="4" t="b">
        <v>1</v>
      </c>
      <c r="E513" s="2" t="s">
        <v>3103</v>
      </c>
      <c r="J513" s="16" t="s">
        <v>3104</v>
      </c>
      <c r="K513" s="4" t="s">
        <v>819</v>
      </c>
      <c r="L513" s="16" t="s">
        <v>3105</v>
      </c>
      <c r="M513" s="16" t="s">
        <v>3106</v>
      </c>
      <c r="N513" s="16" t="s">
        <v>3107</v>
      </c>
      <c r="O513" s="2" t="s">
        <v>77</v>
      </c>
      <c r="P513" s="31">
        <v>2921.0</v>
      </c>
      <c r="Q513" s="16"/>
      <c r="R513" s="16" t="s">
        <v>37</v>
      </c>
      <c r="S513" s="16" t="s">
        <v>3108</v>
      </c>
      <c r="T513" s="2">
        <v>0.223</v>
      </c>
      <c r="U513" s="2"/>
      <c r="V513" s="2"/>
      <c r="W513" s="31">
        <v>2023.0</v>
      </c>
      <c r="X513" s="31">
        <v>2.0</v>
      </c>
      <c r="Y513" s="31"/>
      <c r="Z513" s="32"/>
      <c r="AA513" s="32" t="s">
        <v>3109</v>
      </c>
      <c r="AB513" s="32" t="s">
        <v>3110</v>
      </c>
      <c r="AC513" s="16"/>
      <c r="AD513" s="32" t="s">
        <v>3109</v>
      </c>
      <c r="AE513" s="16"/>
    </row>
    <row r="514">
      <c r="D514" s="4" t="b">
        <v>1</v>
      </c>
      <c r="E514" s="2" t="s">
        <v>3111</v>
      </c>
      <c r="J514" s="16" t="s">
        <v>3112</v>
      </c>
      <c r="K514" s="4" t="s">
        <v>819</v>
      </c>
      <c r="L514" s="16" t="s">
        <v>819</v>
      </c>
      <c r="M514" s="16" t="s">
        <v>60</v>
      </c>
      <c r="N514" s="16" t="s">
        <v>76</v>
      </c>
      <c r="O514" s="2" t="s">
        <v>77</v>
      </c>
      <c r="P514" s="31">
        <v>5195.0</v>
      </c>
      <c r="Q514" s="16"/>
      <c r="R514" s="16" t="s">
        <v>138</v>
      </c>
      <c r="S514" s="16" t="s">
        <v>3113</v>
      </c>
      <c r="T514" s="2"/>
      <c r="U514" s="2"/>
      <c r="V514" s="2"/>
      <c r="W514" s="31">
        <v>2024.0</v>
      </c>
      <c r="X514" s="31">
        <v>3.0</v>
      </c>
      <c r="Y514" s="31"/>
      <c r="Z514" s="32"/>
      <c r="AA514" s="32" t="s">
        <v>3114</v>
      </c>
      <c r="AB514" s="32" t="s">
        <v>3115</v>
      </c>
      <c r="AC514" s="16"/>
      <c r="AD514" s="32" t="s">
        <v>3116</v>
      </c>
      <c r="AE514" s="16"/>
    </row>
    <row r="515">
      <c r="A515" s="74"/>
      <c r="B515" s="74"/>
      <c r="C515" s="74"/>
      <c r="D515" s="73" t="b">
        <v>0</v>
      </c>
      <c r="E515" s="74"/>
      <c r="F515" s="74"/>
      <c r="G515" s="74"/>
      <c r="H515" s="75" t="b">
        <v>1</v>
      </c>
      <c r="I515" s="76" t="s">
        <v>3087</v>
      </c>
      <c r="J515" s="73" t="s">
        <v>3117</v>
      </c>
      <c r="K515" s="75" t="s">
        <v>819</v>
      </c>
      <c r="L515" s="73" t="s">
        <v>272</v>
      </c>
      <c r="M515" s="73" t="s">
        <v>60</v>
      </c>
      <c r="N515" s="73" t="s">
        <v>76</v>
      </c>
      <c r="O515" s="76" t="s">
        <v>77</v>
      </c>
      <c r="P515" s="77">
        <v>10000.0</v>
      </c>
      <c r="Q515" s="73"/>
      <c r="R515" s="73" t="s">
        <v>138</v>
      </c>
      <c r="S515" s="73" t="s">
        <v>3118</v>
      </c>
      <c r="T515" s="74"/>
      <c r="U515" s="74"/>
      <c r="V515" s="74"/>
      <c r="W515" s="77">
        <v>2024.0</v>
      </c>
      <c r="X515" s="77">
        <v>3.0</v>
      </c>
      <c r="Y515" s="77"/>
      <c r="Z515" s="78"/>
      <c r="AA515" s="78" t="s">
        <v>3119</v>
      </c>
      <c r="AB515" s="73" t="s">
        <v>275</v>
      </c>
      <c r="AC515" s="73"/>
      <c r="AD515" s="78" t="s">
        <v>3119</v>
      </c>
      <c r="AE515" s="73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</row>
    <row r="516">
      <c r="A516" s="74"/>
      <c r="B516" s="74"/>
      <c r="C516" s="74"/>
      <c r="D516" s="73" t="b">
        <v>0</v>
      </c>
      <c r="E516" s="74"/>
      <c r="F516" s="74"/>
      <c r="G516" s="74"/>
      <c r="H516" s="75" t="b">
        <v>1</v>
      </c>
      <c r="I516" s="76" t="s">
        <v>3087</v>
      </c>
      <c r="J516" s="73" t="s">
        <v>3120</v>
      </c>
      <c r="K516" s="75" t="s">
        <v>819</v>
      </c>
      <c r="L516" s="73" t="s">
        <v>819</v>
      </c>
      <c r="M516" s="73" t="s">
        <v>235</v>
      </c>
      <c r="N516" s="73" t="s">
        <v>76</v>
      </c>
      <c r="O516" s="76" t="s">
        <v>77</v>
      </c>
      <c r="P516" s="73" t="s">
        <v>3121</v>
      </c>
      <c r="Q516" s="73"/>
      <c r="R516" s="73" t="s">
        <v>138</v>
      </c>
      <c r="S516" s="73" t="s">
        <v>3122</v>
      </c>
      <c r="T516" s="74"/>
      <c r="U516" s="74"/>
      <c r="V516" s="74"/>
      <c r="W516" s="77">
        <v>2024.0</v>
      </c>
      <c r="X516" s="77">
        <v>3.0</v>
      </c>
      <c r="Y516" s="77"/>
      <c r="Z516" s="78"/>
      <c r="AA516" s="78" t="s">
        <v>3123</v>
      </c>
      <c r="AB516" s="73" t="s">
        <v>275</v>
      </c>
      <c r="AC516" s="73"/>
      <c r="AD516" s="78" t="s">
        <v>3123</v>
      </c>
      <c r="AE516" s="73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</row>
    <row r="517">
      <c r="A517" s="22"/>
      <c r="B517" s="22"/>
      <c r="C517" s="22"/>
      <c r="D517" s="24" t="b">
        <v>0</v>
      </c>
      <c r="E517" s="22"/>
      <c r="F517" s="22"/>
      <c r="G517" s="25" t="b">
        <v>1</v>
      </c>
      <c r="H517" s="22"/>
      <c r="I517" s="23"/>
      <c r="J517" s="24" t="s">
        <v>3124</v>
      </c>
      <c r="K517" s="25" t="s">
        <v>819</v>
      </c>
      <c r="L517" s="24"/>
      <c r="M517" s="24"/>
      <c r="N517" s="24"/>
      <c r="O517" s="24"/>
      <c r="P517" s="24"/>
      <c r="Q517" s="24"/>
      <c r="R517" s="24"/>
      <c r="S517" s="24"/>
      <c r="T517" s="22"/>
      <c r="U517" s="22"/>
      <c r="V517" s="22"/>
      <c r="W517" s="29">
        <v>2024.0</v>
      </c>
      <c r="X517" s="24"/>
      <c r="Y517" s="24"/>
      <c r="Z517" s="30"/>
      <c r="AA517" s="30" t="s">
        <v>3125</v>
      </c>
      <c r="AB517" s="24" t="s">
        <v>275</v>
      </c>
      <c r="AC517" s="24"/>
      <c r="AD517" s="24" t="s">
        <v>3126</v>
      </c>
      <c r="AE517" s="24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</row>
    <row r="518">
      <c r="A518" s="74"/>
      <c r="B518" s="74"/>
      <c r="C518" s="74"/>
      <c r="D518" s="75" t="b">
        <v>0</v>
      </c>
      <c r="E518" s="74"/>
      <c r="F518" s="74"/>
      <c r="G518" s="74"/>
      <c r="H518" s="75" t="b">
        <v>1</v>
      </c>
      <c r="I518" s="76" t="s">
        <v>3127</v>
      </c>
      <c r="J518" s="73" t="s">
        <v>3128</v>
      </c>
      <c r="K518" s="75" t="s">
        <v>819</v>
      </c>
      <c r="L518" s="73" t="s">
        <v>819</v>
      </c>
      <c r="M518" s="73" t="s">
        <v>3129</v>
      </c>
      <c r="N518" s="73" t="s">
        <v>3130</v>
      </c>
      <c r="O518" s="75" t="s">
        <v>167</v>
      </c>
      <c r="P518" s="77">
        <v>30.0</v>
      </c>
      <c r="Q518" s="73"/>
      <c r="R518" s="73" t="s">
        <v>37</v>
      </c>
      <c r="S518" s="73" t="s">
        <v>3131</v>
      </c>
      <c r="T518" s="74"/>
      <c r="U518" s="74"/>
      <c r="V518" s="74"/>
      <c r="W518" s="77">
        <v>2024.0</v>
      </c>
      <c r="X518" s="77">
        <v>2.0</v>
      </c>
      <c r="Y518" s="77"/>
      <c r="Z518" s="78"/>
      <c r="AA518" s="78" t="s">
        <v>3132</v>
      </c>
      <c r="AB518" s="73"/>
      <c r="AC518" s="73"/>
      <c r="AD518" s="73" t="s">
        <v>3133</v>
      </c>
      <c r="AE518" s="73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</row>
    <row r="519">
      <c r="D519" s="4" t="b">
        <v>1</v>
      </c>
      <c r="E519" s="2" t="s">
        <v>3134</v>
      </c>
      <c r="J519" s="16" t="s">
        <v>3135</v>
      </c>
      <c r="K519" s="4" t="s">
        <v>819</v>
      </c>
      <c r="L519" s="16"/>
      <c r="M519" s="16" t="s">
        <v>108</v>
      </c>
      <c r="N519" s="16" t="s">
        <v>3136</v>
      </c>
      <c r="O519" s="4" t="s">
        <v>167</v>
      </c>
      <c r="P519" s="16" t="s">
        <v>3137</v>
      </c>
      <c r="Q519" s="16"/>
      <c r="R519" s="16" t="s">
        <v>3138</v>
      </c>
      <c r="S519" s="16"/>
      <c r="W519" s="31">
        <v>2024.0</v>
      </c>
      <c r="X519" s="31">
        <v>3.0</v>
      </c>
      <c r="Y519" s="31"/>
      <c r="Z519" s="32"/>
      <c r="AA519" s="32" t="s">
        <v>3139</v>
      </c>
      <c r="AB519" s="16" t="s">
        <v>275</v>
      </c>
      <c r="AC519" s="16"/>
      <c r="AD519" s="32" t="s">
        <v>3140</v>
      </c>
      <c r="AE519" s="16"/>
    </row>
    <row r="520">
      <c r="D520" s="4" t="b">
        <v>1</v>
      </c>
      <c r="E520" s="2" t="s">
        <v>3141</v>
      </c>
      <c r="J520" s="16" t="s">
        <v>3142</v>
      </c>
      <c r="K520" s="4" t="s">
        <v>819</v>
      </c>
      <c r="L520" s="16" t="s">
        <v>819</v>
      </c>
      <c r="M520" s="16" t="s">
        <v>60</v>
      </c>
      <c r="N520" s="16" t="s">
        <v>76</v>
      </c>
      <c r="O520" s="2" t="s">
        <v>77</v>
      </c>
      <c r="P520" s="31">
        <v>100.0</v>
      </c>
      <c r="Q520" s="16"/>
      <c r="R520" s="16" t="s">
        <v>1107</v>
      </c>
      <c r="S520" s="16" t="s">
        <v>3143</v>
      </c>
      <c r="T520" s="2"/>
      <c r="U520" s="2"/>
      <c r="V520" s="2"/>
      <c r="W520" s="31">
        <v>2024.0</v>
      </c>
      <c r="X520" s="31">
        <v>3.0</v>
      </c>
      <c r="Y520" s="31"/>
      <c r="Z520" s="32"/>
      <c r="AA520" s="32" t="s">
        <v>3144</v>
      </c>
      <c r="AB520" s="32" t="s">
        <v>3145</v>
      </c>
      <c r="AC520" s="16"/>
      <c r="AD520" s="32" t="s">
        <v>3146</v>
      </c>
      <c r="AE520" s="16"/>
    </row>
    <row r="521">
      <c r="A521" s="38"/>
      <c r="B521" s="38"/>
      <c r="C521" s="38"/>
      <c r="D521" s="56" t="b">
        <v>0</v>
      </c>
      <c r="E521" s="38"/>
      <c r="F521" s="38"/>
      <c r="G521" s="38"/>
      <c r="H521" s="38"/>
      <c r="I521" s="38"/>
      <c r="J521" s="56" t="s">
        <v>3147</v>
      </c>
      <c r="K521" s="55" t="s">
        <v>819</v>
      </c>
      <c r="L521" s="56" t="s">
        <v>819</v>
      </c>
      <c r="M521" s="56" t="s">
        <v>3148</v>
      </c>
      <c r="N521" s="56" t="s">
        <v>3149</v>
      </c>
      <c r="O521" s="56"/>
      <c r="P521" s="58">
        <v>38.0</v>
      </c>
      <c r="Q521" s="56"/>
      <c r="R521" s="56" t="s">
        <v>3150</v>
      </c>
      <c r="S521" s="56"/>
      <c r="T521" s="38"/>
      <c r="U521" s="38"/>
      <c r="V521" s="38"/>
      <c r="W521" s="58">
        <v>2010.0</v>
      </c>
      <c r="X521" s="58">
        <v>2.0</v>
      </c>
      <c r="Y521" s="58"/>
      <c r="Z521" s="57"/>
      <c r="AA521" s="57" t="s">
        <v>3151</v>
      </c>
      <c r="AB521" s="56" t="s">
        <v>3152</v>
      </c>
      <c r="AC521" s="56"/>
      <c r="AD521" s="57" t="s">
        <v>3151</v>
      </c>
      <c r="AE521" s="56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</row>
    <row r="522">
      <c r="A522" s="22"/>
      <c r="B522" s="22"/>
      <c r="C522" s="22"/>
      <c r="D522" s="24" t="b">
        <v>0</v>
      </c>
      <c r="E522" s="22"/>
      <c r="F522" s="22"/>
      <c r="G522" s="25" t="b">
        <v>1</v>
      </c>
      <c r="H522" s="22"/>
      <c r="I522" s="23"/>
      <c r="J522" s="24" t="s">
        <v>3153</v>
      </c>
      <c r="K522" s="25" t="s">
        <v>819</v>
      </c>
      <c r="L522" s="24" t="s">
        <v>819</v>
      </c>
      <c r="M522" s="24" t="s">
        <v>3148</v>
      </c>
      <c r="N522" s="24" t="s">
        <v>76</v>
      </c>
      <c r="O522" s="23" t="s">
        <v>77</v>
      </c>
      <c r="P522" s="29">
        <v>612.0</v>
      </c>
      <c r="Q522" s="24"/>
      <c r="R522" s="24" t="s">
        <v>2888</v>
      </c>
      <c r="S522" s="24" t="s">
        <v>3154</v>
      </c>
      <c r="T522" s="23">
        <v>0.05</v>
      </c>
      <c r="U522" s="23"/>
      <c r="V522" s="23"/>
      <c r="W522" s="29">
        <v>2015.0</v>
      </c>
      <c r="X522" s="29">
        <v>2.0</v>
      </c>
      <c r="Y522" s="29"/>
      <c r="Z522" s="30"/>
      <c r="AA522" s="30" t="s">
        <v>3155</v>
      </c>
      <c r="AB522" s="30" t="s">
        <v>3156</v>
      </c>
      <c r="AC522" s="24"/>
      <c r="AD522" s="30" t="s">
        <v>3155</v>
      </c>
      <c r="AE522" s="24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</row>
    <row r="523">
      <c r="A523" s="38"/>
      <c r="B523" s="38"/>
      <c r="C523" s="38"/>
      <c r="D523" s="56" t="b">
        <v>0</v>
      </c>
      <c r="E523" s="38"/>
      <c r="F523" s="38"/>
      <c r="G523" s="38"/>
      <c r="H523" s="38"/>
      <c r="I523" s="38"/>
      <c r="J523" s="56" t="s">
        <v>3157</v>
      </c>
      <c r="K523" s="55" t="s">
        <v>819</v>
      </c>
      <c r="L523" s="56"/>
      <c r="M523" s="56" t="s">
        <v>3158</v>
      </c>
      <c r="N523" s="56" t="s">
        <v>34</v>
      </c>
      <c r="O523" s="55" t="s">
        <v>167</v>
      </c>
      <c r="P523" s="58">
        <v>262.0</v>
      </c>
      <c r="Q523" s="56"/>
      <c r="R523" s="56" t="s">
        <v>45</v>
      </c>
      <c r="S523" s="56" t="s">
        <v>3159</v>
      </c>
      <c r="T523" s="38"/>
      <c r="U523" s="38"/>
      <c r="V523" s="38"/>
      <c r="W523" s="58">
        <v>2015.0</v>
      </c>
      <c r="X523" s="58">
        <v>2.0</v>
      </c>
      <c r="Y523" s="58"/>
      <c r="Z523" s="57"/>
      <c r="AA523" s="57" t="s">
        <v>3160</v>
      </c>
      <c r="AB523" s="56" t="s">
        <v>1154</v>
      </c>
      <c r="AC523" s="56"/>
      <c r="AD523" s="57" t="s">
        <v>3160</v>
      </c>
      <c r="AE523" s="56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</row>
    <row r="524">
      <c r="A524" s="38"/>
      <c r="B524" s="38"/>
      <c r="C524" s="38"/>
      <c r="D524" s="56" t="b">
        <v>0</v>
      </c>
      <c r="E524" s="38"/>
      <c r="F524" s="38"/>
      <c r="G524" s="38"/>
      <c r="H524" s="38"/>
      <c r="I524" s="38"/>
      <c r="J524" s="56" t="s">
        <v>3161</v>
      </c>
      <c r="K524" s="55" t="s">
        <v>819</v>
      </c>
      <c r="L524" s="56" t="s">
        <v>2887</v>
      </c>
      <c r="M524" s="56" t="s">
        <v>3148</v>
      </c>
      <c r="N524" s="56" t="s">
        <v>61</v>
      </c>
      <c r="O524" s="55" t="s">
        <v>523</v>
      </c>
      <c r="P524" s="56">
        <f>76*2</f>
        <v>152</v>
      </c>
      <c r="Q524" s="56"/>
      <c r="R524" s="56" t="s">
        <v>3150</v>
      </c>
      <c r="S524" s="56" t="s">
        <v>3162</v>
      </c>
      <c r="T524" s="38"/>
      <c r="U524" s="38"/>
      <c r="V524" s="38"/>
      <c r="W524" s="58">
        <v>2016.0</v>
      </c>
      <c r="X524" s="58">
        <v>2.0</v>
      </c>
      <c r="Y524" s="58"/>
      <c r="Z524" s="57"/>
      <c r="AA524" s="57" t="s">
        <v>3163</v>
      </c>
      <c r="AB524" s="57" t="s">
        <v>3164</v>
      </c>
      <c r="AC524" s="56"/>
      <c r="AD524" s="57" t="s">
        <v>3163</v>
      </c>
      <c r="AE524" s="56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</row>
    <row r="525">
      <c r="D525" s="4" t="b">
        <v>1</v>
      </c>
      <c r="E525" s="2" t="s">
        <v>3165</v>
      </c>
      <c r="J525" s="16" t="s">
        <v>3166</v>
      </c>
      <c r="K525" s="4" t="s">
        <v>819</v>
      </c>
      <c r="L525" s="16"/>
      <c r="M525" s="16" t="s">
        <v>3167</v>
      </c>
      <c r="N525" s="16" t="s">
        <v>34</v>
      </c>
      <c r="O525" s="4" t="s">
        <v>167</v>
      </c>
      <c r="P525" s="31">
        <v>6733.0</v>
      </c>
      <c r="Q525" s="16"/>
      <c r="R525" s="16" t="s">
        <v>45</v>
      </c>
      <c r="S525" s="16" t="s">
        <v>3168</v>
      </c>
      <c r="T525" s="2"/>
      <c r="U525" s="2"/>
      <c r="V525" s="2"/>
      <c r="W525" s="31">
        <v>2017.0</v>
      </c>
      <c r="X525" s="31">
        <v>2.0</v>
      </c>
      <c r="Y525" s="31"/>
      <c r="Z525" s="32"/>
      <c r="AA525" s="33" t="s">
        <v>3169</v>
      </c>
      <c r="AB525" s="16" t="s">
        <v>275</v>
      </c>
      <c r="AC525" s="16"/>
      <c r="AD525" s="32" t="s">
        <v>3169</v>
      </c>
      <c r="AE525" s="16"/>
    </row>
    <row r="526">
      <c r="D526" s="4" t="b">
        <v>1</v>
      </c>
      <c r="E526" s="2" t="s">
        <v>3170</v>
      </c>
      <c r="J526" s="16" t="s">
        <v>3171</v>
      </c>
      <c r="K526" s="4" t="s">
        <v>819</v>
      </c>
      <c r="L526" s="16" t="s">
        <v>3172</v>
      </c>
      <c r="M526" s="16" t="s">
        <v>3148</v>
      </c>
      <c r="N526" s="16" t="s">
        <v>3173</v>
      </c>
      <c r="O526" s="16"/>
      <c r="P526" s="31">
        <v>5525.0</v>
      </c>
      <c r="Q526" s="16"/>
      <c r="R526" s="16" t="s">
        <v>45</v>
      </c>
      <c r="S526" s="16" t="s">
        <v>3174</v>
      </c>
      <c r="T526" s="2">
        <v>0.25</v>
      </c>
      <c r="U526" s="2"/>
      <c r="V526" s="2"/>
      <c r="W526" s="31">
        <v>2017.0</v>
      </c>
      <c r="X526" s="31">
        <v>2.0</v>
      </c>
      <c r="Y526" s="31"/>
      <c r="Z526" s="32"/>
      <c r="AA526" s="32" t="s">
        <v>3175</v>
      </c>
      <c r="AB526" s="32" t="s">
        <v>3176</v>
      </c>
      <c r="AC526" s="16"/>
      <c r="AD526" s="32" t="s">
        <v>3175</v>
      </c>
      <c r="AE526" s="16"/>
    </row>
    <row r="527">
      <c r="A527" s="22"/>
      <c r="B527" s="22"/>
      <c r="C527" s="22"/>
      <c r="D527" s="22"/>
      <c r="E527" s="23"/>
      <c r="F527" s="22"/>
      <c r="G527" s="22"/>
      <c r="H527" s="25" t="b">
        <v>1</v>
      </c>
      <c r="I527" s="22"/>
      <c r="J527" s="24" t="s">
        <v>3177</v>
      </c>
      <c r="K527" s="25" t="s">
        <v>819</v>
      </c>
      <c r="L527" s="24" t="s">
        <v>3178</v>
      </c>
      <c r="M527" s="24" t="s">
        <v>3148</v>
      </c>
      <c r="N527" s="24" t="s">
        <v>76</v>
      </c>
      <c r="O527" s="23" t="s">
        <v>77</v>
      </c>
      <c r="P527" s="24"/>
      <c r="Q527" s="24"/>
      <c r="R527" s="24" t="s">
        <v>37</v>
      </c>
      <c r="S527" s="24" t="s">
        <v>3131</v>
      </c>
      <c r="T527" s="23"/>
      <c r="U527" s="23"/>
      <c r="V527" s="23"/>
      <c r="W527" s="29">
        <v>2017.0</v>
      </c>
      <c r="X527" s="29">
        <v>2.0</v>
      </c>
      <c r="Y527" s="29"/>
      <c r="Z527" s="30"/>
      <c r="AA527" s="30" t="s">
        <v>3179</v>
      </c>
      <c r="AB527" s="30" t="s">
        <v>3180</v>
      </c>
      <c r="AC527" s="24"/>
      <c r="AD527" s="30" t="s">
        <v>3179</v>
      </c>
      <c r="AE527" s="24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</row>
    <row r="528">
      <c r="D528" s="4" t="b">
        <v>1</v>
      </c>
      <c r="E528" s="2" t="s">
        <v>3181</v>
      </c>
      <c r="J528" s="16" t="s">
        <v>3181</v>
      </c>
      <c r="K528" s="4" t="s">
        <v>819</v>
      </c>
      <c r="L528" s="16"/>
      <c r="M528" s="16" t="s">
        <v>3148</v>
      </c>
      <c r="N528" s="16" t="s">
        <v>3182</v>
      </c>
      <c r="O528" s="16"/>
      <c r="P528" s="4">
        <v>280.0</v>
      </c>
      <c r="Q528" s="16"/>
      <c r="R528" s="16" t="s">
        <v>3183</v>
      </c>
      <c r="S528" s="16" t="s">
        <v>3184</v>
      </c>
      <c r="W528" s="31">
        <v>2019.0</v>
      </c>
      <c r="X528" s="31">
        <v>2.0</v>
      </c>
      <c r="Y528" s="31"/>
      <c r="Z528" s="32"/>
      <c r="AA528" s="32" t="s">
        <v>3185</v>
      </c>
      <c r="AB528" s="32" t="s">
        <v>3186</v>
      </c>
      <c r="AC528" s="16"/>
      <c r="AD528" s="16" t="s">
        <v>3187</v>
      </c>
      <c r="AE528" s="16"/>
    </row>
    <row r="529">
      <c r="D529" s="4" t="b">
        <v>1</v>
      </c>
      <c r="E529" s="2" t="s">
        <v>3188</v>
      </c>
      <c r="J529" s="16" t="s">
        <v>3189</v>
      </c>
      <c r="K529" s="4" t="s">
        <v>819</v>
      </c>
      <c r="L529" s="16"/>
      <c r="M529" s="16" t="s">
        <v>3148</v>
      </c>
      <c r="N529" s="16" t="s">
        <v>3190</v>
      </c>
      <c r="O529" s="2" t="s">
        <v>77</v>
      </c>
      <c r="P529" s="31">
        <v>2991.0</v>
      </c>
      <c r="Q529" s="16"/>
      <c r="R529" s="16" t="s">
        <v>3191</v>
      </c>
      <c r="S529" s="16" t="s">
        <v>3192</v>
      </c>
      <c r="T529" s="2"/>
      <c r="U529" s="2"/>
      <c r="V529" s="2"/>
      <c r="W529" s="31">
        <v>2019.0</v>
      </c>
      <c r="X529" s="31">
        <v>2.0</v>
      </c>
      <c r="Y529" s="31"/>
      <c r="Z529" s="32"/>
      <c r="AA529" s="32" t="s">
        <v>3193</v>
      </c>
      <c r="AB529" s="32" t="s">
        <v>3194</v>
      </c>
      <c r="AC529" s="16"/>
      <c r="AD529" s="32" t="s">
        <v>3195</v>
      </c>
      <c r="AE529" s="16"/>
    </row>
    <row r="530">
      <c r="D530" s="4" t="b">
        <v>1</v>
      </c>
      <c r="E530" s="2" t="s">
        <v>3196</v>
      </c>
      <c r="J530" s="16" t="s">
        <v>3197</v>
      </c>
      <c r="K530" s="4" t="s">
        <v>819</v>
      </c>
      <c r="L530" s="16" t="s">
        <v>2887</v>
      </c>
      <c r="M530" s="16" t="s">
        <v>3148</v>
      </c>
      <c r="N530" s="16" t="s">
        <v>76</v>
      </c>
      <c r="O530" s="2" t="s">
        <v>77</v>
      </c>
      <c r="P530" s="16" t="s">
        <v>3198</v>
      </c>
      <c r="Q530" s="16"/>
      <c r="R530" s="16" t="s">
        <v>45</v>
      </c>
      <c r="S530" s="16" t="s">
        <v>3199</v>
      </c>
      <c r="T530" s="2"/>
      <c r="U530" s="2"/>
      <c r="V530" s="2"/>
      <c r="W530" s="31">
        <v>2019.0</v>
      </c>
      <c r="X530" s="31">
        <v>2.0</v>
      </c>
      <c r="Y530" s="31"/>
      <c r="Z530" s="16"/>
      <c r="AA530" s="16" t="s">
        <v>3200</v>
      </c>
      <c r="AB530" s="32" t="s">
        <v>3201</v>
      </c>
      <c r="AC530" s="16"/>
      <c r="AD530" s="33" t="s">
        <v>3202</v>
      </c>
      <c r="AE530" s="16"/>
    </row>
    <row r="531">
      <c r="A531" s="11"/>
      <c r="B531" s="11"/>
      <c r="C531" s="11"/>
      <c r="D531" s="13" t="b">
        <v>1</v>
      </c>
      <c r="E531" s="12" t="s">
        <v>3203</v>
      </c>
      <c r="F531" s="11"/>
      <c r="G531" s="11"/>
      <c r="H531" s="11"/>
      <c r="I531" s="11"/>
      <c r="J531" s="35" t="s">
        <v>3203</v>
      </c>
      <c r="K531" s="13" t="s">
        <v>819</v>
      </c>
      <c r="L531" s="35" t="s">
        <v>3178</v>
      </c>
      <c r="M531" s="35" t="s">
        <v>3148</v>
      </c>
      <c r="N531" s="35" t="s">
        <v>3204</v>
      </c>
      <c r="O531" s="35"/>
      <c r="P531" s="36">
        <v>33398.0</v>
      </c>
      <c r="Q531" s="35"/>
      <c r="R531" s="35" t="s">
        <v>3205</v>
      </c>
      <c r="S531" s="35" t="s">
        <v>3206</v>
      </c>
      <c r="T531" s="11"/>
      <c r="U531" s="11"/>
      <c r="V531" s="11"/>
      <c r="W531" s="36">
        <v>2020.0</v>
      </c>
      <c r="X531" s="36">
        <v>2.0</v>
      </c>
      <c r="Y531" s="36"/>
      <c r="Z531" s="37"/>
      <c r="AA531" s="37" t="s">
        <v>3207</v>
      </c>
      <c r="AB531" s="37" t="s">
        <v>3208</v>
      </c>
      <c r="AC531" s="35"/>
      <c r="AD531" s="37" t="s">
        <v>3207</v>
      </c>
      <c r="AE531" s="35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</row>
    <row r="532">
      <c r="A532" s="74"/>
      <c r="B532" s="74"/>
      <c r="C532" s="74"/>
      <c r="D532" s="73" t="b">
        <v>0</v>
      </c>
      <c r="E532" s="74"/>
      <c r="F532" s="74"/>
      <c r="G532" s="74"/>
      <c r="H532" s="75" t="b">
        <v>1</v>
      </c>
      <c r="I532" s="76" t="s">
        <v>3209</v>
      </c>
      <c r="J532" s="73" t="s">
        <v>3210</v>
      </c>
      <c r="K532" s="75" t="s">
        <v>819</v>
      </c>
      <c r="L532" s="73"/>
      <c r="M532" s="73" t="s">
        <v>3148</v>
      </c>
      <c r="N532" s="73" t="s">
        <v>3211</v>
      </c>
      <c r="O532" s="75" t="s">
        <v>523</v>
      </c>
      <c r="P532" s="73" t="s">
        <v>3212</v>
      </c>
      <c r="Q532" s="73"/>
      <c r="R532" s="73" t="s">
        <v>45</v>
      </c>
      <c r="S532" s="73"/>
      <c r="T532" s="74"/>
      <c r="U532" s="74"/>
      <c r="V532" s="74"/>
      <c r="W532" s="77">
        <v>2020.0</v>
      </c>
      <c r="X532" s="77">
        <v>2.0</v>
      </c>
      <c r="Y532" s="77"/>
      <c r="Z532" s="78"/>
      <c r="AA532" s="78" t="s">
        <v>3213</v>
      </c>
      <c r="AB532" s="78" t="s">
        <v>3214</v>
      </c>
      <c r="AC532" s="73"/>
      <c r="AD532" s="78" t="s">
        <v>3213</v>
      </c>
      <c r="AE532" s="73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</row>
    <row r="533">
      <c r="A533" s="22"/>
      <c r="B533" s="22"/>
      <c r="C533" s="22"/>
      <c r="D533" s="24" t="b">
        <v>0</v>
      </c>
      <c r="E533" s="22"/>
      <c r="F533" s="22"/>
      <c r="G533" s="25" t="b">
        <v>1</v>
      </c>
      <c r="H533" s="22"/>
      <c r="I533" s="22"/>
      <c r="J533" s="24" t="s">
        <v>3215</v>
      </c>
      <c r="K533" s="25" t="s">
        <v>819</v>
      </c>
      <c r="L533" s="24"/>
      <c r="M533" s="24" t="s">
        <v>3216</v>
      </c>
      <c r="N533" s="24" t="s">
        <v>76</v>
      </c>
      <c r="O533" s="23" t="s">
        <v>77</v>
      </c>
      <c r="P533" s="29">
        <v>483.0</v>
      </c>
      <c r="Q533" s="24"/>
      <c r="R533" s="24" t="s">
        <v>37</v>
      </c>
      <c r="S533" s="24" t="s">
        <v>3217</v>
      </c>
      <c r="T533" s="23"/>
      <c r="U533" s="23"/>
      <c r="V533" s="23"/>
      <c r="W533" s="29">
        <v>2020.0</v>
      </c>
      <c r="X533" s="29">
        <v>2.0</v>
      </c>
      <c r="Y533" s="29"/>
      <c r="Z533" s="30"/>
      <c r="AA533" s="30" t="s">
        <v>3218</v>
      </c>
      <c r="AB533" s="30" t="s">
        <v>3219</v>
      </c>
      <c r="AC533" s="24"/>
      <c r="AD533" s="30" t="s">
        <v>3218</v>
      </c>
      <c r="AE533" s="24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</row>
    <row r="534">
      <c r="D534" s="4" t="b">
        <v>1</v>
      </c>
      <c r="E534" s="2" t="s">
        <v>3220</v>
      </c>
      <c r="J534" s="16" t="s">
        <v>3221</v>
      </c>
      <c r="K534" s="4" t="s">
        <v>819</v>
      </c>
      <c r="L534" s="16" t="s">
        <v>3222</v>
      </c>
      <c r="M534" s="16" t="s">
        <v>3148</v>
      </c>
      <c r="N534" s="16" t="s">
        <v>34</v>
      </c>
      <c r="O534" s="4" t="s">
        <v>167</v>
      </c>
      <c r="P534" s="31">
        <v>9500.0</v>
      </c>
      <c r="Q534" s="16"/>
      <c r="R534" s="16" t="s">
        <v>195</v>
      </c>
      <c r="S534" s="16" t="s">
        <v>3090</v>
      </c>
      <c r="T534" s="2"/>
      <c r="U534" s="2"/>
      <c r="V534" s="2"/>
      <c r="W534" s="31">
        <v>2020.0</v>
      </c>
      <c r="X534" s="31">
        <v>2.0</v>
      </c>
      <c r="Y534" s="31"/>
      <c r="Z534" s="16"/>
      <c r="AA534" s="16"/>
      <c r="AB534" s="32" t="s">
        <v>3223</v>
      </c>
      <c r="AC534" s="16"/>
      <c r="AD534" s="32" t="s">
        <v>3224</v>
      </c>
      <c r="AE534" s="16"/>
    </row>
    <row r="535">
      <c r="D535" s="4" t="b">
        <v>1</v>
      </c>
      <c r="E535" s="2" t="s">
        <v>3225</v>
      </c>
      <c r="J535" s="16" t="s">
        <v>3226</v>
      </c>
      <c r="K535" s="4" t="s">
        <v>819</v>
      </c>
      <c r="L535" s="16" t="s">
        <v>3227</v>
      </c>
      <c r="M535" s="16" t="s">
        <v>3228</v>
      </c>
      <c r="N535" s="16" t="s">
        <v>76</v>
      </c>
      <c r="O535" s="2" t="s">
        <v>77</v>
      </c>
      <c r="P535" s="31">
        <v>9003.0</v>
      </c>
      <c r="Q535" s="16"/>
      <c r="R535" s="16" t="s">
        <v>45</v>
      </c>
      <c r="S535" s="16" t="s">
        <v>3229</v>
      </c>
      <c r="T535" s="2"/>
      <c r="U535" s="2"/>
      <c r="V535" s="2"/>
      <c r="W535" s="31">
        <v>2020.0</v>
      </c>
      <c r="X535" s="31">
        <v>2.0</v>
      </c>
      <c r="Y535" s="31"/>
      <c r="Z535" s="32"/>
      <c r="AA535" s="32" t="s">
        <v>3230</v>
      </c>
      <c r="AB535" s="32" t="s">
        <v>3231</v>
      </c>
      <c r="AC535" s="16"/>
      <c r="AD535" s="32" t="s">
        <v>3232</v>
      </c>
      <c r="AE535" s="16"/>
    </row>
    <row r="536">
      <c r="A536" s="38"/>
      <c r="B536" s="38"/>
      <c r="C536" s="38"/>
      <c r="D536" s="56" t="b">
        <v>0</v>
      </c>
      <c r="E536" s="38"/>
      <c r="F536" s="38"/>
      <c r="G536" s="38"/>
      <c r="H536" s="38"/>
      <c r="I536" s="38"/>
      <c r="J536" s="56" t="s">
        <v>3233</v>
      </c>
      <c r="K536" s="55" t="s">
        <v>819</v>
      </c>
      <c r="L536" s="56" t="s">
        <v>819</v>
      </c>
      <c r="M536" s="56" t="s">
        <v>3148</v>
      </c>
      <c r="N536" s="56" t="s">
        <v>76</v>
      </c>
      <c r="O536" s="39" t="s">
        <v>77</v>
      </c>
      <c r="P536" s="58">
        <v>7274.0</v>
      </c>
      <c r="Q536" s="56"/>
      <c r="R536" s="56" t="s">
        <v>3234</v>
      </c>
      <c r="S536" s="56" t="s">
        <v>3184</v>
      </c>
      <c r="T536" s="39"/>
      <c r="U536" s="39"/>
      <c r="V536" s="39"/>
      <c r="W536" s="58">
        <v>2020.0</v>
      </c>
      <c r="X536" s="58">
        <v>2.0</v>
      </c>
      <c r="Y536" s="58"/>
      <c r="Z536" s="57"/>
      <c r="AA536" s="57" t="s">
        <v>3235</v>
      </c>
      <c r="AB536" s="57" t="s">
        <v>3236</v>
      </c>
      <c r="AC536" s="56"/>
      <c r="AD536" s="57" t="s">
        <v>3237</v>
      </c>
      <c r="AE536" s="56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</row>
    <row r="537">
      <c r="A537" s="38"/>
      <c r="B537" s="38"/>
      <c r="C537" s="38"/>
      <c r="D537" s="56" t="b">
        <v>0</v>
      </c>
      <c r="E537" s="38"/>
      <c r="F537" s="38"/>
      <c r="G537" s="38"/>
      <c r="H537" s="38"/>
      <c r="I537" s="38"/>
      <c r="J537" s="56" t="s">
        <v>3238</v>
      </c>
      <c r="K537" s="55" t="s">
        <v>819</v>
      </c>
      <c r="L537" s="56"/>
      <c r="M537" s="56"/>
      <c r="N537" s="56"/>
      <c r="O537" s="56"/>
      <c r="P537" s="56"/>
      <c r="Q537" s="56"/>
      <c r="R537" s="56"/>
      <c r="S537" s="56" t="s">
        <v>3239</v>
      </c>
      <c r="T537" s="39" t="s">
        <v>3240</v>
      </c>
      <c r="U537" s="39"/>
      <c r="V537" s="39"/>
      <c r="W537" s="58">
        <v>2020.0</v>
      </c>
      <c r="X537" s="56" t="s">
        <v>3148</v>
      </c>
      <c r="Y537" s="56"/>
      <c r="Z537" s="57"/>
      <c r="AA537" s="38"/>
      <c r="AB537" s="57" t="s">
        <v>3241</v>
      </c>
      <c r="AC537" s="56"/>
      <c r="AD537" s="57" t="s">
        <v>3235</v>
      </c>
      <c r="AE537" s="56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</row>
    <row r="538">
      <c r="D538" s="4" t="b">
        <v>1</v>
      </c>
      <c r="E538" s="2" t="s">
        <v>3242</v>
      </c>
      <c r="J538" s="16" t="s">
        <v>3243</v>
      </c>
      <c r="K538" s="4" t="s">
        <v>819</v>
      </c>
      <c r="L538" s="16" t="s">
        <v>3178</v>
      </c>
      <c r="M538" s="16" t="s">
        <v>3148</v>
      </c>
      <c r="N538" s="16" t="s">
        <v>76</v>
      </c>
      <c r="O538" s="2" t="s">
        <v>77</v>
      </c>
      <c r="P538" s="31">
        <v>307.0</v>
      </c>
      <c r="Q538" s="16"/>
      <c r="R538" s="16" t="s">
        <v>173</v>
      </c>
      <c r="S538" s="16" t="s">
        <v>3244</v>
      </c>
      <c r="T538" s="2"/>
      <c r="U538" s="2"/>
      <c r="V538" s="2"/>
      <c r="W538" s="31">
        <v>2020.0</v>
      </c>
      <c r="X538" s="31">
        <v>2.0</v>
      </c>
      <c r="Y538" s="31"/>
      <c r="Z538" s="32"/>
      <c r="AA538" s="32" t="s">
        <v>3245</v>
      </c>
      <c r="AB538" s="32" t="s">
        <v>3246</v>
      </c>
      <c r="AC538" s="16"/>
      <c r="AD538" s="32" t="s">
        <v>3247</v>
      </c>
      <c r="AE538" s="16"/>
    </row>
    <row r="539">
      <c r="D539" s="4" t="b">
        <v>1</v>
      </c>
      <c r="E539" s="2" t="s">
        <v>3248</v>
      </c>
      <c r="J539" s="16" t="s">
        <v>3249</v>
      </c>
      <c r="K539" s="4" t="s">
        <v>819</v>
      </c>
      <c r="L539" s="16"/>
      <c r="M539" s="16" t="s">
        <v>3148</v>
      </c>
      <c r="N539" s="16"/>
      <c r="O539" s="16"/>
      <c r="P539" s="31">
        <v>8080.0</v>
      </c>
      <c r="Q539" s="16"/>
      <c r="R539" s="16" t="s">
        <v>37</v>
      </c>
      <c r="S539" s="16" t="s">
        <v>3250</v>
      </c>
      <c r="T539" s="2"/>
      <c r="U539" s="2"/>
      <c r="V539" s="2"/>
      <c r="W539" s="31">
        <v>2020.0</v>
      </c>
      <c r="X539" s="31">
        <v>2.0</v>
      </c>
      <c r="Y539" s="31"/>
      <c r="Z539" s="32"/>
      <c r="AA539" s="32" t="s">
        <v>3251</v>
      </c>
      <c r="AB539" s="32" t="s">
        <v>3252</v>
      </c>
      <c r="AC539" s="16"/>
      <c r="AD539" s="32" t="s">
        <v>3251</v>
      </c>
      <c r="AE539" s="16"/>
    </row>
    <row r="540">
      <c r="D540" s="4" t="b">
        <v>1</v>
      </c>
      <c r="E540" s="2" t="s">
        <v>3253</v>
      </c>
      <c r="J540" s="16" t="s">
        <v>3254</v>
      </c>
      <c r="K540" s="4" t="s">
        <v>819</v>
      </c>
      <c r="L540" s="16" t="s">
        <v>3178</v>
      </c>
      <c r="M540" s="16" t="s">
        <v>3148</v>
      </c>
      <c r="N540" s="16" t="s">
        <v>3255</v>
      </c>
      <c r="O540" s="16"/>
      <c r="P540" s="31">
        <v>16.0</v>
      </c>
      <c r="Q540" s="16"/>
      <c r="R540" s="16" t="s">
        <v>45</v>
      </c>
      <c r="S540" s="16" t="s">
        <v>3174</v>
      </c>
      <c r="T540" s="2">
        <v>0.41</v>
      </c>
      <c r="U540" s="2"/>
      <c r="V540" s="2"/>
      <c r="W540" s="31">
        <v>2020.0</v>
      </c>
      <c r="X540" s="31">
        <v>2.0</v>
      </c>
      <c r="Y540" s="31"/>
      <c r="Z540" s="32"/>
      <c r="AA540" s="32" t="s">
        <v>3256</v>
      </c>
      <c r="AB540" s="32" t="s">
        <v>3257</v>
      </c>
      <c r="AC540" s="16"/>
      <c r="AD540" s="32" t="s">
        <v>3258</v>
      </c>
      <c r="AE540" s="16"/>
    </row>
    <row r="541">
      <c r="A541" s="11"/>
      <c r="B541" s="11"/>
      <c r="C541" s="11"/>
      <c r="D541" s="13" t="b">
        <v>1</v>
      </c>
      <c r="E541" s="12" t="s">
        <v>3259</v>
      </c>
      <c r="F541" s="11"/>
      <c r="G541" s="11"/>
      <c r="H541" s="11"/>
      <c r="I541" s="11"/>
      <c r="J541" s="35" t="s">
        <v>3260</v>
      </c>
      <c r="K541" s="13" t="s">
        <v>819</v>
      </c>
      <c r="L541" s="35"/>
      <c r="M541" s="12" t="s">
        <v>3148</v>
      </c>
      <c r="N541" s="35"/>
      <c r="O541" s="35"/>
      <c r="P541" s="35"/>
      <c r="Q541" s="35"/>
      <c r="R541" s="35"/>
      <c r="S541" s="35"/>
      <c r="T541" s="12">
        <v>90.92</v>
      </c>
      <c r="U541" s="12"/>
      <c r="V541" s="12"/>
      <c r="W541" s="36">
        <v>2021.0</v>
      </c>
      <c r="X541" s="35" t="s">
        <v>3148</v>
      </c>
      <c r="Y541" s="35"/>
      <c r="Z541" s="37"/>
      <c r="AA541" s="37" t="s">
        <v>3261</v>
      </c>
      <c r="AB541" s="37" t="s">
        <v>3262</v>
      </c>
      <c r="AC541" s="35"/>
      <c r="AD541" s="37" t="s">
        <v>3261</v>
      </c>
      <c r="AE541" s="35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</row>
    <row r="542">
      <c r="A542" s="38"/>
      <c r="B542" s="38"/>
      <c r="C542" s="38"/>
      <c r="D542" s="55" t="b">
        <v>1</v>
      </c>
      <c r="E542" s="39" t="s">
        <v>3263</v>
      </c>
      <c r="F542" s="38"/>
      <c r="G542" s="38"/>
      <c r="H542" s="38"/>
      <c r="I542" s="38"/>
      <c r="J542" s="56" t="s">
        <v>3264</v>
      </c>
      <c r="K542" s="55" t="s">
        <v>819</v>
      </c>
      <c r="L542" s="56" t="s">
        <v>819</v>
      </c>
      <c r="M542" s="56" t="s">
        <v>3148</v>
      </c>
      <c r="N542" s="56" t="s">
        <v>76</v>
      </c>
      <c r="O542" s="39" t="s">
        <v>77</v>
      </c>
      <c r="P542" s="58">
        <v>2178.0</v>
      </c>
      <c r="Q542" s="56"/>
      <c r="R542" s="56" t="s">
        <v>37</v>
      </c>
      <c r="S542" s="56" t="s">
        <v>3265</v>
      </c>
      <c r="T542" s="39">
        <v>3.2</v>
      </c>
      <c r="U542" s="39"/>
      <c r="V542" s="39"/>
      <c r="W542" s="58">
        <v>2021.0</v>
      </c>
      <c r="X542" s="58">
        <v>2.0</v>
      </c>
      <c r="Y542" s="58"/>
      <c r="Z542" s="57"/>
      <c r="AA542" s="57" t="s">
        <v>3266</v>
      </c>
      <c r="AB542" s="57" t="s">
        <v>3267</v>
      </c>
      <c r="AC542" s="56"/>
      <c r="AD542" s="57" t="s">
        <v>3268</v>
      </c>
      <c r="AE542" s="56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</row>
    <row r="543">
      <c r="A543" s="38"/>
      <c r="B543" s="38"/>
      <c r="C543" s="38"/>
      <c r="D543" s="56" t="b">
        <v>0</v>
      </c>
      <c r="E543" s="38"/>
      <c r="F543" s="38"/>
      <c r="G543" s="38"/>
      <c r="H543" s="38"/>
      <c r="I543" s="38"/>
      <c r="J543" s="56" t="s">
        <v>3269</v>
      </c>
      <c r="K543" s="55" t="s">
        <v>819</v>
      </c>
      <c r="L543" s="56"/>
      <c r="M543" s="56"/>
      <c r="N543" s="56" t="s">
        <v>3211</v>
      </c>
      <c r="O543" s="55" t="s">
        <v>523</v>
      </c>
      <c r="P543" s="56"/>
      <c r="Q543" s="56"/>
      <c r="R543" s="56"/>
      <c r="S543" s="56" t="s">
        <v>3270</v>
      </c>
      <c r="T543" s="38"/>
      <c r="U543" s="38"/>
      <c r="V543" s="38"/>
      <c r="W543" s="58">
        <v>2021.0</v>
      </c>
      <c r="X543" s="56" t="s">
        <v>3148</v>
      </c>
      <c r="Y543" s="56"/>
      <c r="Z543" s="57"/>
      <c r="AA543" s="57" t="s">
        <v>3271</v>
      </c>
      <c r="AB543" s="57" t="s">
        <v>3272</v>
      </c>
      <c r="AC543" s="56"/>
      <c r="AD543" s="57" t="s">
        <v>3271</v>
      </c>
      <c r="AE543" s="56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</row>
    <row r="544">
      <c r="A544" s="74"/>
      <c r="B544" s="74"/>
      <c r="C544" s="74"/>
      <c r="D544" s="73" t="b">
        <v>0</v>
      </c>
      <c r="E544" s="74"/>
      <c r="F544" s="74"/>
      <c r="G544" s="74"/>
      <c r="H544" s="74"/>
      <c r="I544" s="76" t="s">
        <v>3273</v>
      </c>
      <c r="J544" s="73" t="s">
        <v>3274</v>
      </c>
      <c r="K544" s="75" t="s">
        <v>819</v>
      </c>
      <c r="L544" s="73" t="s">
        <v>3275</v>
      </c>
      <c r="M544" s="73" t="s">
        <v>3148</v>
      </c>
      <c r="N544" s="73" t="s">
        <v>76</v>
      </c>
      <c r="O544" s="76" t="s">
        <v>77</v>
      </c>
      <c r="P544" s="73" t="s">
        <v>3276</v>
      </c>
      <c r="Q544" s="73"/>
      <c r="R544" s="73" t="s">
        <v>3277</v>
      </c>
      <c r="S544" s="73" t="s">
        <v>3278</v>
      </c>
      <c r="T544" s="76"/>
      <c r="U544" s="76"/>
      <c r="V544" s="76"/>
      <c r="W544" s="77">
        <v>2022.0</v>
      </c>
      <c r="X544" s="77">
        <v>2.0</v>
      </c>
      <c r="Y544" s="77"/>
      <c r="Z544" s="78"/>
      <c r="AA544" s="78" t="s">
        <v>3279</v>
      </c>
      <c r="AB544" s="78" t="s">
        <v>3280</v>
      </c>
      <c r="AC544" s="73"/>
      <c r="AD544" s="78" t="s">
        <v>3279</v>
      </c>
      <c r="AE544" s="73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</row>
    <row r="545">
      <c r="A545" s="74"/>
      <c r="B545" s="74"/>
      <c r="C545" s="74"/>
      <c r="D545" s="73" t="b">
        <v>0</v>
      </c>
      <c r="E545" s="74"/>
      <c r="F545" s="74"/>
      <c r="G545" s="74"/>
      <c r="H545" s="74"/>
      <c r="I545" s="76" t="s">
        <v>3273</v>
      </c>
      <c r="J545" s="73" t="s">
        <v>3281</v>
      </c>
      <c r="K545" s="75" t="s">
        <v>819</v>
      </c>
      <c r="L545" s="73" t="s">
        <v>3178</v>
      </c>
      <c r="M545" s="73" t="s">
        <v>3148</v>
      </c>
      <c r="N545" s="73" t="s">
        <v>3282</v>
      </c>
      <c r="O545" s="76" t="s">
        <v>77</v>
      </c>
      <c r="P545" s="77">
        <v>90489.0</v>
      </c>
      <c r="Q545" s="73"/>
      <c r="R545" s="73" t="s">
        <v>3283</v>
      </c>
      <c r="S545" s="73"/>
      <c r="T545" s="74"/>
      <c r="U545" s="74"/>
      <c r="V545" s="74"/>
      <c r="W545" s="77">
        <v>2022.0</v>
      </c>
      <c r="X545" s="77">
        <v>2.0</v>
      </c>
      <c r="Y545" s="77"/>
      <c r="Z545" s="78"/>
      <c r="AA545" s="78" t="s">
        <v>3284</v>
      </c>
      <c r="AB545" s="78" t="s">
        <v>3285</v>
      </c>
      <c r="AC545" s="73"/>
      <c r="AD545" s="78" t="s">
        <v>3284</v>
      </c>
      <c r="AE545" s="73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</row>
    <row r="546">
      <c r="D546" s="4" t="b">
        <v>1</v>
      </c>
      <c r="E546" s="2" t="s">
        <v>3286</v>
      </c>
      <c r="J546" s="16" t="s">
        <v>3287</v>
      </c>
      <c r="K546" s="4" t="s">
        <v>819</v>
      </c>
      <c r="L546" s="16" t="s">
        <v>819</v>
      </c>
      <c r="M546" s="16" t="s">
        <v>3148</v>
      </c>
      <c r="N546" s="16" t="s">
        <v>76</v>
      </c>
      <c r="O546" s="2" t="s">
        <v>77</v>
      </c>
      <c r="P546" s="16" t="s">
        <v>3288</v>
      </c>
      <c r="Q546" s="16"/>
      <c r="R546" s="16" t="s">
        <v>45</v>
      </c>
      <c r="S546" s="16" t="s">
        <v>3289</v>
      </c>
      <c r="T546" s="2"/>
      <c r="U546" s="2"/>
      <c r="V546" s="2"/>
      <c r="W546" s="31">
        <v>2022.0</v>
      </c>
      <c r="X546" s="31">
        <v>2.0</v>
      </c>
      <c r="Y546" s="31"/>
      <c r="Z546" s="32"/>
      <c r="AA546" s="32" t="s">
        <v>3290</v>
      </c>
      <c r="AB546" s="32" t="s">
        <v>3291</v>
      </c>
      <c r="AC546" s="16"/>
      <c r="AD546" s="32" t="s">
        <v>3292</v>
      </c>
      <c r="AE546" s="16"/>
    </row>
    <row r="547">
      <c r="A547" s="38"/>
      <c r="B547" s="38"/>
      <c r="C547" s="38"/>
      <c r="D547" s="55" t="b">
        <v>1</v>
      </c>
      <c r="E547" s="38"/>
      <c r="F547" s="38"/>
      <c r="G547" s="38"/>
      <c r="H547" s="38"/>
      <c r="I547" s="38"/>
      <c r="J547" s="56" t="s">
        <v>3293</v>
      </c>
      <c r="K547" s="55" t="s">
        <v>819</v>
      </c>
      <c r="L547" s="56"/>
      <c r="M547" s="56" t="s">
        <v>3148</v>
      </c>
      <c r="N547" s="56" t="s">
        <v>61</v>
      </c>
      <c r="O547" s="55" t="s">
        <v>523</v>
      </c>
      <c r="P547" s="58">
        <v>11276.0</v>
      </c>
      <c r="Q547" s="56"/>
      <c r="R547" s="56" t="s">
        <v>3294</v>
      </c>
      <c r="S547" s="56" t="s">
        <v>3295</v>
      </c>
      <c r="T547" s="39">
        <v>3.79</v>
      </c>
      <c r="U547" s="39"/>
      <c r="V547" s="39"/>
      <c r="W547" s="58">
        <v>2022.0</v>
      </c>
      <c r="X547" s="58">
        <v>2.0</v>
      </c>
      <c r="Y547" s="58"/>
      <c r="Z547" s="57"/>
      <c r="AA547" s="57" t="s">
        <v>3296</v>
      </c>
      <c r="AB547" s="57" t="s">
        <v>3297</v>
      </c>
      <c r="AC547" s="56"/>
      <c r="AD547" s="57" t="s">
        <v>3298</v>
      </c>
      <c r="AE547" s="56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</row>
    <row r="548">
      <c r="A548" s="74"/>
      <c r="B548" s="74"/>
      <c r="C548" s="74"/>
      <c r="D548" s="73" t="b">
        <v>0</v>
      </c>
      <c r="E548" s="74"/>
      <c r="F548" s="74"/>
      <c r="G548" s="74"/>
      <c r="H548" s="74"/>
      <c r="I548" s="76" t="s">
        <v>3299</v>
      </c>
      <c r="J548" s="73" t="s">
        <v>3300</v>
      </c>
      <c r="K548" s="75" t="s">
        <v>819</v>
      </c>
      <c r="L548" s="73"/>
      <c r="M548" s="73" t="s">
        <v>3301</v>
      </c>
      <c r="N548" s="73" t="s">
        <v>76</v>
      </c>
      <c r="O548" s="76" t="s">
        <v>77</v>
      </c>
      <c r="P548" s="77">
        <v>158690.0</v>
      </c>
      <c r="Q548" s="73"/>
      <c r="R548" s="73" t="s">
        <v>3302</v>
      </c>
      <c r="S548" s="73"/>
      <c r="T548" s="76"/>
      <c r="U548" s="76"/>
      <c r="V548" s="76"/>
      <c r="W548" s="77">
        <v>2022.0</v>
      </c>
      <c r="X548" s="77">
        <v>2.0</v>
      </c>
      <c r="Y548" s="77"/>
      <c r="Z548" s="78"/>
      <c r="AA548" s="78" t="s">
        <v>3303</v>
      </c>
      <c r="AB548" s="78" t="s">
        <v>3304</v>
      </c>
      <c r="AC548" s="73"/>
      <c r="AD548" s="73"/>
      <c r="AE548" s="73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</row>
    <row r="549">
      <c r="A549" s="38"/>
      <c r="B549" s="38"/>
      <c r="C549" s="38"/>
      <c r="D549" s="56" t="b">
        <v>0</v>
      </c>
      <c r="E549" s="38"/>
      <c r="F549" s="38"/>
      <c r="G549" s="38"/>
      <c r="H549" s="38"/>
      <c r="I549" s="38"/>
      <c r="J549" s="56" t="s">
        <v>3305</v>
      </c>
      <c r="K549" s="55" t="s">
        <v>819</v>
      </c>
      <c r="L549" s="56" t="s">
        <v>3306</v>
      </c>
      <c r="M549" s="56" t="s">
        <v>3148</v>
      </c>
      <c r="N549" s="56" t="s">
        <v>34</v>
      </c>
      <c r="O549" s="55" t="s">
        <v>167</v>
      </c>
      <c r="P549" s="58">
        <v>120024.0</v>
      </c>
      <c r="Q549" s="56"/>
      <c r="R549" s="56" t="s">
        <v>37</v>
      </c>
      <c r="S549" s="56" t="s">
        <v>3307</v>
      </c>
      <c r="T549" s="39"/>
      <c r="U549" s="39"/>
      <c r="V549" s="39"/>
      <c r="W549" s="58">
        <v>2023.0</v>
      </c>
      <c r="X549" s="58">
        <v>2.0</v>
      </c>
      <c r="Y549" s="58"/>
      <c r="Z549" s="57"/>
      <c r="AA549" s="57" t="s">
        <v>3308</v>
      </c>
      <c r="AB549" s="57" t="s">
        <v>3309</v>
      </c>
      <c r="AC549" s="56"/>
      <c r="AD549" s="57" t="s">
        <v>3310</v>
      </c>
      <c r="AE549" s="56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</row>
    <row r="550">
      <c r="A550" s="38"/>
      <c r="B550" s="38"/>
      <c r="C550" s="38"/>
      <c r="D550" s="55" t="b">
        <v>1</v>
      </c>
      <c r="E550" s="39" t="s">
        <v>3311</v>
      </c>
      <c r="F550" s="38"/>
      <c r="G550" s="38"/>
      <c r="H550" s="38"/>
      <c r="I550" s="38"/>
      <c r="J550" s="56" t="s">
        <v>3312</v>
      </c>
      <c r="K550" s="55" t="s">
        <v>819</v>
      </c>
      <c r="L550" s="56"/>
      <c r="M550" s="56" t="s">
        <v>3148</v>
      </c>
      <c r="N550" s="56" t="s">
        <v>34</v>
      </c>
      <c r="O550" s="55" t="s">
        <v>167</v>
      </c>
      <c r="P550" s="58">
        <v>1754.0</v>
      </c>
      <c r="Q550" s="56"/>
      <c r="R550" s="56" t="s">
        <v>37</v>
      </c>
      <c r="S550" s="56" t="s">
        <v>3313</v>
      </c>
      <c r="T550" s="39"/>
      <c r="U550" s="39"/>
      <c r="V550" s="39"/>
      <c r="W550" s="58">
        <v>2023.0</v>
      </c>
      <c r="X550" s="58">
        <v>2.0</v>
      </c>
      <c r="Y550" s="58"/>
      <c r="Z550" s="57"/>
      <c r="AA550" s="57" t="s">
        <v>3314</v>
      </c>
      <c r="AB550" s="57" t="s">
        <v>3315</v>
      </c>
      <c r="AC550" s="56"/>
      <c r="AD550" s="57" t="s">
        <v>3316</v>
      </c>
      <c r="AE550" s="56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</row>
    <row r="551">
      <c r="A551" s="38"/>
      <c r="B551" s="38"/>
      <c r="C551" s="38"/>
      <c r="D551" s="56" t="b">
        <v>0</v>
      </c>
      <c r="E551" s="38"/>
      <c r="F551" s="38"/>
      <c r="G551" s="38"/>
      <c r="H551" s="38"/>
      <c r="I551" s="39"/>
      <c r="J551" s="56" t="s">
        <v>3317</v>
      </c>
      <c r="K551" s="55" t="s">
        <v>819</v>
      </c>
      <c r="L551" s="56"/>
      <c r="M551" s="56" t="s">
        <v>3148</v>
      </c>
      <c r="N551" s="56" t="s">
        <v>3318</v>
      </c>
      <c r="O551" s="56"/>
      <c r="P551" s="58">
        <v>10015.0</v>
      </c>
      <c r="Q551" s="56"/>
      <c r="R551" s="56" t="s">
        <v>3319</v>
      </c>
      <c r="S551" s="56" t="s">
        <v>3320</v>
      </c>
      <c r="T551" s="38"/>
      <c r="U551" s="38"/>
      <c r="V551" s="38"/>
      <c r="W551" s="58">
        <v>2023.0</v>
      </c>
      <c r="X551" s="58">
        <v>2.0</v>
      </c>
      <c r="Y551" s="58"/>
      <c r="Z551" s="57"/>
      <c r="AA551" s="57" t="s">
        <v>3321</v>
      </c>
      <c r="AB551" s="57" t="s">
        <v>3322</v>
      </c>
      <c r="AC551" s="56"/>
      <c r="AD551" s="57" t="s">
        <v>3321</v>
      </c>
      <c r="AE551" s="56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</row>
    <row r="552">
      <c r="A552" s="74"/>
      <c r="B552" s="74"/>
      <c r="C552" s="74"/>
      <c r="D552" s="73" t="b">
        <v>0</v>
      </c>
      <c r="E552" s="74"/>
      <c r="F552" s="74"/>
      <c r="G552" s="74"/>
      <c r="H552" s="74"/>
      <c r="I552" s="76" t="s">
        <v>3323</v>
      </c>
      <c r="J552" s="73" t="s">
        <v>3324</v>
      </c>
      <c r="K552" s="75" t="s">
        <v>819</v>
      </c>
      <c r="L552" s="73" t="s">
        <v>3178</v>
      </c>
      <c r="M552" s="73" t="s">
        <v>3148</v>
      </c>
      <c r="N552" s="73" t="s">
        <v>3325</v>
      </c>
      <c r="O552" s="73"/>
      <c r="P552" s="77">
        <v>280.0</v>
      </c>
      <c r="Q552" s="73"/>
      <c r="R552" s="73" t="s">
        <v>3326</v>
      </c>
      <c r="S552" s="73" t="s">
        <v>3327</v>
      </c>
      <c r="T552" s="76"/>
      <c r="U552" s="76"/>
      <c r="V552" s="76"/>
      <c r="W552" s="77">
        <v>2024.0</v>
      </c>
      <c r="X552" s="77">
        <v>2.0</v>
      </c>
      <c r="Y552" s="77"/>
      <c r="Z552" s="78"/>
      <c r="AA552" s="78" t="s">
        <v>3328</v>
      </c>
      <c r="AB552" s="73" t="s">
        <v>275</v>
      </c>
      <c r="AC552" s="73"/>
      <c r="AD552" s="78" t="s">
        <v>3328</v>
      </c>
      <c r="AE552" s="73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</row>
    <row r="553">
      <c r="A553" s="22"/>
      <c r="B553" s="22"/>
      <c r="C553" s="22"/>
      <c r="D553" s="25" t="b">
        <v>0</v>
      </c>
      <c r="E553" s="22"/>
      <c r="F553" s="22"/>
      <c r="G553" s="25" t="b">
        <v>1</v>
      </c>
      <c r="H553" s="22"/>
      <c r="I553" s="22"/>
      <c r="J553" s="23" t="s">
        <v>3329</v>
      </c>
      <c r="K553" s="25" t="s">
        <v>819</v>
      </c>
      <c r="L553" s="23" t="s">
        <v>3330</v>
      </c>
      <c r="M553" s="22" t="s">
        <v>3331</v>
      </c>
      <c r="N553" s="22" t="s">
        <v>3332</v>
      </c>
      <c r="O553" s="22" t="s">
        <v>3333</v>
      </c>
      <c r="P553" s="22">
        <v>20.0</v>
      </c>
      <c r="Q553" s="22">
        <v>18902.0</v>
      </c>
      <c r="R553" s="22"/>
      <c r="S553" s="22"/>
      <c r="T553" s="22"/>
      <c r="U553" s="22"/>
      <c r="V553" s="22"/>
      <c r="W553" s="22">
        <v>2015.0</v>
      </c>
      <c r="X553" s="22" t="s">
        <v>343</v>
      </c>
      <c r="Y553" s="22" t="s">
        <v>3334</v>
      </c>
      <c r="Z553" s="23"/>
      <c r="AA553" s="28" t="s">
        <v>3335</v>
      </c>
      <c r="AB553" s="22" t="s">
        <v>3336</v>
      </c>
      <c r="AC553" s="22" t="s">
        <v>346</v>
      </c>
      <c r="AD553" s="22" t="s">
        <v>3337</v>
      </c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</row>
    <row r="554">
      <c r="A554" s="17"/>
      <c r="B554" s="17"/>
      <c r="C554" s="17"/>
      <c r="D554" s="19" t="b">
        <v>1</v>
      </c>
      <c r="E554" s="18" t="s">
        <v>3338</v>
      </c>
      <c r="F554" s="17"/>
      <c r="G554" s="17"/>
      <c r="H554" s="17"/>
      <c r="I554" s="18"/>
      <c r="J554" s="18" t="s">
        <v>3338</v>
      </c>
      <c r="K554" s="19" t="s">
        <v>819</v>
      </c>
      <c r="L554" s="18" t="s">
        <v>3330</v>
      </c>
      <c r="M554" s="18" t="s">
        <v>3339</v>
      </c>
      <c r="N554" s="17" t="s">
        <v>3340</v>
      </c>
      <c r="O554" s="17"/>
      <c r="P554" s="18">
        <v>327.0</v>
      </c>
      <c r="Q554" s="101" t="s">
        <v>3341</v>
      </c>
      <c r="R554" s="17" t="s">
        <v>3342</v>
      </c>
      <c r="S554" s="17"/>
      <c r="T554" s="17">
        <v>281.46</v>
      </c>
      <c r="U554" s="17"/>
      <c r="V554" s="17"/>
      <c r="W554" s="17">
        <v>2022.0</v>
      </c>
      <c r="X554" s="17" t="s">
        <v>3343</v>
      </c>
      <c r="Y554" s="101" t="s">
        <v>3344</v>
      </c>
      <c r="Z554" s="18"/>
      <c r="AA554" s="45" t="s">
        <v>3345</v>
      </c>
      <c r="AB554" s="101" t="s">
        <v>3346</v>
      </c>
      <c r="AC554" s="17" t="s">
        <v>334</v>
      </c>
      <c r="AD554" s="17" t="s">
        <v>3347</v>
      </c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</row>
    <row r="555">
      <c r="A555" s="38"/>
      <c r="B555" s="38"/>
      <c r="C555" s="38"/>
      <c r="D555" s="55" t="b">
        <v>1</v>
      </c>
      <c r="E555" s="39" t="s">
        <v>3348</v>
      </c>
      <c r="F555" s="38"/>
      <c r="G555" s="38"/>
      <c r="H555" s="38"/>
      <c r="I555" s="38"/>
      <c r="J555" s="39" t="s">
        <v>3349</v>
      </c>
      <c r="K555" s="55" t="s">
        <v>819</v>
      </c>
      <c r="L555" s="39" t="s">
        <v>3330</v>
      </c>
      <c r="M555" s="38" t="s">
        <v>469</v>
      </c>
      <c r="N555" s="38" t="s">
        <v>3350</v>
      </c>
      <c r="O555" s="38" t="s">
        <v>3351</v>
      </c>
      <c r="P555" s="38" t="s">
        <v>3352</v>
      </c>
      <c r="Q555" s="38">
        <v>5010.0</v>
      </c>
      <c r="R555" s="38" t="s">
        <v>3353</v>
      </c>
      <c r="S555" s="38" t="s">
        <v>3354</v>
      </c>
      <c r="T555" s="38">
        <v>1.0</v>
      </c>
      <c r="U555" s="38"/>
      <c r="V555" s="38"/>
      <c r="W555" s="38">
        <v>2016.0</v>
      </c>
      <c r="X555" s="38" t="s">
        <v>343</v>
      </c>
      <c r="Y555" s="38" t="s">
        <v>3355</v>
      </c>
      <c r="Z555" s="39"/>
      <c r="AA555" s="40" t="s">
        <v>3356</v>
      </c>
      <c r="AB555" s="38" t="s">
        <v>3357</v>
      </c>
      <c r="AC555" s="38" t="s">
        <v>72</v>
      </c>
      <c r="AD555" s="38" t="s">
        <v>3358</v>
      </c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</row>
    <row r="556">
      <c r="A556" s="38"/>
      <c r="B556" s="38"/>
      <c r="C556" s="38"/>
      <c r="D556" s="55" t="b">
        <v>1</v>
      </c>
      <c r="E556" s="39" t="s">
        <v>3359</v>
      </c>
      <c r="F556" s="38"/>
      <c r="G556" s="38"/>
      <c r="H556" s="38"/>
      <c r="I556" s="39"/>
      <c r="J556" s="39" t="s">
        <v>3360</v>
      </c>
      <c r="K556" s="55" t="s">
        <v>819</v>
      </c>
      <c r="L556" s="39" t="s">
        <v>3330</v>
      </c>
      <c r="M556" s="38" t="s">
        <v>3361</v>
      </c>
      <c r="N556" s="38" t="s">
        <v>3362</v>
      </c>
      <c r="O556" s="38"/>
      <c r="P556" s="38">
        <v>106.0</v>
      </c>
      <c r="Q556" s="38">
        <v>373.0</v>
      </c>
      <c r="R556" s="38" t="s">
        <v>531</v>
      </c>
      <c r="S556" s="38"/>
      <c r="T556" s="38">
        <v>66.69</v>
      </c>
      <c r="U556" s="38"/>
      <c r="V556" s="38"/>
      <c r="W556" s="38">
        <v>2021.0</v>
      </c>
      <c r="X556" s="38" t="s">
        <v>343</v>
      </c>
      <c r="Y556" s="38" t="s">
        <v>682</v>
      </c>
      <c r="Z556" s="39"/>
      <c r="AA556" s="51" t="s">
        <v>3363</v>
      </c>
      <c r="AB556" s="38" t="s">
        <v>3364</v>
      </c>
      <c r="AC556" s="38" t="s">
        <v>334</v>
      </c>
      <c r="AD556" s="38" t="s">
        <v>3365</v>
      </c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</row>
    <row r="557">
      <c r="D557" s="4" t="b">
        <v>1</v>
      </c>
      <c r="E557" s="2" t="s">
        <v>3366</v>
      </c>
      <c r="J557" s="2" t="s">
        <v>3367</v>
      </c>
      <c r="K557" s="4" t="s">
        <v>819</v>
      </c>
      <c r="L557" s="2" t="s">
        <v>3330</v>
      </c>
      <c r="M557" s="3" t="s">
        <v>3368</v>
      </c>
      <c r="N557" s="3" t="s">
        <v>3369</v>
      </c>
      <c r="O557" s="3" t="s">
        <v>3370</v>
      </c>
      <c r="P557" s="3">
        <v>379.0</v>
      </c>
      <c r="Q557" s="3">
        <v>379.0</v>
      </c>
      <c r="S557" s="3" t="s">
        <v>3371</v>
      </c>
      <c r="X557" s="3" t="s">
        <v>343</v>
      </c>
      <c r="Y557" s="3" t="s">
        <v>2340</v>
      </c>
      <c r="Z557" s="2"/>
      <c r="AA557" s="15" t="s">
        <v>3372</v>
      </c>
      <c r="AB557" s="3" t="s">
        <v>3373</v>
      </c>
      <c r="AC557" s="3" t="s">
        <v>3374</v>
      </c>
      <c r="AD557" s="3" t="s">
        <v>3372</v>
      </c>
    </row>
    <row r="558">
      <c r="D558" s="4" t="b">
        <v>1</v>
      </c>
      <c r="E558" s="2" t="s">
        <v>3375</v>
      </c>
      <c r="J558" s="2" t="s">
        <v>3376</v>
      </c>
      <c r="K558" s="4" t="s">
        <v>819</v>
      </c>
      <c r="L558" s="2" t="s">
        <v>3330</v>
      </c>
      <c r="M558" s="3" t="s">
        <v>3148</v>
      </c>
      <c r="N558" s="3" t="s">
        <v>769</v>
      </c>
      <c r="O558" s="3" t="s">
        <v>3377</v>
      </c>
      <c r="P558" s="3">
        <v>386.0</v>
      </c>
      <c r="Q558" s="3">
        <v>386.0</v>
      </c>
      <c r="R558" s="3" t="s">
        <v>3378</v>
      </c>
      <c r="W558" s="3">
        <v>2020.0</v>
      </c>
      <c r="X558" s="3" t="s">
        <v>343</v>
      </c>
      <c r="Y558" s="3" t="s">
        <v>3379</v>
      </c>
      <c r="Z558" s="2"/>
      <c r="AA558" s="15" t="s">
        <v>3380</v>
      </c>
      <c r="AB558" s="3" t="s">
        <v>346</v>
      </c>
      <c r="AC558" s="3" t="s">
        <v>3381</v>
      </c>
    </row>
    <row r="559">
      <c r="A559" s="22"/>
      <c r="B559" s="22"/>
      <c r="C559" s="22"/>
      <c r="D559" s="25" t="b">
        <v>0</v>
      </c>
      <c r="E559" s="23"/>
      <c r="F559" s="22"/>
      <c r="G559" s="25" t="b">
        <v>1</v>
      </c>
      <c r="H559" s="22"/>
      <c r="I559" s="22"/>
      <c r="J559" s="23" t="s">
        <v>3382</v>
      </c>
      <c r="K559" s="25" t="s">
        <v>819</v>
      </c>
      <c r="L559" s="23" t="s">
        <v>3330</v>
      </c>
      <c r="M559" s="22" t="s">
        <v>3383</v>
      </c>
      <c r="N559" s="22" t="s">
        <v>3384</v>
      </c>
      <c r="O559" s="22" t="s">
        <v>215</v>
      </c>
      <c r="P559" s="22">
        <v>5138.0</v>
      </c>
      <c r="Q559" s="22"/>
      <c r="R559" s="22" t="s">
        <v>776</v>
      </c>
      <c r="S559" s="22" t="s">
        <v>3385</v>
      </c>
      <c r="T559" s="22"/>
      <c r="U559" s="22"/>
      <c r="V559" s="22"/>
      <c r="W559" s="22"/>
      <c r="X559" s="22" t="s">
        <v>343</v>
      </c>
      <c r="Y559" s="22" t="s">
        <v>3386</v>
      </c>
      <c r="Z559" s="23"/>
      <c r="AA559" s="27" t="s">
        <v>3387</v>
      </c>
      <c r="AB559" s="22" t="s">
        <v>3388</v>
      </c>
      <c r="AC559" s="22" t="s">
        <v>3389</v>
      </c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</row>
    <row r="560">
      <c r="D560" s="4" t="b">
        <v>1</v>
      </c>
      <c r="E560" s="2" t="s">
        <v>3390</v>
      </c>
      <c r="J560" s="2" t="s">
        <v>3391</v>
      </c>
      <c r="K560" s="4" t="s">
        <v>819</v>
      </c>
      <c r="L560" s="2" t="s">
        <v>3330</v>
      </c>
      <c r="M560" s="3" t="s">
        <v>3148</v>
      </c>
      <c r="N560" s="3" t="s">
        <v>769</v>
      </c>
      <c r="O560" s="3" t="s">
        <v>3392</v>
      </c>
      <c r="R560" s="3" t="s">
        <v>3393</v>
      </c>
      <c r="W560" s="3">
        <v>2021.0</v>
      </c>
      <c r="X560" s="3" t="s">
        <v>343</v>
      </c>
      <c r="Y560" s="3" t="s">
        <v>3394</v>
      </c>
      <c r="Z560" s="2"/>
      <c r="AA560" s="5" t="s">
        <v>3395</v>
      </c>
      <c r="AB560" s="3" t="s">
        <v>346</v>
      </c>
      <c r="AC560" s="3" t="s">
        <v>3396</v>
      </c>
    </row>
    <row r="561">
      <c r="D561" s="4" t="b">
        <v>1</v>
      </c>
      <c r="E561" s="2" t="s">
        <v>3397</v>
      </c>
      <c r="J561" s="2" t="s">
        <v>3398</v>
      </c>
      <c r="K561" s="4" t="s">
        <v>819</v>
      </c>
      <c r="L561" s="2" t="s">
        <v>3330</v>
      </c>
      <c r="M561" s="3" t="s">
        <v>3399</v>
      </c>
      <c r="N561" s="3" t="s">
        <v>85</v>
      </c>
      <c r="O561" s="3" t="s">
        <v>3400</v>
      </c>
      <c r="P561" s="3" t="s">
        <v>3401</v>
      </c>
      <c r="Q561" s="3">
        <v>110079.0</v>
      </c>
      <c r="R561" s="3" t="s">
        <v>3402</v>
      </c>
      <c r="S561" s="3" t="s">
        <v>3403</v>
      </c>
      <c r="T561" s="3">
        <v>58.6</v>
      </c>
      <c r="W561" s="3">
        <v>2020.0</v>
      </c>
      <c r="X561" s="3" t="s">
        <v>343</v>
      </c>
      <c r="Y561" s="3" t="s">
        <v>3404</v>
      </c>
      <c r="Z561" s="2"/>
      <c r="AA561" s="5" t="s">
        <v>3405</v>
      </c>
      <c r="AB561" s="3" t="s">
        <v>3406</v>
      </c>
      <c r="AC561" s="3" t="s">
        <v>3407</v>
      </c>
    </row>
    <row r="562">
      <c r="A562" s="22"/>
      <c r="B562" s="22"/>
      <c r="C562" s="22"/>
      <c r="D562" s="24" t="b">
        <v>0</v>
      </c>
      <c r="E562" s="22"/>
      <c r="F562" s="22"/>
      <c r="G562" s="25" t="b">
        <v>1</v>
      </c>
      <c r="H562" s="22"/>
      <c r="I562" s="22"/>
      <c r="J562" s="23" t="s">
        <v>3408</v>
      </c>
      <c r="K562" s="25" t="s">
        <v>819</v>
      </c>
      <c r="L562" s="23" t="s">
        <v>3330</v>
      </c>
      <c r="M562" s="22" t="s">
        <v>3409</v>
      </c>
      <c r="N562" s="22" t="s">
        <v>3410</v>
      </c>
      <c r="O562" s="22" t="s">
        <v>3411</v>
      </c>
      <c r="P562" s="22">
        <v>118.0</v>
      </c>
      <c r="Q562" s="22">
        <v>118.0</v>
      </c>
      <c r="R562" s="22" t="s">
        <v>531</v>
      </c>
      <c r="S562" s="22" t="s">
        <v>3412</v>
      </c>
      <c r="T562" s="22"/>
      <c r="U562" s="22"/>
      <c r="V562" s="22"/>
      <c r="W562" s="22">
        <v>2020.0</v>
      </c>
      <c r="X562" s="22" t="s">
        <v>343</v>
      </c>
      <c r="Y562" s="22" t="s">
        <v>3413</v>
      </c>
      <c r="Z562" s="23"/>
      <c r="AA562" s="27" t="s">
        <v>3414</v>
      </c>
      <c r="AB562" s="22" t="s">
        <v>346</v>
      </c>
      <c r="AC562" s="22" t="s">
        <v>3415</v>
      </c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</row>
    <row r="563">
      <c r="A563" s="22"/>
      <c r="B563" s="22"/>
      <c r="C563" s="22"/>
      <c r="D563" s="24" t="b">
        <v>0</v>
      </c>
      <c r="E563" s="22"/>
      <c r="F563" s="22"/>
      <c r="G563" s="25" t="b">
        <v>1</v>
      </c>
      <c r="H563" s="22"/>
      <c r="I563" s="22"/>
      <c r="J563" s="23" t="s">
        <v>3416</v>
      </c>
      <c r="K563" s="25" t="s">
        <v>819</v>
      </c>
      <c r="L563" s="23" t="s">
        <v>3330</v>
      </c>
      <c r="M563" s="22" t="s">
        <v>3417</v>
      </c>
      <c r="N563" s="22" t="s">
        <v>3418</v>
      </c>
      <c r="O563" s="22" t="s">
        <v>3419</v>
      </c>
      <c r="P563" s="22"/>
      <c r="Q563" s="22"/>
      <c r="R563" s="22" t="s">
        <v>531</v>
      </c>
      <c r="S563" s="22"/>
      <c r="T563" s="22"/>
      <c r="U563" s="22"/>
      <c r="V563" s="22"/>
      <c r="W563" s="22">
        <v>2023.0</v>
      </c>
      <c r="X563" s="22" t="s">
        <v>343</v>
      </c>
      <c r="Y563" s="22"/>
      <c r="Z563" s="23"/>
      <c r="AA563" s="27" t="s">
        <v>3420</v>
      </c>
      <c r="AB563" s="22" t="s">
        <v>346</v>
      </c>
      <c r="AC563" s="22" t="s">
        <v>3421</v>
      </c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</row>
    <row r="564">
      <c r="D564" s="4" t="b">
        <v>1</v>
      </c>
      <c r="E564" s="2" t="s">
        <v>3422</v>
      </c>
      <c r="J564" s="2" t="s">
        <v>3423</v>
      </c>
      <c r="K564" s="4" t="s">
        <v>819</v>
      </c>
      <c r="L564" s="2" t="s">
        <v>3330</v>
      </c>
      <c r="M564" s="3" t="s">
        <v>3148</v>
      </c>
      <c r="N564" s="3" t="s">
        <v>769</v>
      </c>
      <c r="O564" s="3" t="s">
        <v>3424</v>
      </c>
      <c r="P564" s="3">
        <v>8037.0</v>
      </c>
      <c r="Q564" s="3">
        <v>8037.0</v>
      </c>
      <c r="R564" s="3" t="s">
        <v>3425</v>
      </c>
      <c r="S564" s="3" t="s">
        <v>3403</v>
      </c>
      <c r="T564" s="3">
        <v>1.57</v>
      </c>
      <c r="W564" s="3">
        <v>2022.0</v>
      </c>
      <c r="X564" s="3" t="s">
        <v>343</v>
      </c>
      <c r="Y564" s="3" t="s">
        <v>3426</v>
      </c>
      <c r="Z564" s="2"/>
      <c r="AA564" s="5" t="s">
        <v>3427</v>
      </c>
      <c r="AB564" s="3" t="s">
        <v>1244</v>
      </c>
      <c r="AC564" s="3" t="s">
        <v>3428</v>
      </c>
    </row>
    <row r="565">
      <c r="A565" s="17"/>
      <c r="B565" s="17"/>
      <c r="C565" s="17"/>
      <c r="D565" s="19" t="b">
        <v>1</v>
      </c>
      <c r="E565" s="18" t="s">
        <v>3429</v>
      </c>
      <c r="F565" s="17"/>
      <c r="G565" s="17"/>
      <c r="H565" s="17"/>
      <c r="I565" s="17"/>
      <c r="J565" s="18" t="s">
        <v>3430</v>
      </c>
      <c r="K565" s="19" t="s">
        <v>819</v>
      </c>
      <c r="L565" s="18" t="s">
        <v>3330</v>
      </c>
      <c r="M565" s="17" t="s">
        <v>3431</v>
      </c>
      <c r="N565" s="17" t="s">
        <v>85</v>
      </c>
      <c r="O565" s="17"/>
      <c r="P565" s="17">
        <v>458.0</v>
      </c>
      <c r="Q565" s="17" t="s">
        <v>3432</v>
      </c>
      <c r="R565" s="17" t="s">
        <v>3433</v>
      </c>
      <c r="S565" s="17"/>
      <c r="T565" s="17">
        <v>4.5</v>
      </c>
      <c r="U565" s="17"/>
      <c r="V565" s="17"/>
      <c r="W565" s="17"/>
      <c r="X565" s="17" t="s">
        <v>938</v>
      </c>
      <c r="Y565" s="17" t="s">
        <v>3434</v>
      </c>
      <c r="Z565" s="18"/>
      <c r="AA565" s="20" t="s">
        <v>3435</v>
      </c>
      <c r="AB565" s="17" t="s">
        <v>3436</v>
      </c>
      <c r="AC565" s="17" t="s">
        <v>3437</v>
      </c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</row>
    <row r="566">
      <c r="A566" s="17"/>
      <c r="B566" s="17"/>
      <c r="C566" s="17"/>
      <c r="D566" s="19" t="b">
        <v>1</v>
      </c>
      <c r="E566" s="18" t="s">
        <v>3438</v>
      </c>
      <c r="F566" s="17"/>
      <c r="G566" s="17"/>
      <c r="H566" s="17"/>
      <c r="I566" s="17"/>
      <c r="J566" s="18" t="s">
        <v>3438</v>
      </c>
      <c r="K566" s="19" t="s">
        <v>819</v>
      </c>
      <c r="L566" s="18" t="s">
        <v>3330</v>
      </c>
      <c r="M566" s="17" t="s">
        <v>3439</v>
      </c>
      <c r="N566" s="17" t="s">
        <v>85</v>
      </c>
      <c r="O566" s="17"/>
      <c r="P566" s="17">
        <v>183.0</v>
      </c>
      <c r="Q566" s="17" t="s">
        <v>3440</v>
      </c>
      <c r="R566" s="17" t="s">
        <v>3433</v>
      </c>
      <c r="S566" s="17"/>
      <c r="T566" s="17">
        <v>0.279</v>
      </c>
      <c r="U566" s="17"/>
      <c r="V566" s="17"/>
      <c r="W566" s="17"/>
      <c r="X566" s="17" t="s">
        <v>938</v>
      </c>
      <c r="Y566" s="17" t="s">
        <v>3434</v>
      </c>
      <c r="Z566" s="18"/>
      <c r="AA566" s="45" t="s">
        <v>3441</v>
      </c>
      <c r="AB566" s="17" t="s">
        <v>3436</v>
      </c>
      <c r="AC566" s="17" t="s">
        <v>3442</v>
      </c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</row>
    <row r="567">
      <c r="D567" s="4" t="b">
        <v>1</v>
      </c>
      <c r="E567" s="2" t="s">
        <v>3443</v>
      </c>
      <c r="J567" s="2" t="s">
        <v>3444</v>
      </c>
      <c r="K567" s="4" t="s">
        <v>819</v>
      </c>
      <c r="L567" s="2" t="s">
        <v>3330</v>
      </c>
      <c r="M567" s="3" t="s">
        <v>60</v>
      </c>
      <c r="N567" s="3" t="s">
        <v>3211</v>
      </c>
      <c r="O567" s="3" t="s">
        <v>3445</v>
      </c>
      <c r="P567" s="3">
        <v>825.0</v>
      </c>
      <c r="R567" s="3" t="s">
        <v>63</v>
      </c>
      <c r="T567" s="3">
        <v>462.6</v>
      </c>
      <c r="W567" s="3">
        <v>2004.0</v>
      </c>
      <c r="X567" s="3" t="s">
        <v>331</v>
      </c>
      <c r="Y567" s="3" t="s">
        <v>332</v>
      </c>
      <c r="Z567" s="2"/>
      <c r="AA567" s="15" t="s">
        <v>3446</v>
      </c>
      <c r="AB567" s="3" t="s">
        <v>334</v>
      </c>
      <c r="AC567" s="3" t="s">
        <v>3447</v>
      </c>
    </row>
    <row r="568">
      <c r="D568" s="4" t="b">
        <v>1</v>
      </c>
      <c r="E568" s="2" t="s">
        <v>3448</v>
      </c>
      <c r="J568" s="2" t="s">
        <v>3448</v>
      </c>
      <c r="K568" s="4" t="s">
        <v>819</v>
      </c>
      <c r="L568" s="2" t="s">
        <v>3449</v>
      </c>
      <c r="M568" s="2" t="s">
        <v>3450</v>
      </c>
      <c r="N568" s="2" t="s">
        <v>76</v>
      </c>
      <c r="O568" s="2" t="s">
        <v>3451</v>
      </c>
      <c r="R568" s="2" t="s">
        <v>341</v>
      </c>
      <c r="W568" s="2">
        <v>2020.0</v>
      </c>
      <c r="X568" s="2" t="s">
        <v>343</v>
      </c>
      <c r="Y568" s="2" t="s">
        <v>332</v>
      </c>
      <c r="Z568" s="2"/>
      <c r="AA568" s="5" t="s">
        <v>3452</v>
      </c>
      <c r="AB568" s="15" t="s">
        <v>3453</v>
      </c>
      <c r="AC568" s="2" t="s">
        <v>105</v>
      </c>
      <c r="AD568" s="15" t="s">
        <v>3454</v>
      </c>
    </row>
    <row r="569">
      <c r="D569" s="4" t="b">
        <v>1</v>
      </c>
      <c r="E569" s="2" t="s">
        <v>3455</v>
      </c>
      <c r="J569" s="2" t="s">
        <v>3456</v>
      </c>
      <c r="K569" s="4" t="s">
        <v>819</v>
      </c>
      <c r="L569" s="2" t="s">
        <v>3449</v>
      </c>
      <c r="M569" s="2" t="s">
        <v>355</v>
      </c>
      <c r="N569" s="2" t="s">
        <v>61</v>
      </c>
      <c r="O569" s="2" t="s">
        <v>3457</v>
      </c>
      <c r="P569" s="2" t="s">
        <v>3458</v>
      </c>
      <c r="R569" s="2" t="s">
        <v>341</v>
      </c>
      <c r="W569" s="2">
        <v>2020.0</v>
      </c>
      <c r="X569" s="2" t="s">
        <v>343</v>
      </c>
      <c r="Y569" s="2" t="s">
        <v>3459</v>
      </c>
      <c r="Z569" s="2"/>
      <c r="AA569" s="5" t="s">
        <v>3453</v>
      </c>
      <c r="AB569" s="15" t="s">
        <v>3460</v>
      </c>
      <c r="AC569" s="2" t="s">
        <v>3461</v>
      </c>
      <c r="AD569" s="15" t="s">
        <v>3462</v>
      </c>
    </row>
    <row r="570">
      <c r="A570" s="22"/>
      <c r="B570" s="22"/>
      <c r="C570" s="22"/>
      <c r="D570" s="24" t="b">
        <v>0</v>
      </c>
      <c r="E570" s="22"/>
      <c r="F570" s="22"/>
      <c r="G570" s="25" t="b">
        <v>1</v>
      </c>
      <c r="H570" s="22"/>
      <c r="I570" s="22"/>
      <c r="J570" s="23" t="s">
        <v>3463</v>
      </c>
      <c r="K570" s="25" t="s">
        <v>819</v>
      </c>
      <c r="L570" s="23" t="s">
        <v>3449</v>
      </c>
      <c r="M570" s="23" t="s">
        <v>3464</v>
      </c>
      <c r="N570" s="23" t="s">
        <v>485</v>
      </c>
      <c r="O570" s="23" t="s">
        <v>3457</v>
      </c>
      <c r="P570" s="23" t="s">
        <v>3458</v>
      </c>
      <c r="Q570" s="22"/>
      <c r="R570" s="23" t="s">
        <v>3465</v>
      </c>
      <c r="S570" s="22"/>
      <c r="T570" s="22"/>
      <c r="U570" s="22"/>
      <c r="V570" s="22"/>
      <c r="W570" s="22"/>
      <c r="X570" s="23" t="s">
        <v>3466</v>
      </c>
      <c r="Y570" s="23" t="s">
        <v>332</v>
      </c>
      <c r="Z570" s="23"/>
      <c r="AA570" s="27" t="s">
        <v>3467</v>
      </c>
      <c r="AB570" s="28" t="s">
        <v>3468</v>
      </c>
      <c r="AC570" s="23" t="s">
        <v>334</v>
      </c>
      <c r="AD570" s="28" t="s">
        <v>3468</v>
      </c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</row>
    <row r="571">
      <c r="A571" s="17"/>
      <c r="B571" s="17"/>
      <c r="C571" s="17"/>
      <c r="D571" s="19" t="b">
        <v>1</v>
      </c>
      <c r="E571" s="18" t="s">
        <v>3469</v>
      </c>
      <c r="F571" s="17"/>
      <c r="G571" s="17"/>
      <c r="H571" s="17"/>
      <c r="I571" s="17"/>
      <c r="J571" s="18" t="s">
        <v>3469</v>
      </c>
      <c r="K571" s="19" t="s">
        <v>819</v>
      </c>
      <c r="L571" s="18" t="s">
        <v>3449</v>
      </c>
      <c r="M571" s="17" t="s">
        <v>3470</v>
      </c>
      <c r="N571" s="17" t="s">
        <v>34</v>
      </c>
      <c r="O571" s="17" t="s">
        <v>167</v>
      </c>
      <c r="P571" s="18">
        <v>192.0</v>
      </c>
      <c r="Q571" s="17">
        <v>111781.0</v>
      </c>
      <c r="R571" s="17" t="s">
        <v>63</v>
      </c>
      <c r="S571" s="17"/>
      <c r="T571" s="17">
        <v>58.03</v>
      </c>
      <c r="U571" s="17"/>
      <c r="V571" s="17"/>
      <c r="W571" s="17">
        <v>2016.0</v>
      </c>
      <c r="X571" s="17" t="s">
        <v>331</v>
      </c>
      <c r="Y571" s="17" t="s">
        <v>3471</v>
      </c>
      <c r="Z571" s="18"/>
      <c r="AA571" s="45" t="s">
        <v>3472</v>
      </c>
      <c r="AB571" s="17" t="s">
        <v>3473</v>
      </c>
      <c r="AC571" s="17" t="s">
        <v>334</v>
      </c>
      <c r="AD571" s="17" t="s">
        <v>3472</v>
      </c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</row>
    <row r="572">
      <c r="A572" s="17"/>
      <c r="B572" s="17"/>
      <c r="C572" s="17"/>
      <c r="D572" s="19" t="b">
        <v>1</v>
      </c>
      <c r="E572" s="18" t="s">
        <v>3474</v>
      </c>
      <c r="F572" s="17"/>
      <c r="G572" s="17"/>
      <c r="H572" s="17"/>
      <c r="I572" s="17"/>
      <c r="J572" s="18" t="s">
        <v>3475</v>
      </c>
      <c r="K572" s="19" t="s">
        <v>819</v>
      </c>
      <c r="L572" s="18" t="s">
        <v>3449</v>
      </c>
      <c r="M572" s="17" t="s">
        <v>3476</v>
      </c>
      <c r="N572" s="17" t="s">
        <v>34</v>
      </c>
      <c r="O572" s="17" t="s">
        <v>167</v>
      </c>
      <c r="P572" s="17">
        <v>15.0</v>
      </c>
      <c r="Q572" s="17">
        <v>9221.0</v>
      </c>
      <c r="R572" s="17" t="s">
        <v>63</v>
      </c>
      <c r="S572" s="17"/>
      <c r="T572" s="17">
        <v>4.56</v>
      </c>
      <c r="U572" s="17"/>
      <c r="V572" s="17"/>
      <c r="W572" s="17">
        <v>2016.0</v>
      </c>
      <c r="X572" s="17" t="s">
        <v>331</v>
      </c>
      <c r="Y572" s="17" t="s">
        <v>3477</v>
      </c>
      <c r="Z572" s="18"/>
      <c r="AA572" s="20" t="s">
        <v>3478</v>
      </c>
      <c r="AB572" s="17" t="s">
        <v>3479</v>
      </c>
      <c r="AC572" s="17" t="s">
        <v>334</v>
      </c>
      <c r="AD572" s="17" t="s">
        <v>3478</v>
      </c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</row>
    <row r="573">
      <c r="A573" s="17"/>
      <c r="B573" s="17"/>
      <c r="C573" s="17"/>
      <c r="D573" s="19" t="b">
        <v>1</v>
      </c>
      <c r="E573" s="18" t="s">
        <v>3480</v>
      </c>
      <c r="F573" s="17"/>
      <c r="G573" s="17"/>
      <c r="H573" s="17"/>
      <c r="I573" s="17"/>
      <c r="J573" s="18" t="s">
        <v>3481</v>
      </c>
      <c r="K573" s="19" t="s">
        <v>819</v>
      </c>
      <c r="L573" s="18" t="s">
        <v>3449</v>
      </c>
      <c r="M573" s="17" t="s">
        <v>3482</v>
      </c>
      <c r="N573" s="17" t="s">
        <v>34</v>
      </c>
      <c r="O573" s="17" t="s">
        <v>167</v>
      </c>
      <c r="P573" s="17">
        <v>267.0</v>
      </c>
      <c r="Q573" s="17">
        <v>192581.0</v>
      </c>
      <c r="R573" s="17" t="s">
        <v>63</v>
      </c>
      <c r="S573" s="17"/>
      <c r="T573" s="17">
        <v>91.56</v>
      </c>
      <c r="U573" s="17"/>
      <c r="V573" s="17"/>
      <c r="W573" s="17">
        <v>2016.0</v>
      </c>
      <c r="X573" s="17" t="s">
        <v>331</v>
      </c>
      <c r="Y573" s="17" t="s">
        <v>3477</v>
      </c>
      <c r="Z573" s="18"/>
      <c r="AA573" s="45" t="s">
        <v>3483</v>
      </c>
      <c r="AB573" s="17" t="s">
        <v>3484</v>
      </c>
      <c r="AC573" s="17" t="s">
        <v>334</v>
      </c>
      <c r="AD573" s="17" t="s">
        <v>3483</v>
      </c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</row>
    <row r="574">
      <c r="A574" s="17"/>
      <c r="B574" s="17"/>
      <c r="C574" s="17"/>
      <c r="D574" s="19" t="b">
        <v>1</v>
      </c>
      <c r="E574" s="18" t="s">
        <v>3485</v>
      </c>
      <c r="F574" s="17"/>
      <c r="G574" s="17"/>
      <c r="H574" s="17"/>
      <c r="I574" s="17"/>
      <c r="J574" s="18" t="s">
        <v>3485</v>
      </c>
      <c r="K574" s="19" t="s">
        <v>819</v>
      </c>
      <c r="L574" s="18" t="s">
        <v>3449</v>
      </c>
      <c r="M574" s="17" t="s">
        <v>3486</v>
      </c>
      <c r="N574" s="17" t="s">
        <v>34</v>
      </c>
      <c r="O574" s="17" t="s">
        <v>167</v>
      </c>
      <c r="P574" s="18">
        <v>47.0</v>
      </c>
      <c r="Q574" s="17">
        <v>26667.0</v>
      </c>
      <c r="R574" s="17" t="s">
        <v>63</v>
      </c>
      <c r="S574" s="17"/>
      <c r="T574" s="17">
        <v>10.27</v>
      </c>
      <c r="U574" s="17"/>
      <c r="V574" s="17"/>
      <c r="W574" s="17">
        <v>2016.0</v>
      </c>
      <c r="X574" s="17" t="s">
        <v>331</v>
      </c>
      <c r="Y574" s="17" t="s">
        <v>3477</v>
      </c>
      <c r="Z574" s="18"/>
      <c r="AA574" s="45" t="s">
        <v>3487</v>
      </c>
      <c r="AB574" s="17" t="s">
        <v>3488</v>
      </c>
      <c r="AC574" s="17" t="s">
        <v>334</v>
      </c>
      <c r="AD574" s="17" t="s">
        <v>3487</v>
      </c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</row>
    <row r="575">
      <c r="D575" s="4" t="b">
        <v>1</v>
      </c>
      <c r="E575" s="2" t="s">
        <v>3489</v>
      </c>
      <c r="J575" s="2" t="s">
        <v>3490</v>
      </c>
      <c r="K575" s="4" t="s">
        <v>819</v>
      </c>
      <c r="L575" s="2" t="s">
        <v>3449</v>
      </c>
      <c r="M575" s="3" t="s">
        <v>3491</v>
      </c>
      <c r="N575" s="3" t="s">
        <v>85</v>
      </c>
      <c r="O575" s="3" t="s">
        <v>3492</v>
      </c>
      <c r="P575" s="3">
        <v>300.0</v>
      </c>
      <c r="Q575" s="3">
        <v>300.0</v>
      </c>
      <c r="R575" s="3" t="s">
        <v>2888</v>
      </c>
      <c r="S575" s="3" t="s">
        <v>3493</v>
      </c>
      <c r="T575" s="3">
        <v>2.3</v>
      </c>
      <c r="W575" s="3">
        <v>2023.0</v>
      </c>
      <c r="X575" s="3" t="s">
        <v>343</v>
      </c>
      <c r="Y575" s="3" t="s">
        <v>3494</v>
      </c>
      <c r="Z575" s="2"/>
      <c r="AA575" s="5" t="s">
        <v>3495</v>
      </c>
      <c r="AB575" s="3" t="s">
        <v>3496</v>
      </c>
      <c r="AC575" s="3" t="s">
        <v>3497</v>
      </c>
      <c r="AD575" s="3" t="s">
        <v>3495</v>
      </c>
    </row>
    <row r="576">
      <c r="A576" s="22"/>
      <c r="B576" s="22"/>
      <c r="C576" s="22"/>
      <c r="D576" s="24" t="b">
        <v>0</v>
      </c>
      <c r="E576" s="22"/>
      <c r="F576" s="22"/>
      <c r="G576" s="25" t="b">
        <v>1</v>
      </c>
      <c r="H576" s="22"/>
      <c r="I576" s="22"/>
      <c r="J576" s="23" t="s">
        <v>3498</v>
      </c>
      <c r="K576" s="25" t="s">
        <v>819</v>
      </c>
      <c r="L576" s="23" t="s">
        <v>3058</v>
      </c>
      <c r="M576" s="22" t="s">
        <v>3499</v>
      </c>
      <c r="N576" s="22" t="s">
        <v>85</v>
      </c>
      <c r="O576" s="22" t="s">
        <v>167</v>
      </c>
      <c r="P576" s="23">
        <v>855.0</v>
      </c>
      <c r="Q576" s="22">
        <v>417707.0</v>
      </c>
      <c r="R576" s="22" t="s">
        <v>63</v>
      </c>
      <c r="S576" s="22"/>
      <c r="T576" s="22">
        <v>220.8</v>
      </c>
      <c r="U576" s="22"/>
      <c r="V576" s="22"/>
      <c r="W576" s="22">
        <v>2024.0</v>
      </c>
      <c r="X576" s="22" t="s">
        <v>331</v>
      </c>
      <c r="Y576" s="22" t="s">
        <v>3500</v>
      </c>
      <c r="Z576" s="23"/>
      <c r="AA576" s="27" t="s">
        <v>3501</v>
      </c>
      <c r="AB576" s="22" t="s">
        <v>3502</v>
      </c>
      <c r="AC576" s="22" t="s">
        <v>334</v>
      </c>
      <c r="AD576" s="22" t="s">
        <v>3501</v>
      </c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</row>
    <row r="577">
      <c r="A577" s="22"/>
      <c r="B577" s="22"/>
      <c r="C577" s="22"/>
      <c r="D577" s="24" t="b">
        <v>0</v>
      </c>
      <c r="E577" s="22"/>
      <c r="F577" s="22"/>
      <c r="G577" s="25" t="b">
        <v>1</v>
      </c>
      <c r="H577" s="22"/>
      <c r="I577" s="22"/>
      <c r="J577" s="23" t="s">
        <v>3503</v>
      </c>
      <c r="K577" s="25" t="s">
        <v>819</v>
      </c>
      <c r="L577" s="23" t="s">
        <v>3058</v>
      </c>
      <c r="M577" s="22" t="s">
        <v>108</v>
      </c>
      <c r="N577" s="22" t="s">
        <v>3504</v>
      </c>
      <c r="O577" s="22" t="s">
        <v>3505</v>
      </c>
      <c r="P577" s="22">
        <v>54.0</v>
      </c>
      <c r="Q577" s="22"/>
      <c r="R577" s="22"/>
      <c r="S577" s="22"/>
      <c r="T577" s="22"/>
      <c r="U577" s="22"/>
      <c r="V577" s="22"/>
      <c r="W577" s="22">
        <v>2014.0</v>
      </c>
      <c r="X577" s="22" t="s">
        <v>540</v>
      </c>
      <c r="Y577" s="22" t="s">
        <v>3506</v>
      </c>
      <c r="Z577" s="23"/>
      <c r="AA577" s="27" t="s">
        <v>3507</v>
      </c>
      <c r="AB577" s="22" t="s">
        <v>3508</v>
      </c>
      <c r="AC577" s="22" t="s">
        <v>3503</v>
      </c>
      <c r="AD577" s="22" t="s">
        <v>3507</v>
      </c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</row>
    <row r="578">
      <c r="A578" s="22"/>
      <c r="B578" s="22"/>
      <c r="C578" s="22"/>
      <c r="D578" s="24" t="b">
        <v>0</v>
      </c>
      <c r="E578" s="22"/>
      <c r="F578" s="22"/>
      <c r="G578" s="25" t="b">
        <v>1</v>
      </c>
      <c r="H578" s="22"/>
      <c r="I578" s="22"/>
      <c r="J578" s="23" t="s">
        <v>3509</v>
      </c>
      <c r="K578" s="25" t="s">
        <v>819</v>
      </c>
      <c r="L578" s="23" t="s">
        <v>3058</v>
      </c>
      <c r="M578" s="22" t="s">
        <v>235</v>
      </c>
      <c r="N578" s="22" t="s">
        <v>85</v>
      </c>
      <c r="O578" s="22" t="s">
        <v>1937</v>
      </c>
      <c r="P578" s="22">
        <v>105.0</v>
      </c>
      <c r="Q578" s="22">
        <v>113280.0</v>
      </c>
      <c r="R578" s="22" t="s">
        <v>63</v>
      </c>
      <c r="S578" s="22"/>
      <c r="T578" s="22"/>
      <c r="U578" s="22"/>
      <c r="V578" s="22"/>
      <c r="W578" s="22">
        <v>2023.0</v>
      </c>
      <c r="X578" s="22" t="s">
        <v>331</v>
      </c>
      <c r="Y578" s="22" t="s">
        <v>3510</v>
      </c>
      <c r="Z578" s="23"/>
      <c r="AA578" s="27" t="s">
        <v>3511</v>
      </c>
      <c r="AB578" s="22" t="s">
        <v>3512</v>
      </c>
      <c r="AC578" s="22" t="s">
        <v>72</v>
      </c>
      <c r="AD578" s="22" t="s">
        <v>3511</v>
      </c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</row>
    <row r="579">
      <c r="A579" s="22"/>
      <c r="B579" s="22"/>
      <c r="C579" s="22"/>
      <c r="D579" s="24" t="b">
        <v>0</v>
      </c>
      <c r="E579" s="22"/>
      <c r="F579" s="22"/>
      <c r="G579" s="25" t="b">
        <v>1</v>
      </c>
      <c r="H579" s="22"/>
      <c r="I579" s="22"/>
      <c r="J579" s="23" t="s">
        <v>3513</v>
      </c>
      <c r="K579" s="25" t="s">
        <v>819</v>
      </c>
      <c r="L579" s="23" t="s">
        <v>3058</v>
      </c>
      <c r="M579" s="22" t="s">
        <v>3514</v>
      </c>
      <c r="N579" s="22" t="s">
        <v>3515</v>
      </c>
      <c r="O579" s="22" t="s">
        <v>3516</v>
      </c>
      <c r="P579" s="22">
        <v>11.0</v>
      </c>
      <c r="Q579" s="22">
        <v>197.0</v>
      </c>
      <c r="R579" s="22" t="s">
        <v>3517</v>
      </c>
      <c r="S579" s="22"/>
      <c r="T579" s="22"/>
      <c r="U579" s="22"/>
      <c r="V579" s="22"/>
      <c r="W579" s="22">
        <v>2021.0</v>
      </c>
      <c r="X579" s="22" t="s">
        <v>540</v>
      </c>
      <c r="Y579" s="22" t="s">
        <v>597</v>
      </c>
      <c r="Z579" s="23"/>
      <c r="AA579" s="28" t="s">
        <v>3518</v>
      </c>
      <c r="AB579" s="22" t="s">
        <v>3519</v>
      </c>
      <c r="AC579" s="22" t="s">
        <v>346</v>
      </c>
      <c r="AD579" s="22" t="s">
        <v>3518</v>
      </c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</row>
    <row r="580">
      <c r="A580" s="22"/>
      <c r="B580" s="22"/>
      <c r="C580" s="22"/>
      <c r="D580" s="24" t="b">
        <v>0</v>
      </c>
      <c r="E580" s="22"/>
      <c r="F580" s="22"/>
      <c r="G580" s="25" t="b">
        <v>1</v>
      </c>
      <c r="H580" s="22"/>
      <c r="I580" s="22"/>
      <c r="J580" s="23" t="s">
        <v>3520</v>
      </c>
      <c r="K580" s="25" t="s">
        <v>819</v>
      </c>
      <c r="L580" s="23" t="s">
        <v>3058</v>
      </c>
      <c r="M580" s="22" t="s">
        <v>3521</v>
      </c>
      <c r="N580" s="22" t="s">
        <v>3522</v>
      </c>
      <c r="O580" s="22" t="s">
        <v>1937</v>
      </c>
      <c r="P580" s="22">
        <v>100.0</v>
      </c>
      <c r="Q580" s="22">
        <v>100.0</v>
      </c>
      <c r="R580" s="22" t="s">
        <v>3523</v>
      </c>
      <c r="S580" s="22" t="s">
        <v>3524</v>
      </c>
      <c r="T580" s="22"/>
      <c r="U580" s="22"/>
      <c r="V580" s="22"/>
      <c r="W580" s="22">
        <v>2019.0</v>
      </c>
      <c r="X580" s="22" t="s">
        <v>343</v>
      </c>
      <c r="Y580" s="22" t="s">
        <v>3525</v>
      </c>
      <c r="Z580" s="23"/>
      <c r="AA580" s="27" t="s">
        <v>3526</v>
      </c>
      <c r="AB580" s="22" t="s">
        <v>3527</v>
      </c>
      <c r="AC580" s="22" t="s">
        <v>346</v>
      </c>
      <c r="AD580" s="22" t="s">
        <v>3526</v>
      </c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</row>
    <row r="581">
      <c r="A581" s="22"/>
      <c r="B581" s="22"/>
      <c r="C581" s="22"/>
      <c r="D581" s="24" t="b">
        <v>0</v>
      </c>
      <c r="E581" s="22"/>
      <c r="F581" s="22"/>
      <c r="G581" s="25" t="b">
        <v>1</v>
      </c>
      <c r="H581" s="22"/>
      <c r="I581" s="22"/>
      <c r="J581" s="23" t="s">
        <v>3528</v>
      </c>
      <c r="K581" s="25" t="s">
        <v>819</v>
      </c>
      <c r="L581" s="23" t="s">
        <v>3058</v>
      </c>
      <c r="M581" s="22" t="s">
        <v>3476</v>
      </c>
      <c r="N581" s="22" t="s">
        <v>76</v>
      </c>
      <c r="O581" s="22" t="s">
        <v>1937</v>
      </c>
      <c r="P581" s="22"/>
      <c r="Q581" s="22"/>
      <c r="R581" s="22"/>
      <c r="S581" s="22"/>
      <c r="T581" s="22"/>
      <c r="U581" s="22"/>
      <c r="V581" s="22"/>
      <c r="W581" s="22">
        <v>2014.0</v>
      </c>
      <c r="X581" s="22" t="s">
        <v>331</v>
      </c>
      <c r="Y581" s="22" t="s">
        <v>3529</v>
      </c>
      <c r="Z581" s="23"/>
      <c r="AA581" s="27" t="s">
        <v>3530</v>
      </c>
      <c r="AB581" s="22" t="s">
        <v>3531</v>
      </c>
      <c r="AC581" s="22" t="s">
        <v>1799</v>
      </c>
      <c r="AD581" s="22" t="s">
        <v>3530</v>
      </c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</row>
    <row r="582">
      <c r="A582" s="17"/>
      <c r="B582" s="17"/>
      <c r="C582" s="17"/>
      <c r="D582" s="19" t="b">
        <v>1</v>
      </c>
      <c r="E582" s="18" t="s">
        <v>3532</v>
      </c>
      <c r="F582" s="17"/>
      <c r="G582" s="17"/>
      <c r="H582" s="17"/>
      <c r="I582" s="17"/>
      <c r="J582" s="18" t="s">
        <v>3532</v>
      </c>
      <c r="K582" s="19" t="s">
        <v>819</v>
      </c>
      <c r="L582" s="18" t="s">
        <v>3058</v>
      </c>
      <c r="M582" s="17" t="s">
        <v>3486</v>
      </c>
      <c r="N582" s="17" t="s">
        <v>34</v>
      </c>
      <c r="O582" s="17" t="s">
        <v>167</v>
      </c>
      <c r="P582" s="18">
        <v>237.0</v>
      </c>
      <c r="Q582" s="17">
        <v>125397.0</v>
      </c>
      <c r="R582" s="17" t="s">
        <v>63</v>
      </c>
      <c r="S582" s="17"/>
      <c r="T582" s="17">
        <v>56.38</v>
      </c>
      <c r="U582" s="17"/>
      <c r="V582" s="17"/>
      <c r="W582" s="17">
        <v>2020.0</v>
      </c>
      <c r="X582" s="17" t="s">
        <v>331</v>
      </c>
      <c r="Y582" s="17" t="s">
        <v>3477</v>
      </c>
      <c r="Z582" s="18"/>
      <c r="AA582" s="20" t="s">
        <v>3533</v>
      </c>
      <c r="AB582" s="17" t="s">
        <v>3534</v>
      </c>
      <c r="AC582" s="17" t="s">
        <v>334</v>
      </c>
      <c r="AD582" s="17" t="s">
        <v>3533</v>
      </c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</row>
    <row r="583">
      <c r="A583" s="22"/>
      <c r="B583" s="22"/>
      <c r="C583" s="22"/>
      <c r="D583" s="24" t="b">
        <v>0</v>
      </c>
      <c r="E583" s="22"/>
      <c r="F583" s="22"/>
      <c r="G583" s="25" t="b">
        <v>1</v>
      </c>
      <c r="H583" s="22"/>
      <c r="I583" s="22"/>
      <c r="J583" s="23" t="s">
        <v>3535</v>
      </c>
      <c r="K583" s="25" t="s">
        <v>819</v>
      </c>
      <c r="L583" s="23" t="s">
        <v>3536</v>
      </c>
      <c r="M583" s="22" t="s">
        <v>3537</v>
      </c>
      <c r="N583" s="22" t="s">
        <v>3538</v>
      </c>
      <c r="O583" s="22" t="s">
        <v>3539</v>
      </c>
      <c r="P583" s="22"/>
      <c r="Q583" s="22"/>
      <c r="R583" s="22"/>
      <c r="S583" s="22"/>
      <c r="T583" s="22"/>
      <c r="U583" s="22"/>
      <c r="V583" s="22"/>
      <c r="W583" s="22" t="s">
        <v>1824</v>
      </c>
      <c r="X583" s="22" t="s">
        <v>343</v>
      </c>
      <c r="Y583" s="22"/>
      <c r="Z583" s="23"/>
      <c r="AA583" s="28" t="s">
        <v>3540</v>
      </c>
      <c r="AB583" s="22" t="s">
        <v>346</v>
      </c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</row>
    <row r="584">
      <c r="A584" s="102"/>
      <c r="B584" s="102"/>
      <c r="C584" s="102"/>
      <c r="D584" s="103" t="b">
        <v>0</v>
      </c>
      <c r="E584" s="104"/>
      <c r="F584" s="102"/>
      <c r="G584" s="102"/>
      <c r="H584" s="102"/>
      <c r="I584" s="102"/>
      <c r="J584" s="104" t="s">
        <v>3541</v>
      </c>
      <c r="K584" s="103" t="s">
        <v>819</v>
      </c>
      <c r="L584" s="104" t="s">
        <v>3536</v>
      </c>
      <c r="M584" s="102" t="s">
        <v>3542</v>
      </c>
      <c r="N584" s="102" t="s">
        <v>3543</v>
      </c>
      <c r="O584" s="102" t="s">
        <v>3544</v>
      </c>
      <c r="P584" s="102"/>
      <c r="Q584" s="102"/>
      <c r="R584" s="102" t="s">
        <v>531</v>
      </c>
      <c r="S584" s="102" t="s">
        <v>3545</v>
      </c>
      <c r="T584" s="102" t="s">
        <v>3546</v>
      </c>
      <c r="U584" s="102"/>
      <c r="V584" s="102"/>
      <c r="W584" s="102" t="s">
        <v>1835</v>
      </c>
      <c r="X584" s="102" t="s">
        <v>343</v>
      </c>
      <c r="Y584" s="102" t="s">
        <v>3547</v>
      </c>
      <c r="Z584" s="104"/>
      <c r="AA584" s="105" t="s">
        <v>3548</v>
      </c>
      <c r="AB584" s="102" t="s">
        <v>334</v>
      </c>
      <c r="AC584" s="102" t="s">
        <v>3548</v>
      </c>
      <c r="AD584" s="102"/>
      <c r="AE584" s="102"/>
      <c r="AF584" s="102"/>
      <c r="AG584" s="102"/>
      <c r="AH584" s="102"/>
      <c r="AI584" s="102"/>
      <c r="AJ584" s="102"/>
      <c r="AK584" s="102"/>
      <c r="AL584" s="102"/>
      <c r="AM584" s="102"/>
      <c r="AN584" s="102"/>
      <c r="AO584" s="102"/>
      <c r="AP584" s="102"/>
      <c r="AQ584" s="102"/>
      <c r="AR584" s="102"/>
      <c r="AS584" s="102"/>
      <c r="AT584" s="102"/>
      <c r="AU584" s="102"/>
      <c r="AV584" s="102"/>
    </row>
    <row r="585">
      <c r="A585" s="17"/>
      <c r="B585" s="17"/>
      <c r="C585" s="17"/>
      <c r="D585" s="19" t="b">
        <v>1</v>
      </c>
      <c r="E585" s="18" t="s">
        <v>3549</v>
      </c>
      <c r="F585" s="17"/>
      <c r="G585" s="17"/>
      <c r="H585" s="17"/>
      <c r="I585" s="17"/>
      <c r="J585" s="18" t="s">
        <v>3549</v>
      </c>
      <c r="K585" s="19" t="s">
        <v>819</v>
      </c>
      <c r="L585" s="18" t="s">
        <v>3536</v>
      </c>
      <c r="M585" s="17" t="s">
        <v>3550</v>
      </c>
      <c r="N585" s="17" t="s">
        <v>3551</v>
      </c>
      <c r="O585" s="17" t="s">
        <v>215</v>
      </c>
      <c r="P585" s="18">
        <v>3.0</v>
      </c>
      <c r="Q585" s="17"/>
      <c r="R585" s="17" t="s">
        <v>539</v>
      </c>
      <c r="S585" s="17"/>
      <c r="T585" s="17" t="s">
        <v>3552</v>
      </c>
      <c r="U585" s="17"/>
      <c r="V585" s="17"/>
      <c r="W585" s="17" t="s">
        <v>2833</v>
      </c>
      <c r="X585" s="17" t="s">
        <v>3553</v>
      </c>
      <c r="Y585" s="17" t="s">
        <v>3554</v>
      </c>
      <c r="Z585" s="18"/>
      <c r="AA585" s="20" t="s">
        <v>3555</v>
      </c>
      <c r="AB585" s="17" t="s">
        <v>334</v>
      </c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</row>
    <row r="586">
      <c r="A586" s="17"/>
      <c r="B586" s="17"/>
      <c r="C586" s="17"/>
      <c r="D586" s="19" t="b">
        <v>1</v>
      </c>
      <c r="E586" s="18" t="s">
        <v>3556</v>
      </c>
      <c r="F586" s="17"/>
      <c r="G586" s="17"/>
      <c r="H586" s="17"/>
      <c r="I586" s="17"/>
      <c r="J586" s="18" t="s">
        <v>3556</v>
      </c>
      <c r="K586" s="19" t="s">
        <v>819</v>
      </c>
      <c r="L586" s="18" t="s">
        <v>3536</v>
      </c>
      <c r="M586" s="17" t="s">
        <v>3557</v>
      </c>
      <c r="N586" s="17" t="s">
        <v>3558</v>
      </c>
      <c r="O586" s="17" t="s">
        <v>215</v>
      </c>
      <c r="P586" s="18">
        <v>146.0</v>
      </c>
      <c r="Q586" s="17"/>
      <c r="R586" s="17" t="s">
        <v>539</v>
      </c>
      <c r="S586" s="17"/>
      <c r="T586" s="17" t="s">
        <v>3559</v>
      </c>
      <c r="U586" s="17"/>
      <c r="V586" s="17"/>
      <c r="W586" s="17" t="s">
        <v>2833</v>
      </c>
      <c r="X586" s="17" t="s">
        <v>3553</v>
      </c>
      <c r="Y586" s="17" t="s">
        <v>3560</v>
      </c>
      <c r="Z586" s="18"/>
      <c r="AA586" s="20" t="s">
        <v>3561</v>
      </c>
      <c r="AB586" s="17" t="s">
        <v>334</v>
      </c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</row>
    <row r="587">
      <c r="D587" s="4" t="b">
        <v>1</v>
      </c>
      <c r="E587" s="2" t="s">
        <v>3562</v>
      </c>
      <c r="J587" s="2" t="s">
        <v>3562</v>
      </c>
      <c r="K587" s="4" t="s">
        <v>819</v>
      </c>
      <c r="L587" s="2" t="s">
        <v>3536</v>
      </c>
      <c r="M587" s="3" t="s">
        <v>469</v>
      </c>
      <c r="N587" s="3" t="s">
        <v>3563</v>
      </c>
      <c r="O587" s="3" t="s">
        <v>3564</v>
      </c>
      <c r="R587" s="3" t="s">
        <v>341</v>
      </c>
      <c r="S587" s="3" t="s">
        <v>3565</v>
      </c>
      <c r="T587" s="3" t="s">
        <v>3566</v>
      </c>
      <c r="W587" s="3" t="s">
        <v>1829</v>
      </c>
      <c r="X587" s="3" t="s">
        <v>343</v>
      </c>
      <c r="Y587" s="3" t="s">
        <v>3567</v>
      </c>
      <c r="Z587" s="2"/>
      <c r="AA587" s="5" t="s">
        <v>3568</v>
      </c>
      <c r="AB587" s="3" t="s">
        <v>72</v>
      </c>
      <c r="AC587" s="3" t="s">
        <v>3568</v>
      </c>
    </row>
    <row r="588">
      <c r="D588" s="4" t="b">
        <v>1</v>
      </c>
      <c r="E588" s="2" t="s">
        <v>3569</v>
      </c>
      <c r="J588" s="2" t="s">
        <v>3570</v>
      </c>
      <c r="K588" s="4" t="s">
        <v>819</v>
      </c>
      <c r="L588" s="2" t="s">
        <v>3536</v>
      </c>
      <c r="M588" s="3" t="s">
        <v>108</v>
      </c>
      <c r="N588" s="3" t="s">
        <v>3571</v>
      </c>
      <c r="O588" s="3" t="s">
        <v>3572</v>
      </c>
      <c r="R588" s="3" t="s">
        <v>37</v>
      </c>
      <c r="S588" s="3" t="s">
        <v>3573</v>
      </c>
      <c r="W588" s="3" t="s">
        <v>2875</v>
      </c>
      <c r="X588" s="3" t="s">
        <v>343</v>
      </c>
      <c r="Z588" s="2"/>
      <c r="AA588" s="5" t="s">
        <v>3574</v>
      </c>
      <c r="AB588" s="3" t="s">
        <v>346</v>
      </c>
    </row>
    <row r="589">
      <c r="D589" s="4" t="b">
        <v>1</v>
      </c>
      <c r="E589" s="2" t="s">
        <v>3575</v>
      </c>
      <c r="J589" s="2" t="s">
        <v>3576</v>
      </c>
      <c r="K589" s="4" t="s">
        <v>819</v>
      </c>
      <c r="L589" s="2" t="s">
        <v>3536</v>
      </c>
      <c r="M589" s="3" t="s">
        <v>108</v>
      </c>
      <c r="N589" s="3" t="s">
        <v>76</v>
      </c>
      <c r="O589" s="3" t="s">
        <v>3577</v>
      </c>
      <c r="R589" s="3" t="s">
        <v>37</v>
      </c>
      <c r="T589" s="3" t="s">
        <v>3578</v>
      </c>
      <c r="W589" s="3" t="s">
        <v>1839</v>
      </c>
      <c r="X589" s="3" t="s">
        <v>343</v>
      </c>
      <c r="Y589" s="3" t="s">
        <v>3579</v>
      </c>
      <c r="Z589" s="2"/>
      <c r="AA589" s="15" t="s">
        <v>3580</v>
      </c>
      <c r="AB589" s="3" t="s">
        <v>3581</v>
      </c>
      <c r="AC589" s="3" t="s">
        <v>3580</v>
      </c>
    </row>
    <row r="590">
      <c r="A590" s="38"/>
      <c r="B590" s="38"/>
      <c r="C590" s="38"/>
      <c r="D590" s="55" t="b">
        <v>1</v>
      </c>
      <c r="E590" s="39" t="s">
        <v>3582</v>
      </c>
      <c r="F590" s="38"/>
      <c r="G590" s="38"/>
      <c r="H590" s="38"/>
      <c r="I590" s="38"/>
      <c r="J590" s="39" t="s">
        <v>3583</v>
      </c>
      <c r="K590" s="55" t="s">
        <v>819</v>
      </c>
      <c r="L590" s="39" t="s">
        <v>3536</v>
      </c>
      <c r="M590" s="38" t="s">
        <v>108</v>
      </c>
      <c r="N590" s="38" t="s">
        <v>76</v>
      </c>
      <c r="O590" s="38" t="s">
        <v>3584</v>
      </c>
      <c r="P590" s="38"/>
      <c r="Q590" s="38"/>
      <c r="R590" s="38" t="s">
        <v>37</v>
      </c>
      <c r="S590" s="38"/>
      <c r="T590" s="38" t="s">
        <v>3585</v>
      </c>
      <c r="U590" s="38"/>
      <c r="V590" s="38"/>
      <c r="W590" s="38" t="s">
        <v>1829</v>
      </c>
      <c r="X590" s="38" t="s">
        <v>343</v>
      </c>
      <c r="Y590" s="38" t="s">
        <v>3586</v>
      </c>
      <c r="Z590" s="39"/>
      <c r="AA590" s="51" t="s">
        <v>3587</v>
      </c>
      <c r="AB590" s="38" t="s">
        <v>634</v>
      </c>
      <c r="AC590" s="38" t="s">
        <v>3587</v>
      </c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</row>
    <row r="591">
      <c r="D591" s="4" t="b">
        <v>1</v>
      </c>
      <c r="E591" s="2" t="s">
        <v>3588</v>
      </c>
      <c r="J591" s="2" t="s">
        <v>3589</v>
      </c>
      <c r="K591" s="4" t="s">
        <v>819</v>
      </c>
      <c r="L591" s="2" t="s">
        <v>3536</v>
      </c>
      <c r="M591" s="3" t="s">
        <v>3491</v>
      </c>
      <c r="N591" s="3" t="s">
        <v>485</v>
      </c>
      <c r="O591" s="3" t="s">
        <v>3590</v>
      </c>
      <c r="W591" s="3" t="s">
        <v>1814</v>
      </c>
      <c r="X591" s="3" t="s">
        <v>343</v>
      </c>
      <c r="Z591" s="2"/>
      <c r="AA591" s="15" t="s">
        <v>3591</v>
      </c>
      <c r="AB591" s="3" t="s">
        <v>422</v>
      </c>
      <c r="AC591" s="3" t="s">
        <v>3591</v>
      </c>
    </row>
    <row r="592">
      <c r="D592" s="4" t="b">
        <v>1</v>
      </c>
      <c r="E592" s="2" t="s">
        <v>3592</v>
      </c>
      <c r="J592" s="2" t="s">
        <v>3592</v>
      </c>
      <c r="K592" s="4" t="s">
        <v>819</v>
      </c>
      <c r="L592" s="2" t="s">
        <v>3536</v>
      </c>
      <c r="M592" s="3" t="s">
        <v>3593</v>
      </c>
      <c r="N592" s="3" t="s">
        <v>3594</v>
      </c>
      <c r="R592" s="3" t="s">
        <v>63</v>
      </c>
      <c r="T592" s="3" t="s">
        <v>3595</v>
      </c>
      <c r="W592" s="3" t="s">
        <v>1819</v>
      </c>
      <c r="X592" s="3" t="s">
        <v>331</v>
      </c>
      <c r="Z592" s="2"/>
      <c r="AA592" s="5" t="s">
        <v>3596</v>
      </c>
      <c r="AB592" s="3" t="s">
        <v>334</v>
      </c>
    </row>
    <row r="593">
      <c r="A593" s="17"/>
      <c r="B593" s="17"/>
      <c r="C593" s="17"/>
      <c r="D593" s="19" t="b">
        <v>1</v>
      </c>
      <c r="E593" s="18" t="s">
        <v>3597</v>
      </c>
      <c r="F593" s="17"/>
      <c r="G593" s="17"/>
      <c r="H593" s="17"/>
      <c r="I593" s="17"/>
      <c r="J593" s="18" t="s">
        <v>3597</v>
      </c>
      <c r="K593" s="19" t="s">
        <v>819</v>
      </c>
      <c r="L593" s="18" t="s">
        <v>3536</v>
      </c>
      <c r="M593" s="17" t="s">
        <v>3598</v>
      </c>
      <c r="N593" s="17" t="s">
        <v>3594</v>
      </c>
      <c r="O593" s="17"/>
      <c r="P593" s="17"/>
      <c r="Q593" s="17"/>
      <c r="R593" s="17" t="s">
        <v>63</v>
      </c>
      <c r="S593" s="17"/>
      <c r="T593" s="17" t="s">
        <v>3599</v>
      </c>
      <c r="U593" s="17"/>
      <c r="V593" s="17"/>
      <c r="W593" s="17" t="s">
        <v>1819</v>
      </c>
      <c r="X593" s="17" t="s">
        <v>331</v>
      </c>
      <c r="Y593" s="17"/>
      <c r="Z593" s="18"/>
      <c r="AA593" s="20" t="s">
        <v>3600</v>
      </c>
      <c r="AB593" s="17" t="s">
        <v>334</v>
      </c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</row>
    <row r="594">
      <c r="A594" s="17"/>
      <c r="B594" s="17"/>
      <c r="C594" s="17"/>
      <c r="D594" s="19" t="b">
        <v>1</v>
      </c>
      <c r="E594" s="18" t="s">
        <v>3601</v>
      </c>
      <c r="F594" s="17"/>
      <c r="G594" s="17"/>
      <c r="H594" s="17"/>
      <c r="I594" s="17"/>
      <c r="J594" s="18" t="s">
        <v>3601</v>
      </c>
      <c r="K594" s="19" t="s">
        <v>819</v>
      </c>
      <c r="L594" s="18" t="s">
        <v>3536</v>
      </c>
      <c r="M594" s="17" t="s">
        <v>3602</v>
      </c>
      <c r="N594" s="17" t="s">
        <v>3594</v>
      </c>
      <c r="O594" s="17"/>
      <c r="P594" s="18">
        <v>226.0</v>
      </c>
      <c r="Q594" s="17"/>
      <c r="R594" s="17" t="s">
        <v>63</v>
      </c>
      <c r="S594" s="17"/>
      <c r="T594" s="17" t="s">
        <v>3603</v>
      </c>
      <c r="U594" s="17"/>
      <c r="V594" s="17"/>
      <c r="W594" s="17" t="s">
        <v>1819</v>
      </c>
      <c r="X594" s="17" t="s">
        <v>331</v>
      </c>
      <c r="Y594" s="17"/>
      <c r="Z594" s="18"/>
      <c r="AA594" s="20" t="s">
        <v>3604</v>
      </c>
      <c r="AB594" s="17" t="s">
        <v>334</v>
      </c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</row>
    <row r="595">
      <c r="D595" s="4" t="b">
        <v>1</v>
      </c>
      <c r="E595" s="2" t="s">
        <v>3605</v>
      </c>
      <c r="J595" s="2" t="s">
        <v>3606</v>
      </c>
      <c r="K595" s="4" t="s">
        <v>819</v>
      </c>
      <c r="L595" s="2" t="s">
        <v>3536</v>
      </c>
      <c r="M595" s="3" t="s">
        <v>3491</v>
      </c>
      <c r="N595" s="3" t="s">
        <v>485</v>
      </c>
      <c r="O595" s="3" t="s">
        <v>3607</v>
      </c>
      <c r="W595" s="3" t="s">
        <v>2875</v>
      </c>
      <c r="X595" s="3" t="s">
        <v>343</v>
      </c>
      <c r="Y595" s="3" t="s">
        <v>3608</v>
      </c>
      <c r="Z595" s="2"/>
      <c r="AA595" s="15" t="s">
        <v>3609</v>
      </c>
      <c r="AB595" s="3" t="s">
        <v>3610</v>
      </c>
      <c r="AC595" s="3" t="s">
        <v>3609</v>
      </c>
    </row>
    <row r="596">
      <c r="A596" s="22"/>
      <c r="B596" s="22"/>
      <c r="C596" s="22"/>
      <c r="D596" s="24" t="b">
        <v>0</v>
      </c>
      <c r="E596" s="22"/>
      <c r="F596" s="22"/>
      <c r="G596" s="25" t="b">
        <v>1</v>
      </c>
      <c r="H596" s="22"/>
      <c r="I596" s="22"/>
      <c r="J596" s="23" t="s">
        <v>3611</v>
      </c>
      <c r="K596" s="25" t="s">
        <v>819</v>
      </c>
      <c r="L596" s="23" t="s">
        <v>3612</v>
      </c>
      <c r="M596" s="22" t="s">
        <v>2335</v>
      </c>
      <c r="N596" s="22" t="s">
        <v>76</v>
      </c>
      <c r="O596" s="22" t="s">
        <v>3613</v>
      </c>
      <c r="P596" s="22"/>
      <c r="Q596" s="22"/>
      <c r="R596" s="22" t="s">
        <v>3614</v>
      </c>
      <c r="S596" s="22"/>
      <c r="T596" s="22"/>
      <c r="U596" s="22"/>
      <c r="V596" s="22"/>
      <c r="W596" s="22" t="s">
        <v>1805</v>
      </c>
      <c r="X596" s="22" t="s">
        <v>331</v>
      </c>
      <c r="Y596" s="22"/>
      <c r="Z596" s="23"/>
      <c r="AA596" s="28" t="s">
        <v>3615</v>
      </c>
      <c r="AB596" s="22" t="s">
        <v>72</v>
      </c>
      <c r="AC596" s="22" t="s">
        <v>3616</v>
      </c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</row>
    <row r="597">
      <c r="D597" s="4" t="b">
        <v>1</v>
      </c>
      <c r="E597" s="2" t="s">
        <v>3617</v>
      </c>
      <c r="J597" s="2" t="s">
        <v>3618</v>
      </c>
      <c r="K597" s="4" t="s">
        <v>819</v>
      </c>
      <c r="L597" s="2" t="s">
        <v>3612</v>
      </c>
      <c r="M597" s="3" t="s">
        <v>3619</v>
      </c>
      <c r="N597" s="3" t="s">
        <v>76</v>
      </c>
      <c r="O597" s="3" t="s">
        <v>3620</v>
      </c>
      <c r="R597" s="3" t="s">
        <v>3621</v>
      </c>
      <c r="W597" s="3" t="s">
        <v>1824</v>
      </c>
      <c r="X597" s="3" t="s">
        <v>331</v>
      </c>
      <c r="Z597" s="2"/>
      <c r="AA597" s="15" t="s">
        <v>3622</v>
      </c>
      <c r="AB597" s="3" t="s">
        <v>1307</v>
      </c>
      <c r="AC597" s="3" t="s">
        <v>3623</v>
      </c>
    </row>
    <row r="598">
      <c r="D598" s="4" t="b">
        <v>1</v>
      </c>
      <c r="E598" s="2" t="s">
        <v>3624</v>
      </c>
      <c r="J598" s="2" t="s">
        <v>3625</v>
      </c>
      <c r="K598" s="4" t="s">
        <v>819</v>
      </c>
      <c r="L598" s="2" t="s">
        <v>3612</v>
      </c>
      <c r="M598" s="3" t="s">
        <v>3619</v>
      </c>
      <c r="N598" s="3" t="s">
        <v>76</v>
      </c>
      <c r="O598" s="3" t="s">
        <v>3626</v>
      </c>
      <c r="R598" s="3" t="s">
        <v>3627</v>
      </c>
      <c r="T598" s="3" t="s">
        <v>3628</v>
      </c>
      <c r="W598" s="3" t="s">
        <v>1796</v>
      </c>
      <c r="X598" s="3" t="s">
        <v>331</v>
      </c>
      <c r="Y598" s="3" t="s">
        <v>3629</v>
      </c>
      <c r="Z598" s="2"/>
      <c r="AA598" s="15" t="s">
        <v>3630</v>
      </c>
      <c r="AB598" s="3" t="s">
        <v>334</v>
      </c>
      <c r="AC598" s="3" t="s">
        <v>3630</v>
      </c>
    </row>
    <row r="599">
      <c r="D599" s="4" t="b">
        <v>1</v>
      </c>
      <c r="E599" s="2" t="s">
        <v>3631</v>
      </c>
      <c r="J599" s="2" t="s">
        <v>3631</v>
      </c>
      <c r="K599" s="4" t="s">
        <v>819</v>
      </c>
      <c r="L599" s="2" t="s">
        <v>3612</v>
      </c>
      <c r="M599" s="3" t="s">
        <v>3619</v>
      </c>
      <c r="N599" s="3" t="s">
        <v>455</v>
      </c>
      <c r="O599" s="3" t="s">
        <v>3632</v>
      </c>
      <c r="R599" s="3" t="s">
        <v>3633</v>
      </c>
      <c r="T599" s="3" t="s">
        <v>3634</v>
      </c>
      <c r="W599" s="3" t="s">
        <v>1796</v>
      </c>
      <c r="X599" s="3" t="s">
        <v>331</v>
      </c>
      <c r="Y599" s="3" t="s">
        <v>3635</v>
      </c>
      <c r="Z599" s="2"/>
      <c r="AA599" s="15" t="s">
        <v>3636</v>
      </c>
      <c r="AB599" s="3" t="s">
        <v>334</v>
      </c>
    </row>
    <row r="600">
      <c r="D600" s="4" t="b">
        <v>1</v>
      </c>
      <c r="E600" s="2" t="s">
        <v>3637</v>
      </c>
      <c r="J600" s="2" t="s">
        <v>3637</v>
      </c>
      <c r="K600" s="4" t="s">
        <v>819</v>
      </c>
      <c r="L600" s="2" t="s">
        <v>3612</v>
      </c>
      <c r="M600" s="3" t="s">
        <v>3638</v>
      </c>
      <c r="N600" s="3" t="s">
        <v>3639</v>
      </c>
      <c r="O600" s="3" t="s">
        <v>3640</v>
      </c>
      <c r="R600" s="3" t="s">
        <v>3641</v>
      </c>
      <c r="T600" s="3" t="s">
        <v>3642</v>
      </c>
      <c r="W600" s="3" t="s">
        <v>1824</v>
      </c>
      <c r="X600" s="3" t="s">
        <v>331</v>
      </c>
      <c r="Z600" s="2"/>
      <c r="AA600" s="15" t="s">
        <v>3643</v>
      </c>
      <c r="AB600" s="3" t="s">
        <v>334</v>
      </c>
    </row>
    <row r="601">
      <c r="A601" s="22"/>
      <c r="B601" s="22"/>
      <c r="C601" s="22"/>
      <c r="D601" s="24" t="b">
        <v>0</v>
      </c>
      <c r="E601" s="22"/>
      <c r="F601" s="22"/>
      <c r="G601" s="25" t="b">
        <v>1</v>
      </c>
      <c r="H601" s="22"/>
      <c r="I601" s="22"/>
      <c r="J601" s="23" t="s">
        <v>3644</v>
      </c>
      <c r="K601" s="25" t="s">
        <v>819</v>
      </c>
      <c r="L601" s="23" t="s">
        <v>3612</v>
      </c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3"/>
      <c r="AA601" s="28" t="s">
        <v>3645</v>
      </c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</row>
    <row r="602">
      <c r="D602" s="4" t="b">
        <v>1</v>
      </c>
      <c r="E602" s="2" t="s">
        <v>3646</v>
      </c>
      <c r="J602" s="2" t="s">
        <v>3646</v>
      </c>
      <c r="K602" s="4" t="s">
        <v>819</v>
      </c>
      <c r="L602" s="2" t="s">
        <v>3612</v>
      </c>
      <c r="M602" s="3" t="s">
        <v>2335</v>
      </c>
      <c r="N602" s="3" t="s">
        <v>3647</v>
      </c>
      <c r="O602" s="3" t="s">
        <v>3648</v>
      </c>
      <c r="R602" s="3" t="s">
        <v>63</v>
      </c>
      <c r="S602" s="3" t="s">
        <v>3649</v>
      </c>
      <c r="T602" s="3" t="s">
        <v>3650</v>
      </c>
      <c r="W602" s="3" t="s">
        <v>1829</v>
      </c>
      <c r="X602" s="3" t="s">
        <v>331</v>
      </c>
      <c r="Z602" s="2"/>
      <c r="AA602" s="15" t="s">
        <v>3651</v>
      </c>
      <c r="AB602" s="3" t="s">
        <v>334</v>
      </c>
    </row>
    <row r="603">
      <c r="A603" s="17"/>
      <c r="B603" s="17"/>
      <c r="C603" s="17"/>
      <c r="D603" s="19" t="b">
        <v>1</v>
      </c>
      <c r="E603" s="18" t="s">
        <v>3652</v>
      </c>
      <c r="F603" s="17"/>
      <c r="G603" s="17"/>
      <c r="H603" s="17"/>
      <c r="I603" s="17"/>
      <c r="J603" s="18" t="s">
        <v>3652</v>
      </c>
      <c r="K603" s="19" t="s">
        <v>819</v>
      </c>
      <c r="L603" s="18" t="s">
        <v>3612</v>
      </c>
      <c r="M603" s="17" t="s">
        <v>3653</v>
      </c>
      <c r="N603" s="17" t="s">
        <v>3594</v>
      </c>
      <c r="O603" s="17"/>
      <c r="P603" s="18">
        <v>20.0</v>
      </c>
      <c r="Q603" s="17"/>
      <c r="R603" s="17" t="s">
        <v>63</v>
      </c>
      <c r="S603" s="17"/>
      <c r="T603" s="17" t="s">
        <v>3654</v>
      </c>
      <c r="U603" s="17"/>
      <c r="V603" s="17"/>
      <c r="W603" s="17" t="s">
        <v>1819</v>
      </c>
      <c r="X603" s="17" t="s">
        <v>331</v>
      </c>
      <c r="Y603" s="17"/>
      <c r="Z603" s="18"/>
      <c r="AA603" s="20" t="s">
        <v>3655</v>
      </c>
      <c r="AB603" s="17" t="s">
        <v>334</v>
      </c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</row>
    <row r="604">
      <c r="A604" s="22"/>
      <c r="B604" s="22"/>
      <c r="C604" s="22"/>
      <c r="D604" s="24" t="b">
        <v>0</v>
      </c>
      <c r="E604" s="24"/>
      <c r="F604" s="24"/>
      <c r="G604" s="25" t="b">
        <v>1</v>
      </c>
      <c r="H604" s="24"/>
      <c r="I604" s="24"/>
      <c r="J604" s="24" t="s">
        <v>3656</v>
      </c>
      <c r="K604" s="25" t="s">
        <v>3657</v>
      </c>
      <c r="L604" s="24" t="s">
        <v>3657</v>
      </c>
      <c r="M604" s="24" t="s">
        <v>3658</v>
      </c>
      <c r="N604" s="24" t="s">
        <v>76</v>
      </c>
      <c r="O604" s="23" t="s">
        <v>77</v>
      </c>
      <c r="P604" s="29">
        <v>200.0</v>
      </c>
      <c r="Q604" s="24"/>
      <c r="R604" s="24" t="s">
        <v>37</v>
      </c>
      <c r="S604" s="24" t="s">
        <v>3659</v>
      </c>
      <c r="T604" s="22"/>
      <c r="U604" s="23"/>
      <c r="V604" s="23" t="s">
        <v>3660</v>
      </c>
      <c r="W604" s="29">
        <v>2015.0</v>
      </c>
      <c r="X604" s="29">
        <v>2.0</v>
      </c>
      <c r="Y604" s="29"/>
      <c r="Z604" s="30"/>
      <c r="AA604" s="30" t="s">
        <v>3661</v>
      </c>
      <c r="AB604" s="30" t="s">
        <v>3662</v>
      </c>
      <c r="AC604" s="25" t="s">
        <v>3663</v>
      </c>
      <c r="AD604" s="69" t="s">
        <v>3664</v>
      </c>
      <c r="AE604" s="24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</row>
    <row r="605">
      <c r="D605" s="4" t="b">
        <v>1</v>
      </c>
      <c r="E605" s="4" t="s">
        <v>3665</v>
      </c>
      <c r="F605" s="16"/>
      <c r="G605" s="16"/>
      <c r="H605" s="16"/>
      <c r="I605" s="16"/>
      <c r="J605" s="16" t="s">
        <v>3666</v>
      </c>
      <c r="K605" s="4" t="s">
        <v>3657</v>
      </c>
      <c r="L605" s="16" t="s">
        <v>3657</v>
      </c>
      <c r="M605" s="16" t="s">
        <v>3658</v>
      </c>
      <c r="N605" s="16" t="s">
        <v>34</v>
      </c>
      <c r="O605" s="4" t="s">
        <v>167</v>
      </c>
      <c r="P605" s="31">
        <v>170.0</v>
      </c>
      <c r="Q605" s="16"/>
      <c r="R605" s="16" t="s">
        <v>45</v>
      </c>
      <c r="S605" s="16" t="s">
        <v>3667</v>
      </c>
      <c r="T605" s="2">
        <v>2.4E-5</v>
      </c>
      <c r="U605" s="2" t="s">
        <v>1151</v>
      </c>
      <c r="V605" s="2" t="s">
        <v>1151</v>
      </c>
      <c r="W605" s="31">
        <v>2015.0</v>
      </c>
      <c r="X605" s="31">
        <v>2.0</v>
      </c>
      <c r="Y605" s="31"/>
      <c r="Z605" s="32"/>
      <c r="AA605" s="32" t="s">
        <v>3668</v>
      </c>
      <c r="AB605" s="32" t="s">
        <v>3669</v>
      </c>
      <c r="AC605" s="4" t="s">
        <v>1147</v>
      </c>
      <c r="AD605" s="32" t="s">
        <v>3670</v>
      </c>
      <c r="AE605" s="16"/>
    </row>
    <row r="606">
      <c r="A606" s="11"/>
      <c r="B606" s="11"/>
      <c r="C606" s="11"/>
      <c r="D606" s="13" t="b">
        <v>1</v>
      </c>
      <c r="E606" s="13" t="s">
        <v>3671</v>
      </c>
      <c r="F606" s="35"/>
      <c r="G606" s="35"/>
      <c r="H606" s="35"/>
      <c r="I606" s="35"/>
      <c r="J606" s="35" t="s">
        <v>3672</v>
      </c>
      <c r="K606" s="13" t="s">
        <v>3657</v>
      </c>
      <c r="L606" s="35" t="s">
        <v>3673</v>
      </c>
      <c r="M606" s="35" t="s">
        <v>3658</v>
      </c>
      <c r="N606" s="35" t="s">
        <v>76</v>
      </c>
      <c r="O606" s="12" t="s">
        <v>77</v>
      </c>
      <c r="P606" s="35" t="s">
        <v>3674</v>
      </c>
      <c r="Q606" s="35"/>
      <c r="R606" s="35" t="s">
        <v>3675</v>
      </c>
      <c r="S606" s="35" t="s">
        <v>3676</v>
      </c>
      <c r="T606" s="12">
        <v>12.06</v>
      </c>
      <c r="U606" s="12" t="s">
        <v>1151</v>
      </c>
      <c r="V606" s="12" t="s">
        <v>1151</v>
      </c>
      <c r="W606" s="36">
        <v>2017.0</v>
      </c>
      <c r="X606" s="36">
        <v>2.0</v>
      </c>
      <c r="Y606" s="36"/>
      <c r="Z606" s="37"/>
      <c r="AA606" s="37" t="s">
        <v>3677</v>
      </c>
      <c r="AB606" s="37" t="s">
        <v>3678</v>
      </c>
      <c r="AC606" s="13" t="s">
        <v>1147</v>
      </c>
      <c r="AD606" s="37" t="s">
        <v>3677</v>
      </c>
      <c r="AE606" s="35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</row>
    <row r="607">
      <c r="A607" s="22"/>
      <c r="B607" s="22"/>
      <c r="C607" s="22"/>
      <c r="D607" s="24" t="b">
        <v>0</v>
      </c>
      <c r="E607" s="24"/>
      <c r="F607" s="24"/>
      <c r="G607" s="25" t="b">
        <v>1</v>
      </c>
      <c r="H607" s="24"/>
      <c r="I607" s="24"/>
      <c r="J607" s="24" t="s">
        <v>3679</v>
      </c>
      <c r="K607" s="25" t="s">
        <v>3657</v>
      </c>
      <c r="L607" s="24" t="s">
        <v>3657</v>
      </c>
      <c r="M607" s="24" t="s">
        <v>3680</v>
      </c>
      <c r="N607" s="24" t="s">
        <v>34</v>
      </c>
      <c r="O607" s="25" t="s">
        <v>167</v>
      </c>
      <c r="P607" s="29">
        <v>2000.0</v>
      </c>
      <c r="Q607" s="24"/>
      <c r="R607" s="24" t="s">
        <v>45</v>
      </c>
      <c r="S607" s="24" t="s">
        <v>3681</v>
      </c>
      <c r="T607" s="22"/>
      <c r="U607" s="22"/>
      <c r="V607" s="23" t="s">
        <v>3682</v>
      </c>
      <c r="W607" s="29">
        <v>2019.0</v>
      </c>
      <c r="X607" s="29">
        <v>2.0</v>
      </c>
      <c r="Y607" s="29"/>
      <c r="Z607" s="30"/>
      <c r="AA607" s="30" t="s">
        <v>3683</v>
      </c>
      <c r="AB607" s="30" t="s">
        <v>3684</v>
      </c>
      <c r="AC607" s="25" t="s">
        <v>1147</v>
      </c>
      <c r="AD607" s="30" t="s">
        <v>3683</v>
      </c>
      <c r="AE607" s="24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</row>
    <row r="608">
      <c r="D608" s="4" t="b">
        <v>1</v>
      </c>
      <c r="E608" s="4" t="s">
        <v>3685</v>
      </c>
      <c r="F608" s="16"/>
      <c r="G608" s="16"/>
      <c r="H608" s="16"/>
      <c r="I608" s="16"/>
      <c r="J608" s="16" t="s">
        <v>3686</v>
      </c>
      <c r="K608" s="4" t="s">
        <v>3657</v>
      </c>
      <c r="L608" s="16" t="s">
        <v>3673</v>
      </c>
      <c r="M608" s="16" t="s">
        <v>3658</v>
      </c>
      <c r="N608" s="16" t="s">
        <v>34</v>
      </c>
      <c r="O608" s="4" t="s">
        <v>167</v>
      </c>
      <c r="P608" s="31">
        <v>33126.0</v>
      </c>
      <c r="Q608" s="16"/>
      <c r="R608" s="16" t="s">
        <v>3687</v>
      </c>
      <c r="S608" s="16" t="s">
        <v>3688</v>
      </c>
      <c r="T608" s="2">
        <v>64.2</v>
      </c>
      <c r="U608" s="2" t="s">
        <v>1151</v>
      </c>
      <c r="V608" s="2" t="s">
        <v>1151</v>
      </c>
      <c r="W608" s="31">
        <v>2020.0</v>
      </c>
      <c r="X608" s="31">
        <v>2.0</v>
      </c>
      <c r="Y608" s="31"/>
      <c r="Z608" s="32"/>
      <c r="AA608" s="32" t="s">
        <v>3689</v>
      </c>
      <c r="AB608" s="32" t="s">
        <v>3690</v>
      </c>
      <c r="AC608" s="4" t="s">
        <v>1147</v>
      </c>
      <c r="AD608" s="32" t="s">
        <v>3689</v>
      </c>
      <c r="AE608" s="16"/>
    </row>
    <row r="609">
      <c r="D609" s="4" t="b">
        <v>1</v>
      </c>
      <c r="E609" s="4" t="s">
        <v>3691</v>
      </c>
      <c r="F609" s="16"/>
      <c r="G609" s="16"/>
      <c r="H609" s="16"/>
      <c r="I609" s="16"/>
      <c r="J609" s="16" t="s">
        <v>3691</v>
      </c>
      <c r="K609" s="4" t="s">
        <v>3657</v>
      </c>
      <c r="L609" s="16" t="s">
        <v>3657</v>
      </c>
      <c r="M609" s="16" t="s">
        <v>3658</v>
      </c>
      <c r="N609" s="16" t="s">
        <v>34</v>
      </c>
      <c r="O609" s="4" t="s">
        <v>167</v>
      </c>
      <c r="P609" s="31">
        <v>2298.0</v>
      </c>
      <c r="Q609" s="16"/>
      <c r="R609" s="16" t="s">
        <v>37</v>
      </c>
      <c r="S609" s="16" t="s">
        <v>3692</v>
      </c>
      <c r="T609" s="2">
        <v>3.59</v>
      </c>
      <c r="U609" s="2" t="s">
        <v>1151</v>
      </c>
      <c r="V609" s="2" t="s">
        <v>1151</v>
      </c>
      <c r="W609" s="31">
        <v>2020.0</v>
      </c>
      <c r="X609" s="31">
        <v>2.0</v>
      </c>
      <c r="Y609" s="31"/>
      <c r="Z609" s="32"/>
      <c r="AA609" s="32" t="s">
        <v>3693</v>
      </c>
      <c r="AB609" s="32" t="s">
        <v>3694</v>
      </c>
      <c r="AC609" s="4" t="s">
        <v>1147</v>
      </c>
      <c r="AD609" s="32" t="s">
        <v>3695</v>
      </c>
      <c r="AE609" s="16"/>
    </row>
    <row r="610">
      <c r="A610" s="11"/>
      <c r="B610" s="11"/>
      <c r="C610" s="11"/>
      <c r="D610" s="13" t="b">
        <v>1</v>
      </c>
      <c r="E610" s="13" t="s">
        <v>3696</v>
      </c>
      <c r="F610" s="13"/>
      <c r="G610" s="13"/>
      <c r="H610" s="13"/>
      <c r="I610" s="13"/>
      <c r="J610" s="35" t="s">
        <v>3697</v>
      </c>
      <c r="K610" s="13" t="s">
        <v>3657</v>
      </c>
      <c r="L610" s="35" t="s">
        <v>3657</v>
      </c>
      <c r="M610" s="35" t="s">
        <v>3698</v>
      </c>
      <c r="N610" s="35" t="s">
        <v>34</v>
      </c>
      <c r="O610" s="13" t="s">
        <v>167</v>
      </c>
      <c r="P610" s="36">
        <v>16577.0</v>
      </c>
      <c r="Q610" s="35"/>
      <c r="R610" s="35" t="s">
        <v>45</v>
      </c>
      <c r="S610" s="35" t="s">
        <v>3699</v>
      </c>
      <c r="T610" s="11"/>
      <c r="U610" s="12" t="s">
        <v>1226</v>
      </c>
      <c r="V610" s="12" t="s">
        <v>3700</v>
      </c>
      <c r="W610" s="36">
        <v>2021.0</v>
      </c>
      <c r="X610" s="36">
        <v>2.0</v>
      </c>
      <c r="Y610" s="36"/>
      <c r="Z610" s="37"/>
      <c r="AA610" s="37" t="s">
        <v>3701</v>
      </c>
      <c r="AB610" s="37" t="s">
        <v>3702</v>
      </c>
      <c r="AC610" s="13" t="s">
        <v>1147</v>
      </c>
      <c r="AD610" s="37" t="s">
        <v>3701</v>
      </c>
      <c r="AE610" s="35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</row>
    <row r="611">
      <c r="A611" s="22"/>
      <c r="B611" s="22"/>
      <c r="C611" s="22"/>
      <c r="D611" s="24" t="b">
        <v>0</v>
      </c>
      <c r="E611" s="24"/>
      <c r="F611" s="24"/>
      <c r="G611" s="25" t="b">
        <v>1</v>
      </c>
      <c r="H611" s="24"/>
      <c r="I611" s="24"/>
      <c r="J611" s="24" t="s">
        <v>3703</v>
      </c>
      <c r="K611" s="25" t="s">
        <v>3657</v>
      </c>
      <c r="L611" s="24" t="s">
        <v>3657</v>
      </c>
      <c r="M611" s="24" t="s">
        <v>3704</v>
      </c>
      <c r="N611" s="24" t="s">
        <v>34</v>
      </c>
      <c r="O611" s="25" t="s">
        <v>167</v>
      </c>
      <c r="P611" s="29">
        <v>804.0</v>
      </c>
      <c r="Q611" s="24"/>
      <c r="R611" s="24" t="s">
        <v>45</v>
      </c>
      <c r="S611" s="24" t="s">
        <v>3705</v>
      </c>
      <c r="T611" s="23">
        <v>0.403</v>
      </c>
      <c r="U611" s="23" t="s">
        <v>1151</v>
      </c>
      <c r="V611" s="23" t="s">
        <v>1151</v>
      </c>
      <c r="W611" s="29">
        <v>2022.0</v>
      </c>
      <c r="X611" s="29">
        <v>2.0</v>
      </c>
      <c r="Y611" s="29"/>
      <c r="Z611" s="24"/>
      <c r="AA611" s="24" t="s">
        <v>3706</v>
      </c>
      <c r="AB611" s="30" t="s">
        <v>3707</v>
      </c>
      <c r="AC611" s="25" t="s">
        <v>1147</v>
      </c>
      <c r="AD611" s="30" t="s">
        <v>3708</v>
      </c>
      <c r="AE611" s="24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</row>
    <row r="612">
      <c r="D612" s="4" t="b">
        <v>1</v>
      </c>
      <c r="E612" s="4" t="s">
        <v>3709</v>
      </c>
      <c r="F612" s="16"/>
      <c r="G612" s="16"/>
      <c r="H612" s="16"/>
      <c r="I612" s="16"/>
      <c r="J612" s="16" t="s">
        <v>3709</v>
      </c>
      <c r="K612" s="4" t="s">
        <v>3657</v>
      </c>
      <c r="L612" s="16" t="s">
        <v>3657</v>
      </c>
      <c r="M612" s="16" t="s">
        <v>3710</v>
      </c>
      <c r="N612" s="4" t="s">
        <v>3711</v>
      </c>
      <c r="O612" s="4" t="s">
        <v>167</v>
      </c>
      <c r="P612" s="31">
        <v>10408.0</v>
      </c>
      <c r="Q612" s="16"/>
      <c r="R612" s="16" t="s">
        <v>37</v>
      </c>
      <c r="S612" s="16"/>
      <c r="U612" s="2" t="s">
        <v>1226</v>
      </c>
      <c r="V612" s="2" t="s">
        <v>1151</v>
      </c>
      <c r="W612" s="31">
        <v>2023.0</v>
      </c>
      <c r="X612" s="31">
        <v>2.0</v>
      </c>
      <c r="Y612" s="31"/>
      <c r="Z612" s="32"/>
      <c r="AA612" s="32" t="s">
        <v>3712</v>
      </c>
      <c r="AB612" s="32" t="s">
        <v>3713</v>
      </c>
      <c r="AC612" s="4" t="s">
        <v>1147</v>
      </c>
      <c r="AD612" s="32" t="s">
        <v>3714</v>
      </c>
      <c r="AE612" s="16"/>
    </row>
    <row r="613">
      <c r="D613" s="4" t="b">
        <v>1</v>
      </c>
      <c r="E613" s="4" t="s">
        <v>3715</v>
      </c>
      <c r="F613" s="16"/>
      <c r="G613" s="16"/>
      <c r="H613" s="16"/>
      <c r="I613" s="16"/>
      <c r="J613" s="16" t="s">
        <v>3716</v>
      </c>
      <c r="K613" s="4" t="s">
        <v>3657</v>
      </c>
      <c r="L613" s="16"/>
      <c r="M613" s="16" t="s">
        <v>200</v>
      </c>
      <c r="N613" s="16" t="s">
        <v>34</v>
      </c>
      <c r="O613" s="4" t="s">
        <v>167</v>
      </c>
      <c r="P613" s="31">
        <v>129364.0</v>
      </c>
      <c r="Q613" s="16"/>
      <c r="R613" s="16" t="s">
        <v>45</v>
      </c>
      <c r="S613" s="16" t="s">
        <v>3717</v>
      </c>
      <c r="T613" s="2">
        <v>3.6</v>
      </c>
      <c r="U613" s="2"/>
      <c r="V613" s="2"/>
      <c r="W613" s="31">
        <v>2023.0</v>
      </c>
      <c r="X613" s="31">
        <v>2.0</v>
      </c>
      <c r="Y613" s="31"/>
      <c r="Z613" s="32"/>
      <c r="AA613" s="32" t="s">
        <v>3718</v>
      </c>
      <c r="AB613" s="32" t="s">
        <v>3719</v>
      </c>
      <c r="AC613" s="4" t="s">
        <v>1147</v>
      </c>
      <c r="AD613" s="32" t="s">
        <v>3718</v>
      </c>
      <c r="AE613" s="16"/>
    </row>
    <row r="614">
      <c r="D614" s="4" t="b">
        <v>1</v>
      </c>
      <c r="E614" s="2" t="s">
        <v>3720</v>
      </c>
      <c r="F614" s="2"/>
      <c r="G614" s="2"/>
      <c r="H614" s="2"/>
      <c r="I614" s="2"/>
      <c r="J614" s="16" t="s">
        <v>3721</v>
      </c>
      <c r="K614" s="4" t="s">
        <v>3657</v>
      </c>
      <c r="L614" s="16"/>
      <c r="M614" s="16" t="s">
        <v>3722</v>
      </c>
      <c r="N614" s="16" t="s">
        <v>34</v>
      </c>
      <c r="O614" s="4" t="s">
        <v>167</v>
      </c>
      <c r="P614" s="16"/>
      <c r="Q614" s="16"/>
      <c r="R614" s="16" t="s">
        <v>2888</v>
      </c>
      <c r="S614" s="16"/>
      <c r="T614" s="2">
        <v>36.66</v>
      </c>
      <c r="U614" s="2" t="s">
        <v>1151</v>
      </c>
      <c r="V614" s="2" t="s">
        <v>1151</v>
      </c>
      <c r="W614" s="31">
        <v>2023.0</v>
      </c>
      <c r="X614" s="4">
        <v>2.0</v>
      </c>
      <c r="Y614" s="4"/>
      <c r="Z614" s="32"/>
      <c r="AA614" s="32" t="s">
        <v>3723</v>
      </c>
      <c r="AB614" s="32" t="s">
        <v>3723</v>
      </c>
      <c r="AC614" s="4" t="s">
        <v>1147</v>
      </c>
      <c r="AD614" s="32" t="s">
        <v>3724</v>
      </c>
      <c r="AE614" s="16"/>
    </row>
    <row r="615">
      <c r="A615" s="11"/>
      <c r="B615" s="11"/>
      <c r="C615" s="11"/>
      <c r="D615" s="13" t="b">
        <v>1</v>
      </c>
      <c r="E615" s="12" t="s">
        <v>3725</v>
      </c>
      <c r="F615" s="12"/>
      <c r="G615" s="12"/>
      <c r="H615" s="12"/>
      <c r="I615" s="12"/>
      <c r="J615" s="35" t="s">
        <v>3726</v>
      </c>
      <c r="K615" s="13" t="s">
        <v>3657</v>
      </c>
      <c r="L615" s="35" t="s">
        <v>3657</v>
      </c>
      <c r="M615" s="35" t="s">
        <v>3727</v>
      </c>
      <c r="N615" s="35" t="s">
        <v>34</v>
      </c>
      <c r="O615" s="13" t="s">
        <v>167</v>
      </c>
      <c r="P615" s="36">
        <v>401059.0</v>
      </c>
      <c r="Q615" s="35"/>
      <c r="R615" s="35" t="s">
        <v>45</v>
      </c>
      <c r="S615" s="35" t="s">
        <v>3728</v>
      </c>
      <c r="T615" s="12">
        <v>1.2</v>
      </c>
      <c r="U615" s="12" t="s">
        <v>1151</v>
      </c>
      <c r="V615" s="12" t="s">
        <v>1151</v>
      </c>
      <c r="W615" s="36">
        <v>2024.0</v>
      </c>
      <c r="X615" s="36">
        <v>2.0</v>
      </c>
      <c r="Y615" s="36"/>
      <c r="Z615" s="37"/>
      <c r="AA615" s="37" t="s">
        <v>3729</v>
      </c>
      <c r="AB615" s="35" t="s">
        <v>3730</v>
      </c>
      <c r="AC615" s="13" t="s">
        <v>1147</v>
      </c>
      <c r="AD615" s="37" t="s">
        <v>3729</v>
      </c>
      <c r="AE615" s="35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</row>
    <row r="616">
      <c r="D616" s="4" t="b">
        <v>1</v>
      </c>
      <c r="E616" s="2" t="s">
        <v>3731</v>
      </c>
      <c r="F616" s="2"/>
      <c r="G616" s="2"/>
      <c r="H616" s="2"/>
      <c r="I616" s="2"/>
      <c r="J616" s="16" t="s">
        <v>3732</v>
      </c>
      <c r="K616" s="4" t="s">
        <v>3657</v>
      </c>
      <c r="L616" s="16"/>
      <c r="M616" s="16" t="s">
        <v>3680</v>
      </c>
      <c r="N616" s="16" t="s">
        <v>34</v>
      </c>
      <c r="O616" s="4" t="s">
        <v>167</v>
      </c>
      <c r="P616" s="31">
        <v>2394.0</v>
      </c>
      <c r="Q616" s="16"/>
      <c r="R616" s="16" t="s">
        <v>45</v>
      </c>
      <c r="S616" s="16" t="s">
        <v>3733</v>
      </c>
      <c r="T616" s="2">
        <f>291/1024</f>
        <v>0.2841796875</v>
      </c>
      <c r="U616" s="2" t="s">
        <v>1226</v>
      </c>
      <c r="V616" s="2" t="s">
        <v>1151</v>
      </c>
      <c r="W616" s="31">
        <v>2024.0</v>
      </c>
      <c r="X616" s="31">
        <v>2.0</v>
      </c>
      <c r="Y616" s="31"/>
      <c r="Z616" s="32"/>
      <c r="AA616" s="32" t="s">
        <v>3734</v>
      </c>
      <c r="AB616" s="16" t="s">
        <v>275</v>
      </c>
      <c r="AC616" s="4" t="s">
        <v>105</v>
      </c>
      <c r="AD616" s="32" t="s">
        <v>3735</v>
      </c>
      <c r="AE616" s="16"/>
    </row>
    <row r="617">
      <c r="A617" s="11"/>
      <c r="B617" s="11"/>
      <c r="C617" s="11"/>
      <c r="D617" s="13" t="b">
        <v>1</v>
      </c>
      <c r="E617" s="12" t="s">
        <v>3736</v>
      </c>
      <c r="F617" s="12"/>
      <c r="G617" s="12"/>
      <c r="H617" s="12"/>
      <c r="I617" s="12"/>
      <c r="J617" s="35" t="s">
        <v>3737</v>
      </c>
      <c r="K617" s="13" t="s">
        <v>3657</v>
      </c>
      <c r="L617" s="35" t="s">
        <v>3657</v>
      </c>
      <c r="M617" s="35" t="s">
        <v>3658</v>
      </c>
      <c r="N617" s="35" t="s">
        <v>34</v>
      </c>
      <c r="O617" s="13" t="s">
        <v>167</v>
      </c>
      <c r="P617" s="36">
        <v>81722.0</v>
      </c>
      <c r="Q617" s="35"/>
      <c r="R617" s="35" t="s">
        <v>45</v>
      </c>
      <c r="S617" s="35" t="s">
        <v>3738</v>
      </c>
      <c r="T617" s="12">
        <v>82.12</v>
      </c>
      <c r="U617" s="12" t="s">
        <v>1226</v>
      </c>
      <c r="V617" s="12" t="s">
        <v>1151</v>
      </c>
      <c r="W617" s="36">
        <v>2024.0</v>
      </c>
      <c r="X617" s="36">
        <v>2.0</v>
      </c>
      <c r="Y617" s="36"/>
      <c r="Z617" s="37"/>
      <c r="AA617" s="37" t="s">
        <v>3739</v>
      </c>
      <c r="AB617" s="35" t="s">
        <v>275</v>
      </c>
      <c r="AC617" s="13" t="s">
        <v>105</v>
      </c>
      <c r="AD617" s="37" t="s">
        <v>3740</v>
      </c>
      <c r="AE617" s="35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</row>
    <row r="618">
      <c r="A618" s="22"/>
      <c r="B618" s="22"/>
      <c r="C618" s="22"/>
      <c r="D618" s="24" t="b">
        <v>0</v>
      </c>
      <c r="E618" s="23"/>
      <c r="F618" s="23"/>
      <c r="G618" s="25" t="b">
        <v>1</v>
      </c>
      <c r="H618" s="23"/>
      <c r="I618" s="23"/>
      <c r="J618" s="23" t="s">
        <v>3741</v>
      </c>
      <c r="K618" s="25" t="s">
        <v>3657</v>
      </c>
      <c r="L618" s="23" t="s">
        <v>3657</v>
      </c>
      <c r="M618" s="22" t="s">
        <v>3742</v>
      </c>
      <c r="N618" s="22" t="s">
        <v>34</v>
      </c>
      <c r="O618" s="22" t="s">
        <v>3743</v>
      </c>
      <c r="P618" s="22"/>
      <c r="Q618" s="22"/>
      <c r="R618" s="22"/>
      <c r="S618" s="22"/>
      <c r="T618" s="22"/>
      <c r="U618" s="22"/>
      <c r="V618" s="22"/>
      <c r="W618" s="22" t="s">
        <v>1819</v>
      </c>
      <c r="X618" s="22" t="s">
        <v>343</v>
      </c>
      <c r="Y618" s="22" t="s">
        <v>3744</v>
      </c>
      <c r="Z618" s="23"/>
      <c r="AA618" s="28" t="s">
        <v>3745</v>
      </c>
      <c r="AB618" s="22" t="s">
        <v>3746</v>
      </c>
      <c r="AC618" s="22" t="s">
        <v>3745</v>
      </c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</row>
    <row r="619">
      <c r="A619" s="22"/>
      <c r="B619" s="22"/>
      <c r="C619" s="22"/>
      <c r="D619" s="24" t="b">
        <v>0</v>
      </c>
      <c r="E619" s="23"/>
      <c r="F619" s="23"/>
      <c r="G619" s="25" t="b">
        <v>1</v>
      </c>
      <c r="H619" s="23"/>
      <c r="I619" s="23"/>
      <c r="J619" s="23" t="s">
        <v>3747</v>
      </c>
      <c r="K619" s="25" t="s">
        <v>3657</v>
      </c>
      <c r="L619" s="23" t="s">
        <v>3657</v>
      </c>
      <c r="M619" s="22" t="s">
        <v>3742</v>
      </c>
      <c r="N619" s="22" t="s">
        <v>485</v>
      </c>
      <c r="O619" s="22" t="s">
        <v>3748</v>
      </c>
      <c r="P619" s="22"/>
      <c r="Q619" s="22"/>
      <c r="R619" s="22" t="s">
        <v>195</v>
      </c>
      <c r="S619" s="22"/>
      <c r="T619" s="22"/>
      <c r="U619" s="22"/>
      <c r="V619" s="22"/>
      <c r="W619" s="22" t="s">
        <v>1796</v>
      </c>
      <c r="X619" s="22" t="s">
        <v>343</v>
      </c>
      <c r="Y619" s="22" t="s">
        <v>3749</v>
      </c>
      <c r="Z619" s="23"/>
      <c r="AA619" s="28" t="s">
        <v>3750</v>
      </c>
      <c r="AB619" s="22" t="s">
        <v>3751</v>
      </c>
      <c r="AC619" s="22" t="s">
        <v>3750</v>
      </c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</row>
    <row r="620">
      <c r="D620" s="4" t="b">
        <v>1</v>
      </c>
      <c r="E620" s="2" t="s">
        <v>3752</v>
      </c>
      <c r="J620" s="2" t="s">
        <v>3753</v>
      </c>
      <c r="K620" s="4" t="s">
        <v>3657</v>
      </c>
      <c r="L620" s="2" t="s">
        <v>3657</v>
      </c>
      <c r="M620" s="2" t="s">
        <v>3698</v>
      </c>
      <c r="Z620" s="2"/>
      <c r="AA620" s="15" t="s">
        <v>3754</v>
      </c>
    </row>
    <row r="621">
      <c r="D621" s="4" t="b">
        <v>1</v>
      </c>
      <c r="E621" s="2" t="s">
        <v>3755</v>
      </c>
      <c r="J621" s="2" t="s">
        <v>3756</v>
      </c>
      <c r="K621" s="4" t="s">
        <v>3657</v>
      </c>
      <c r="L621" s="2" t="s">
        <v>3657</v>
      </c>
      <c r="M621" s="3" t="s">
        <v>3698</v>
      </c>
      <c r="N621" s="3" t="s">
        <v>34</v>
      </c>
      <c r="O621" s="3" t="s">
        <v>167</v>
      </c>
      <c r="P621" s="3">
        <v>10015.0</v>
      </c>
      <c r="Q621" s="3">
        <v>10015.0</v>
      </c>
      <c r="R621" s="3" t="s">
        <v>195</v>
      </c>
      <c r="S621" s="3" t="s">
        <v>3757</v>
      </c>
      <c r="T621" s="2">
        <v>3.0</v>
      </c>
      <c r="W621" s="3">
        <v>2018.0</v>
      </c>
      <c r="X621" s="3" t="s">
        <v>343</v>
      </c>
      <c r="Y621" s="3" t="s">
        <v>3758</v>
      </c>
      <c r="Z621" s="2"/>
      <c r="AA621" s="15" t="s">
        <v>3759</v>
      </c>
      <c r="AB621" s="3" t="s">
        <v>3760</v>
      </c>
      <c r="AC621" s="3" t="s">
        <v>3761</v>
      </c>
      <c r="AD621" s="3" t="s">
        <v>3762</v>
      </c>
    </row>
    <row r="622">
      <c r="D622" s="4" t="b">
        <v>1</v>
      </c>
      <c r="E622" s="2" t="s">
        <v>3673</v>
      </c>
      <c r="J622" s="2" t="s">
        <v>3763</v>
      </c>
      <c r="K622" s="4" t="s">
        <v>3657</v>
      </c>
      <c r="L622" s="2" t="s">
        <v>3657</v>
      </c>
      <c r="M622" s="3" t="s">
        <v>3698</v>
      </c>
      <c r="N622" s="3" t="s">
        <v>34</v>
      </c>
      <c r="O622" s="3" t="s">
        <v>167</v>
      </c>
      <c r="R622" s="3" t="s">
        <v>195</v>
      </c>
      <c r="W622" s="3">
        <v>2016.0</v>
      </c>
      <c r="X622" s="3" t="s">
        <v>343</v>
      </c>
      <c r="Y622" s="3" t="s">
        <v>2340</v>
      </c>
      <c r="Z622" s="2"/>
      <c r="AA622" s="5" t="s">
        <v>3764</v>
      </c>
      <c r="AB622" s="3" t="s">
        <v>3765</v>
      </c>
      <c r="AC622" s="3" t="s">
        <v>3766</v>
      </c>
    </row>
    <row r="623">
      <c r="A623" s="22"/>
      <c r="B623" s="22"/>
      <c r="C623" s="22"/>
      <c r="D623" s="24" t="b">
        <v>0</v>
      </c>
      <c r="E623" s="22"/>
      <c r="F623" s="22"/>
      <c r="G623" s="25" t="b">
        <v>1</v>
      </c>
      <c r="H623" s="22"/>
      <c r="I623" s="22"/>
      <c r="J623" s="23" t="s">
        <v>3767</v>
      </c>
      <c r="K623" s="25" t="s">
        <v>3657</v>
      </c>
      <c r="L623" s="23" t="s">
        <v>3657</v>
      </c>
      <c r="M623" s="22" t="s">
        <v>3768</v>
      </c>
      <c r="N623" s="22" t="s">
        <v>34</v>
      </c>
      <c r="O623" s="22" t="s">
        <v>167</v>
      </c>
      <c r="P623" s="22">
        <v>206.0</v>
      </c>
      <c r="Q623" s="22">
        <v>206.0</v>
      </c>
      <c r="R623" s="22" t="s">
        <v>195</v>
      </c>
      <c r="S623" s="22"/>
      <c r="T623" s="22"/>
      <c r="U623" s="22"/>
      <c r="V623" s="22"/>
      <c r="W623" s="22"/>
      <c r="X623" s="22" t="s">
        <v>343</v>
      </c>
      <c r="Y623" s="22" t="s">
        <v>3769</v>
      </c>
      <c r="Z623" s="23"/>
      <c r="AA623" s="28" t="s">
        <v>3770</v>
      </c>
      <c r="AB623" s="22" t="s">
        <v>3771</v>
      </c>
      <c r="AC623" s="22" t="s">
        <v>3772</v>
      </c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</row>
    <row r="624">
      <c r="D624" s="4" t="b">
        <v>1</v>
      </c>
      <c r="E624" s="2" t="s">
        <v>3773</v>
      </c>
      <c r="J624" s="2" t="s">
        <v>3774</v>
      </c>
      <c r="K624" s="4" t="s">
        <v>3657</v>
      </c>
      <c r="L624" s="2" t="s">
        <v>3657</v>
      </c>
      <c r="M624" s="3" t="s">
        <v>108</v>
      </c>
      <c r="N624" s="3" t="s">
        <v>76</v>
      </c>
      <c r="O624" s="3" t="s">
        <v>1937</v>
      </c>
      <c r="P624" s="3">
        <v>11.0</v>
      </c>
      <c r="X624" s="3" t="s">
        <v>331</v>
      </c>
      <c r="Z624" s="2"/>
      <c r="AA624" s="15" t="s">
        <v>3775</v>
      </c>
      <c r="AB624" s="3" t="s">
        <v>3776</v>
      </c>
      <c r="AC624" s="3" t="s">
        <v>105</v>
      </c>
    </row>
    <row r="625">
      <c r="A625" s="22"/>
      <c r="B625" s="22"/>
      <c r="C625" s="22"/>
      <c r="D625" s="24" t="b">
        <v>0</v>
      </c>
      <c r="E625" s="22"/>
      <c r="F625" s="22"/>
      <c r="G625" s="25" t="b">
        <v>1</v>
      </c>
      <c r="H625" s="22"/>
      <c r="I625" s="22"/>
      <c r="J625" s="23" t="s">
        <v>3777</v>
      </c>
      <c r="K625" s="25" t="s">
        <v>3657</v>
      </c>
      <c r="L625" s="23" t="s">
        <v>3657</v>
      </c>
      <c r="M625" s="22" t="s">
        <v>3778</v>
      </c>
      <c r="N625" s="22"/>
      <c r="O625" s="22"/>
      <c r="P625" s="23">
        <v>36.0</v>
      </c>
      <c r="Q625" s="22"/>
      <c r="R625" s="22" t="s">
        <v>63</v>
      </c>
      <c r="S625" s="22"/>
      <c r="T625" s="22"/>
      <c r="U625" s="22"/>
      <c r="V625" s="22"/>
      <c r="W625" s="22">
        <v>2024.0</v>
      </c>
      <c r="X625" s="22" t="s">
        <v>331</v>
      </c>
      <c r="Y625" s="22"/>
      <c r="Z625" s="23"/>
      <c r="AA625" s="28" t="s">
        <v>3779</v>
      </c>
      <c r="AB625" s="22" t="s">
        <v>3780</v>
      </c>
      <c r="AC625" s="22" t="s">
        <v>334</v>
      </c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</row>
    <row r="626">
      <c r="A626" s="22"/>
      <c r="B626" s="22"/>
      <c r="C626" s="22"/>
      <c r="D626" s="24" t="b">
        <v>0</v>
      </c>
      <c r="E626" s="22"/>
      <c r="F626" s="22"/>
      <c r="G626" s="25" t="b">
        <v>1</v>
      </c>
      <c r="H626" s="22"/>
      <c r="I626" s="22"/>
      <c r="J626" s="23" t="s">
        <v>3781</v>
      </c>
      <c r="K626" s="25" t="s">
        <v>3657</v>
      </c>
      <c r="L626" s="23" t="s">
        <v>3657</v>
      </c>
      <c r="M626" s="22" t="s">
        <v>469</v>
      </c>
      <c r="N626" s="22" t="s">
        <v>76</v>
      </c>
      <c r="O626" s="22" t="s">
        <v>1937</v>
      </c>
      <c r="P626" s="22"/>
      <c r="Q626" s="22"/>
      <c r="R626" s="22" t="s">
        <v>37</v>
      </c>
      <c r="S626" s="22"/>
      <c r="T626" s="22"/>
      <c r="U626" s="22"/>
      <c r="V626" s="22"/>
      <c r="W626" s="22">
        <v>2024.0</v>
      </c>
      <c r="X626" s="22" t="s">
        <v>343</v>
      </c>
      <c r="Y626" s="22"/>
      <c r="Z626" s="23"/>
      <c r="AA626" s="28" t="s">
        <v>3782</v>
      </c>
      <c r="AB626" s="22" t="s">
        <v>3783</v>
      </c>
      <c r="AC626" s="22" t="s">
        <v>346</v>
      </c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</row>
    <row r="627">
      <c r="A627" s="17"/>
      <c r="B627" s="17"/>
      <c r="C627" s="17"/>
      <c r="D627" s="19" t="b">
        <v>1</v>
      </c>
      <c r="E627" s="18" t="s">
        <v>3784</v>
      </c>
      <c r="F627" s="17"/>
      <c r="G627" s="17"/>
      <c r="H627" s="17"/>
      <c r="I627" s="17"/>
      <c r="J627" s="18" t="s">
        <v>3784</v>
      </c>
      <c r="K627" s="19" t="s">
        <v>3657</v>
      </c>
      <c r="L627" s="18" t="s">
        <v>3657</v>
      </c>
      <c r="M627" s="17" t="s">
        <v>3785</v>
      </c>
      <c r="N627" s="17"/>
      <c r="O627" s="17"/>
      <c r="P627" s="17">
        <v>88.0</v>
      </c>
      <c r="Q627" s="17" t="s">
        <v>3786</v>
      </c>
      <c r="R627" s="17" t="s">
        <v>3787</v>
      </c>
      <c r="S627" s="17"/>
      <c r="T627" s="18">
        <v>87.2</v>
      </c>
      <c r="U627" s="17"/>
      <c r="V627" s="17"/>
      <c r="W627" s="17">
        <v>2023.0</v>
      </c>
      <c r="X627" s="17" t="s">
        <v>540</v>
      </c>
      <c r="Y627" s="17" t="s">
        <v>332</v>
      </c>
      <c r="Z627" s="18"/>
      <c r="AA627" s="20" t="s">
        <v>3788</v>
      </c>
      <c r="AB627" s="17" t="s">
        <v>3789</v>
      </c>
      <c r="AC627" s="17" t="s">
        <v>334</v>
      </c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</row>
    <row r="628">
      <c r="D628" s="4" t="b">
        <v>1</v>
      </c>
      <c r="E628" s="2" t="s">
        <v>3790</v>
      </c>
      <c r="J628" s="2" t="s">
        <v>3790</v>
      </c>
      <c r="K628" s="4" t="s">
        <v>3657</v>
      </c>
      <c r="L628" s="2" t="s">
        <v>3657</v>
      </c>
      <c r="M628" s="3" t="s">
        <v>60</v>
      </c>
      <c r="N628" s="3" t="s">
        <v>76</v>
      </c>
      <c r="O628" s="3" t="s">
        <v>3791</v>
      </c>
      <c r="R628" s="3" t="s">
        <v>138</v>
      </c>
      <c r="W628" s="3">
        <v>2024.0</v>
      </c>
      <c r="X628" s="3" t="s">
        <v>331</v>
      </c>
      <c r="Z628" s="2"/>
      <c r="AA628" s="15" t="s">
        <v>3792</v>
      </c>
      <c r="AB628" s="3" t="s">
        <v>3793</v>
      </c>
      <c r="AC628" s="3" t="s">
        <v>346</v>
      </c>
    </row>
    <row r="629">
      <c r="A629" s="22"/>
      <c r="B629" s="22"/>
      <c r="C629" s="22"/>
      <c r="D629" s="24" t="b">
        <v>0</v>
      </c>
      <c r="E629" s="22"/>
      <c r="F629" s="22"/>
      <c r="G629" s="25" t="b">
        <v>1</v>
      </c>
      <c r="H629" s="22"/>
      <c r="I629" s="22"/>
      <c r="J629" s="23" t="s">
        <v>3794</v>
      </c>
      <c r="K629" s="25" t="s">
        <v>3657</v>
      </c>
      <c r="L629" s="23" t="s">
        <v>3657</v>
      </c>
      <c r="M629" s="22" t="s">
        <v>3148</v>
      </c>
      <c r="N629" s="22" t="s">
        <v>3795</v>
      </c>
      <c r="O629" s="22" t="s">
        <v>3796</v>
      </c>
      <c r="P629" s="22">
        <v>2200.0</v>
      </c>
      <c r="Q629" s="22">
        <v>2200.0</v>
      </c>
      <c r="R629" s="22"/>
      <c r="S629" s="22"/>
      <c r="T629" s="22"/>
      <c r="U629" s="22"/>
      <c r="V629" s="22"/>
      <c r="W629" s="22">
        <v>2020.0</v>
      </c>
      <c r="X629" s="22" t="s">
        <v>343</v>
      </c>
      <c r="Y629" s="22"/>
      <c r="Z629" s="23"/>
      <c r="AA629" s="28" t="s">
        <v>3797</v>
      </c>
      <c r="AB629" s="22" t="s">
        <v>3798</v>
      </c>
      <c r="AC629" s="22" t="s">
        <v>346</v>
      </c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</row>
    <row r="630">
      <c r="A630" s="22"/>
      <c r="B630" s="22"/>
      <c r="C630" s="22"/>
      <c r="D630" s="24" t="b">
        <v>0</v>
      </c>
      <c r="E630" s="22"/>
      <c r="F630" s="22"/>
      <c r="G630" s="25" t="b">
        <v>1</v>
      </c>
      <c r="H630" s="22"/>
      <c r="I630" s="22"/>
      <c r="J630" s="23" t="s">
        <v>3799</v>
      </c>
      <c r="K630" s="25" t="s">
        <v>3657</v>
      </c>
      <c r="L630" s="23" t="s">
        <v>3657</v>
      </c>
      <c r="M630" s="22" t="s">
        <v>235</v>
      </c>
      <c r="N630" s="22" t="s">
        <v>2345</v>
      </c>
      <c r="O630" s="22"/>
      <c r="P630" s="22">
        <v>9082.0</v>
      </c>
      <c r="Q630" s="22"/>
      <c r="R630" s="22" t="s">
        <v>3800</v>
      </c>
      <c r="S630" s="22"/>
      <c r="T630" s="22"/>
      <c r="U630" s="22"/>
      <c r="V630" s="22"/>
      <c r="W630" s="22">
        <v>2018.0</v>
      </c>
      <c r="X630" s="22" t="s">
        <v>331</v>
      </c>
      <c r="Y630" s="22" t="s">
        <v>332</v>
      </c>
      <c r="Z630" s="23"/>
      <c r="AA630" s="28" t="s">
        <v>3801</v>
      </c>
      <c r="AB630" s="22" t="s">
        <v>3802</v>
      </c>
      <c r="AC630" s="22" t="s">
        <v>3803</v>
      </c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</row>
    <row r="631">
      <c r="D631" s="4" t="b">
        <v>1</v>
      </c>
      <c r="E631" s="2" t="s">
        <v>3804</v>
      </c>
      <c r="J631" s="2" t="s">
        <v>3804</v>
      </c>
      <c r="K631" s="4" t="s">
        <v>3657</v>
      </c>
      <c r="L631" s="2" t="s">
        <v>3657</v>
      </c>
      <c r="M631" s="3" t="s">
        <v>328</v>
      </c>
      <c r="N631" s="3" t="s">
        <v>946</v>
      </c>
      <c r="O631" s="3" t="s">
        <v>3805</v>
      </c>
      <c r="P631" s="3">
        <v>68.0</v>
      </c>
      <c r="R631" s="3" t="s">
        <v>63</v>
      </c>
      <c r="X631" s="3" t="s">
        <v>331</v>
      </c>
      <c r="Y631" s="3" t="s">
        <v>1261</v>
      </c>
      <c r="Z631" s="2"/>
      <c r="AA631" s="15" t="s">
        <v>3806</v>
      </c>
      <c r="AB631" s="3" t="s">
        <v>3807</v>
      </c>
      <c r="AC631" s="3" t="s">
        <v>346</v>
      </c>
    </row>
    <row r="632">
      <c r="D632" s="4" t="b">
        <v>1</v>
      </c>
      <c r="E632" s="2" t="s">
        <v>3808</v>
      </c>
      <c r="J632" s="2" t="s">
        <v>3809</v>
      </c>
      <c r="K632" s="4" t="s">
        <v>3657</v>
      </c>
      <c r="L632" s="2" t="s">
        <v>3657</v>
      </c>
      <c r="M632" s="3" t="s">
        <v>60</v>
      </c>
      <c r="N632" s="3" t="s">
        <v>3810</v>
      </c>
      <c r="O632" s="3" t="s">
        <v>3811</v>
      </c>
      <c r="P632" s="3">
        <v>2300.0</v>
      </c>
      <c r="Q632" s="3">
        <v>2300.0</v>
      </c>
      <c r="R632" s="3" t="s">
        <v>138</v>
      </c>
      <c r="W632" s="3">
        <v>2022.0</v>
      </c>
      <c r="X632" s="3" t="s">
        <v>331</v>
      </c>
      <c r="Y632" s="3" t="s">
        <v>3812</v>
      </c>
      <c r="Z632" s="2"/>
      <c r="AA632" s="15" t="s">
        <v>3813</v>
      </c>
      <c r="AB632" s="3" t="s">
        <v>3814</v>
      </c>
      <c r="AC632" s="3" t="s">
        <v>346</v>
      </c>
    </row>
    <row r="633">
      <c r="D633" s="4" t="b">
        <v>1</v>
      </c>
      <c r="E633" s="2" t="s">
        <v>3815</v>
      </c>
      <c r="J633" s="2" t="s">
        <v>3816</v>
      </c>
      <c r="K633" s="4" t="s">
        <v>3657</v>
      </c>
      <c r="L633" s="2" t="s">
        <v>3657</v>
      </c>
      <c r="M633" s="3" t="s">
        <v>60</v>
      </c>
      <c r="N633" s="3" t="s">
        <v>3817</v>
      </c>
      <c r="O633" s="3" t="s">
        <v>3818</v>
      </c>
      <c r="P633" s="3">
        <v>25.0</v>
      </c>
      <c r="R633" s="3" t="s">
        <v>3819</v>
      </c>
      <c r="W633" s="3">
        <v>2015.0</v>
      </c>
      <c r="X633" s="3" t="s">
        <v>331</v>
      </c>
      <c r="Z633" s="2"/>
      <c r="AA633" s="15" t="s">
        <v>3820</v>
      </c>
      <c r="AB633" s="3" t="s">
        <v>3821</v>
      </c>
      <c r="AC633" s="3" t="s">
        <v>346</v>
      </c>
    </row>
    <row r="634">
      <c r="A634" s="22"/>
      <c r="B634" s="22"/>
      <c r="C634" s="22"/>
      <c r="D634" s="24" t="b">
        <v>0</v>
      </c>
      <c r="E634" s="22"/>
      <c r="F634" s="22"/>
      <c r="G634" s="25" t="b">
        <v>1</v>
      </c>
      <c r="H634" s="22"/>
      <c r="I634" s="22"/>
      <c r="J634" s="23" t="s">
        <v>3822</v>
      </c>
      <c r="K634" s="25" t="s">
        <v>3657</v>
      </c>
      <c r="L634" s="23" t="s">
        <v>3657</v>
      </c>
      <c r="M634" s="22" t="s">
        <v>3823</v>
      </c>
      <c r="N634" s="22" t="s">
        <v>3824</v>
      </c>
      <c r="O634" s="22" t="s">
        <v>3825</v>
      </c>
      <c r="P634" s="22">
        <v>137.0</v>
      </c>
      <c r="Q634" s="22">
        <v>28918.0</v>
      </c>
      <c r="R634" s="22" t="s">
        <v>63</v>
      </c>
      <c r="S634" s="22"/>
      <c r="T634" s="23">
        <v>11.79</v>
      </c>
      <c r="U634" s="22"/>
      <c r="V634" s="22"/>
      <c r="W634" s="22">
        <v>2020.0</v>
      </c>
      <c r="X634" s="22" t="s">
        <v>331</v>
      </c>
      <c r="Y634" s="22" t="s">
        <v>2767</v>
      </c>
      <c r="Z634" s="23"/>
      <c r="AA634" s="28" t="s">
        <v>3826</v>
      </c>
      <c r="AB634" s="22" t="s">
        <v>3827</v>
      </c>
      <c r="AC634" s="22" t="s">
        <v>334</v>
      </c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</row>
    <row r="635">
      <c r="A635" s="22"/>
      <c r="B635" s="22"/>
      <c r="C635" s="22"/>
      <c r="D635" s="24" t="b">
        <v>0</v>
      </c>
      <c r="E635" s="22"/>
      <c r="F635" s="22"/>
      <c r="G635" s="25" t="b">
        <v>1</v>
      </c>
      <c r="H635" s="22"/>
      <c r="I635" s="22"/>
      <c r="J635" s="23" t="s">
        <v>3828</v>
      </c>
      <c r="K635" s="25" t="s">
        <v>3657</v>
      </c>
      <c r="L635" s="23" t="s">
        <v>3657</v>
      </c>
      <c r="M635" s="22" t="s">
        <v>60</v>
      </c>
      <c r="N635" s="22" t="s">
        <v>3817</v>
      </c>
      <c r="O635" s="22" t="s">
        <v>3829</v>
      </c>
      <c r="P635" s="22">
        <v>30.0</v>
      </c>
      <c r="Q635" s="22">
        <v>111778.0</v>
      </c>
      <c r="R635" s="22" t="s">
        <v>63</v>
      </c>
      <c r="S635" s="22" t="s">
        <v>3830</v>
      </c>
      <c r="T635" s="23">
        <v>59.03</v>
      </c>
      <c r="U635" s="22"/>
      <c r="V635" s="22"/>
      <c r="W635" s="22">
        <v>2024.0</v>
      </c>
      <c r="X635" s="22" t="s">
        <v>331</v>
      </c>
      <c r="Y635" s="22" t="s">
        <v>332</v>
      </c>
      <c r="Z635" s="23"/>
      <c r="AA635" s="28" t="s">
        <v>3831</v>
      </c>
      <c r="AB635" s="22" t="s">
        <v>3827</v>
      </c>
      <c r="AC635" s="22" t="s">
        <v>334</v>
      </c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</row>
    <row r="636">
      <c r="D636" s="4" t="b">
        <v>1</v>
      </c>
      <c r="E636" s="2" t="s">
        <v>3832</v>
      </c>
      <c r="J636" s="2" t="s">
        <v>3832</v>
      </c>
      <c r="K636" s="4" t="s">
        <v>3657</v>
      </c>
      <c r="L636" s="2" t="s">
        <v>3657</v>
      </c>
      <c r="M636" s="3" t="s">
        <v>3833</v>
      </c>
      <c r="N636" s="3" t="s">
        <v>3834</v>
      </c>
      <c r="O636" s="3" t="s">
        <v>3835</v>
      </c>
      <c r="P636" s="3">
        <v>299.0</v>
      </c>
      <c r="Q636" s="3">
        <v>1.3013532E7</v>
      </c>
      <c r="R636" s="3" t="s">
        <v>3836</v>
      </c>
      <c r="T636" s="2">
        <v>1330.0</v>
      </c>
      <c r="W636" s="3">
        <v>2016.0</v>
      </c>
      <c r="X636" s="3" t="s">
        <v>331</v>
      </c>
      <c r="Y636" s="3" t="s">
        <v>332</v>
      </c>
      <c r="Z636" s="2"/>
      <c r="AA636" s="15" t="s">
        <v>3837</v>
      </c>
      <c r="AB636" s="3" t="s">
        <v>3789</v>
      </c>
      <c r="AC636" s="3" t="s">
        <v>334</v>
      </c>
    </row>
    <row r="637">
      <c r="A637" s="17"/>
      <c r="B637" s="17"/>
      <c r="C637" s="17"/>
      <c r="D637" s="19" t="b">
        <v>1</v>
      </c>
      <c r="E637" s="18" t="s">
        <v>3838</v>
      </c>
      <c r="F637" s="17"/>
      <c r="G637" s="17"/>
      <c r="H637" s="17"/>
      <c r="I637" s="17"/>
      <c r="J637" s="18" t="s">
        <v>3839</v>
      </c>
      <c r="K637" s="19" t="s">
        <v>3657</v>
      </c>
      <c r="L637" s="18" t="s">
        <v>3657</v>
      </c>
      <c r="M637" s="17" t="s">
        <v>3840</v>
      </c>
      <c r="N637" s="17" t="s">
        <v>685</v>
      </c>
      <c r="O637" s="17" t="s">
        <v>3841</v>
      </c>
      <c r="P637" s="17"/>
      <c r="Q637" s="17"/>
      <c r="R637" s="17" t="s">
        <v>3842</v>
      </c>
      <c r="S637" s="17" t="s">
        <v>3843</v>
      </c>
      <c r="T637" s="17"/>
      <c r="U637" s="17"/>
      <c r="V637" s="17"/>
      <c r="W637" s="17">
        <v>2024.0</v>
      </c>
      <c r="X637" s="17" t="s">
        <v>331</v>
      </c>
      <c r="Y637" s="17" t="s">
        <v>3844</v>
      </c>
      <c r="Z637" s="18"/>
      <c r="AA637" s="20" t="s">
        <v>3845</v>
      </c>
      <c r="AB637" s="17" t="s">
        <v>3846</v>
      </c>
      <c r="AC637" s="17" t="s">
        <v>346</v>
      </c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</row>
    <row r="638">
      <c r="D638" s="4" t="b">
        <v>1</v>
      </c>
      <c r="E638" s="2" t="s">
        <v>3847</v>
      </c>
      <c r="J638" s="2" t="s">
        <v>3847</v>
      </c>
      <c r="K638" s="4" t="s">
        <v>3657</v>
      </c>
      <c r="L638" s="2" t="s">
        <v>3657</v>
      </c>
      <c r="M638" s="3" t="s">
        <v>3848</v>
      </c>
      <c r="N638" s="3" t="s">
        <v>61</v>
      </c>
      <c r="O638" s="3" t="s">
        <v>3849</v>
      </c>
      <c r="P638" s="3">
        <v>441.0</v>
      </c>
      <c r="Q638" s="3">
        <v>441.0</v>
      </c>
      <c r="R638" s="3" t="s">
        <v>37</v>
      </c>
      <c r="S638" s="3" t="s">
        <v>3850</v>
      </c>
      <c r="W638" s="3">
        <v>2019.0</v>
      </c>
      <c r="X638" s="3" t="s">
        <v>343</v>
      </c>
      <c r="Y638" s="3" t="s">
        <v>1033</v>
      </c>
      <c r="Z638" s="2"/>
      <c r="AA638" s="15" t="s">
        <v>3851</v>
      </c>
      <c r="AB638" s="3" t="s">
        <v>3852</v>
      </c>
      <c r="AC638" s="3" t="s">
        <v>346</v>
      </c>
    </row>
    <row r="639">
      <c r="A639" s="17"/>
      <c r="B639" s="17"/>
      <c r="C639" s="17"/>
      <c r="D639" s="19" t="b">
        <v>1</v>
      </c>
      <c r="E639" s="18" t="s">
        <v>3853</v>
      </c>
      <c r="F639" s="17"/>
      <c r="G639" s="17"/>
      <c r="H639" s="17"/>
      <c r="I639" s="17"/>
      <c r="J639" s="18" t="s">
        <v>3854</v>
      </c>
      <c r="K639" s="19" t="s">
        <v>3657</v>
      </c>
      <c r="L639" s="18" t="s">
        <v>3657</v>
      </c>
      <c r="M639" s="17" t="s">
        <v>3855</v>
      </c>
      <c r="N639" s="17" t="s">
        <v>34</v>
      </c>
      <c r="O639" s="17" t="s">
        <v>167</v>
      </c>
      <c r="P639" s="17"/>
      <c r="Q639" s="17"/>
      <c r="R639" s="17" t="s">
        <v>3856</v>
      </c>
      <c r="S639" s="17" t="s">
        <v>3857</v>
      </c>
      <c r="T639" s="18">
        <v>52.3</v>
      </c>
      <c r="U639" s="17"/>
      <c r="V639" s="17"/>
      <c r="W639" s="17">
        <v>2024.0</v>
      </c>
      <c r="X639" s="17" t="s">
        <v>343</v>
      </c>
      <c r="Y639" s="17"/>
      <c r="Z639" s="18"/>
      <c r="AA639" s="20" t="s">
        <v>3858</v>
      </c>
      <c r="AB639" s="17" t="s">
        <v>3859</v>
      </c>
      <c r="AC639" s="17" t="s">
        <v>72</v>
      </c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</row>
    <row r="640">
      <c r="A640" s="22"/>
      <c r="B640" s="22"/>
      <c r="C640" s="22"/>
      <c r="D640" s="24" t="b">
        <v>0</v>
      </c>
      <c r="E640" s="22"/>
      <c r="F640" s="22"/>
      <c r="G640" s="25" t="b">
        <v>1</v>
      </c>
      <c r="H640" s="22"/>
      <c r="I640" s="22"/>
      <c r="J640" s="23" t="s">
        <v>3860</v>
      </c>
      <c r="K640" s="25" t="s">
        <v>3657</v>
      </c>
      <c r="L640" s="23" t="s">
        <v>3657</v>
      </c>
      <c r="M640" s="22" t="s">
        <v>3861</v>
      </c>
      <c r="N640" s="22" t="s">
        <v>3862</v>
      </c>
      <c r="O640" s="22" t="s">
        <v>3863</v>
      </c>
      <c r="P640" s="22">
        <v>12000.0</v>
      </c>
      <c r="Q640" s="22">
        <v>59000.0</v>
      </c>
      <c r="R640" s="22" t="s">
        <v>3864</v>
      </c>
      <c r="S640" s="22"/>
      <c r="T640" s="22"/>
      <c r="U640" s="22"/>
      <c r="V640" s="22"/>
      <c r="W640" s="22"/>
      <c r="X640" s="22" t="s">
        <v>343</v>
      </c>
      <c r="Y640" s="22" t="s">
        <v>332</v>
      </c>
      <c r="Z640" s="23"/>
      <c r="AA640" s="28" t="s">
        <v>3865</v>
      </c>
      <c r="AB640" s="22" t="s">
        <v>3866</v>
      </c>
      <c r="AC640" s="22" t="s">
        <v>3867</v>
      </c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</row>
    <row r="641">
      <c r="A641" s="17"/>
      <c r="B641" s="17"/>
      <c r="C641" s="17"/>
      <c r="D641" s="19" t="b">
        <v>1</v>
      </c>
      <c r="E641" s="18" t="s">
        <v>3868</v>
      </c>
      <c r="F641" s="17"/>
      <c r="G641" s="17"/>
      <c r="H641" s="17"/>
      <c r="I641" s="17"/>
      <c r="J641" s="18" t="s">
        <v>3869</v>
      </c>
      <c r="K641" s="19" t="s">
        <v>3657</v>
      </c>
      <c r="L641" s="18" t="s">
        <v>3657</v>
      </c>
      <c r="M641" s="17" t="s">
        <v>3870</v>
      </c>
      <c r="N641" s="17" t="s">
        <v>76</v>
      </c>
      <c r="O641" s="17" t="s">
        <v>1937</v>
      </c>
      <c r="P641" s="17"/>
      <c r="Q641" s="17"/>
      <c r="R641" s="17" t="s">
        <v>138</v>
      </c>
      <c r="S641" s="17"/>
      <c r="T641" s="17"/>
      <c r="U641" s="17"/>
      <c r="V641" s="17"/>
      <c r="W641" s="17"/>
      <c r="X641" s="17" t="s">
        <v>331</v>
      </c>
      <c r="Y641" s="17"/>
      <c r="Z641" s="18"/>
      <c r="AA641" s="45" t="s">
        <v>3871</v>
      </c>
      <c r="AB641" s="17" t="s">
        <v>3872</v>
      </c>
      <c r="AC641" s="17" t="s">
        <v>3869</v>
      </c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</row>
    <row r="642">
      <c r="A642" s="22"/>
      <c r="B642" s="22"/>
      <c r="C642" s="22"/>
      <c r="D642" s="25" t="b">
        <v>1</v>
      </c>
      <c r="E642" s="23" t="s">
        <v>3873</v>
      </c>
      <c r="F642" s="22"/>
      <c r="G642" s="22"/>
      <c r="H642" s="22"/>
      <c r="I642" s="23" t="s">
        <v>3874</v>
      </c>
      <c r="J642" s="23" t="s">
        <v>3873</v>
      </c>
      <c r="K642" s="25" t="s">
        <v>3657</v>
      </c>
      <c r="L642" s="23" t="s">
        <v>3657</v>
      </c>
      <c r="M642" s="22" t="s">
        <v>3875</v>
      </c>
      <c r="N642" s="22" t="s">
        <v>3876</v>
      </c>
      <c r="O642" s="22" t="s">
        <v>3877</v>
      </c>
      <c r="P642" s="22" t="s">
        <v>3878</v>
      </c>
      <c r="Q642" s="22"/>
      <c r="R642" s="22" t="s">
        <v>3879</v>
      </c>
      <c r="S642" s="22"/>
      <c r="T642" s="22"/>
      <c r="U642" s="22"/>
      <c r="V642" s="22"/>
      <c r="W642" s="22">
        <v>2021.0</v>
      </c>
      <c r="X642" s="22" t="s">
        <v>331</v>
      </c>
      <c r="Y642" s="22"/>
      <c r="Z642" s="23"/>
      <c r="AA642" s="28" t="s">
        <v>3880</v>
      </c>
      <c r="AB642" s="22" t="s">
        <v>3881</v>
      </c>
      <c r="AC642" s="22" t="s">
        <v>3882</v>
      </c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</row>
    <row r="643">
      <c r="D643" s="4" t="b">
        <v>1</v>
      </c>
      <c r="E643" s="2" t="s">
        <v>3883</v>
      </c>
      <c r="J643" s="2" t="s">
        <v>3884</v>
      </c>
      <c r="K643" s="4" t="s">
        <v>3657</v>
      </c>
      <c r="L643" s="2" t="s">
        <v>3657</v>
      </c>
      <c r="M643" s="3" t="s">
        <v>469</v>
      </c>
      <c r="N643" s="3" t="s">
        <v>3885</v>
      </c>
      <c r="O643" s="3" t="s">
        <v>3886</v>
      </c>
      <c r="R643" s="3" t="s">
        <v>3887</v>
      </c>
      <c r="S643" s="3" t="s">
        <v>3888</v>
      </c>
      <c r="W643" s="3">
        <v>2020.0</v>
      </c>
      <c r="X643" s="3" t="s">
        <v>343</v>
      </c>
      <c r="Z643" s="2"/>
      <c r="AA643" s="15" t="s">
        <v>3889</v>
      </c>
      <c r="AB643" s="3" t="s">
        <v>3890</v>
      </c>
      <c r="AC643" s="3" t="s">
        <v>346</v>
      </c>
    </row>
    <row r="644">
      <c r="A644" s="106"/>
      <c r="B644" s="106"/>
      <c r="C644" s="106"/>
      <c r="D644" s="107" t="b">
        <v>1</v>
      </c>
      <c r="E644" s="108" t="s">
        <v>3891</v>
      </c>
      <c r="F644" s="106"/>
      <c r="G644" s="106"/>
      <c r="H644" s="106"/>
      <c r="I644" s="108"/>
      <c r="J644" s="108" t="s">
        <v>3892</v>
      </c>
      <c r="K644" s="107" t="s">
        <v>3657</v>
      </c>
      <c r="L644" s="108" t="s">
        <v>3657</v>
      </c>
      <c r="M644" s="106" t="s">
        <v>3893</v>
      </c>
      <c r="N644" s="106" t="s">
        <v>2345</v>
      </c>
      <c r="O644" s="106"/>
      <c r="P644" s="106"/>
      <c r="Q644" s="106"/>
      <c r="R644" s="106" t="s">
        <v>3894</v>
      </c>
      <c r="S644" s="106"/>
      <c r="T644" s="106"/>
      <c r="U644" s="106"/>
      <c r="V644" s="106"/>
      <c r="W644" s="106">
        <v>2019.0</v>
      </c>
      <c r="X644" s="106" t="s">
        <v>331</v>
      </c>
      <c r="Y644" s="106"/>
      <c r="Z644" s="108"/>
      <c r="AA644" s="109" t="s">
        <v>3895</v>
      </c>
      <c r="AB644" s="106" t="s">
        <v>3896</v>
      </c>
      <c r="AC644" s="106" t="s">
        <v>3897</v>
      </c>
      <c r="AD644" s="106"/>
      <c r="AE644" s="106"/>
      <c r="AF644" s="106"/>
      <c r="AG644" s="106"/>
      <c r="AH644" s="106"/>
      <c r="AI644" s="106"/>
      <c r="AJ644" s="106"/>
      <c r="AK644" s="106"/>
      <c r="AL644" s="106"/>
      <c r="AM644" s="106"/>
      <c r="AN644" s="106"/>
      <c r="AO644" s="106"/>
      <c r="AP644" s="106"/>
      <c r="AQ644" s="106"/>
      <c r="AR644" s="106"/>
      <c r="AS644" s="106"/>
      <c r="AT644" s="106"/>
      <c r="AU644" s="106"/>
      <c r="AV644" s="106"/>
    </row>
    <row r="645">
      <c r="A645" s="22"/>
      <c r="B645" s="22"/>
      <c r="C645" s="22"/>
      <c r="D645" s="24" t="b">
        <v>0</v>
      </c>
      <c r="E645" s="22"/>
      <c r="F645" s="22"/>
      <c r="G645" s="25" t="b">
        <v>1</v>
      </c>
      <c r="H645" s="22"/>
      <c r="I645" s="22"/>
      <c r="J645" s="23" t="s">
        <v>3898</v>
      </c>
      <c r="K645" s="25" t="s">
        <v>3657</v>
      </c>
      <c r="L645" s="23" t="s">
        <v>3657</v>
      </c>
      <c r="M645" s="22" t="s">
        <v>60</v>
      </c>
      <c r="N645" s="22" t="s">
        <v>76</v>
      </c>
      <c r="O645" s="22" t="s">
        <v>3899</v>
      </c>
      <c r="P645" s="22">
        <v>90.0</v>
      </c>
      <c r="Q645" s="22">
        <v>90.0</v>
      </c>
      <c r="R645" s="22" t="s">
        <v>138</v>
      </c>
      <c r="S645" s="22"/>
      <c r="T645" s="22"/>
      <c r="U645" s="22"/>
      <c r="V645" s="22"/>
      <c r="W645" s="22">
        <v>2018.0</v>
      </c>
      <c r="X645" s="22" t="s">
        <v>331</v>
      </c>
      <c r="Y645" s="22" t="s">
        <v>332</v>
      </c>
      <c r="Z645" s="23"/>
      <c r="AA645" s="28" t="s">
        <v>3900</v>
      </c>
      <c r="AB645" s="22" t="s">
        <v>3901</v>
      </c>
      <c r="AC645" s="22" t="s">
        <v>72</v>
      </c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</row>
    <row r="646">
      <c r="D646" s="4" t="b">
        <v>1</v>
      </c>
      <c r="E646" s="2" t="s">
        <v>3902</v>
      </c>
      <c r="J646" s="2" t="s">
        <v>3903</v>
      </c>
      <c r="K646" s="4" t="s">
        <v>3657</v>
      </c>
      <c r="L646" s="2" t="s">
        <v>3657</v>
      </c>
      <c r="M646" s="3" t="s">
        <v>469</v>
      </c>
      <c r="N646" s="3" t="s">
        <v>3904</v>
      </c>
      <c r="O646" s="3" t="s">
        <v>3905</v>
      </c>
      <c r="P646" s="3">
        <v>665.0</v>
      </c>
      <c r="Q646" s="3">
        <v>665.0</v>
      </c>
      <c r="R646" s="3" t="s">
        <v>3906</v>
      </c>
      <c r="W646" s="3">
        <v>2024.0</v>
      </c>
      <c r="X646" s="3" t="s">
        <v>343</v>
      </c>
      <c r="Z646" s="2"/>
      <c r="AA646" s="15" t="s">
        <v>3907</v>
      </c>
      <c r="AB646" s="3" t="s">
        <v>3908</v>
      </c>
    </row>
    <row r="647">
      <c r="A647" s="22"/>
      <c r="B647" s="22"/>
      <c r="C647" s="22"/>
      <c r="D647" s="24" t="b">
        <v>0</v>
      </c>
      <c r="E647" s="22"/>
      <c r="F647" s="22"/>
      <c r="G647" s="25" t="b">
        <v>1</v>
      </c>
      <c r="H647" s="22"/>
      <c r="I647" s="22"/>
      <c r="J647" s="23" t="s">
        <v>3909</v>
      </c>
      <c r="K647" s="25" t="s">
        <v>3657</v>
      </c>
      <c r="L647" s="23" t="s">
        <v>3657</v>
      </c>
      <c r="M647" s="22" t="s">
        <v>469</v>
      </c>
      <c r="N647" s="22" t="s">
        <v>3910</v>
      </c>
      <c r="O647" s="22" t="s">
        <v>3911</v>
      </c>
      <c r="P647" s="22">
        <v>304.0</v>
      </c>
      <c r="Q647" s="22">
        <v>304.0</v>
      </c>
      <c r="R647" s="22" t="s">
        <v>3912</v>
      </c>
      <c r="S647" s="22" t="s">
        <v>3913</v>
      </c>
      <c r="T647" s="22"/>
      <c r="U647" s="22"/>
      <c r="V647" s="22"/>
      <c r="W647" s="22">
        <v>2023.0</v>
      </c>
      <c r="X647" s="22" t="s">
        <v>343</v>
      </c>
      <c r="Y647" s="22" t="s">
        <v>332</v>
      </c>
      <c r="Z647" s="23"/>
      <c r="AA647" s="28" t="s">
        <v>3914</v>
      </c>
      <c r="AB647" s="22" t="s">
        <v>3915</v>
      </c>
      <c r="AC647" s="22" t="s">
        <v>3916</v>
      </c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</row>
    <row r="648">
      <c r="A648" s="17"/>
      <c r="B648" s="17"/>
      <c r="C648" s="17"/>
      <c r="D648" s="19" t="b">
        <v>1</v>
      </c>
      <c r="E648" s="18" t="s">
        <v>1442</v>
      </c>
      <c r="F648" s="17"/>
      <c r="G648" s="17"/>
      <c r="H648" s="17"/>
      <c r="I648" s="17"/>
      <c r="J648" s="18" t="s">
        <v>3917</v>
      </c>
      <c r="K648" s="19" t="s">
        <v>3657</v>
      </c>
      <c r="L648" s="18" t="s">
        <v>3657</v>
      </c>
      <c r="M648" s="17" t="s">
        <v>3918</v>
      </c>
      <c r="N648" s="17" t="s">
        <v>34</v>
      </c>
      <c r="O648" s="17" t="s">
        <v>167</v>
      </c>
      <c r="P648" s="17">
        <v>109309.0</v>
      </c>
      <c r="Q648" s="17">
        <v>109309.0</v>
      </c>
      <c r="R648" s="17" t="s">
        <v>195</v>
      </c>
      <c r="S648" s="17"/>
      <c r="T648" s="18">
        <v>7.0</v>
      </c>
      <c r="U648" s="17"/>
      <c r="V648" s="17"/>
      <c r="W648" s="17">
        <v>2018.0</v>
      </c>
      <c r="X648" s="17" t="s">
        <v>343</v>
      </c>
      <c r="Y648" s="17" t="s">
        <v>3919</v>
      </c>
      <c r="Z648" s="18"/>
      <c r="AA648" s="20" t="s">
        <v>1450</v>
      </c>
      <c r="AB648" s="17" t="s">
        <v>3920</v>
      </c>
      <c r="AC648" s="17" t="s">
        <v>1224</v>
      </c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</row>
    <row r="649">
      <c r="A649" s="22"/>
      <c r="B649" s="22"/>
      <c r="C649" s="22"/>
      <c r="D649" s="24" t="b">
        <v>0</v>
      </c>
      <c r="E649" s="22"/>
      <c r="F649" s="22"/>
      <c r="G649" s="25" t="b">
        <v>1</v>
      </c>
      <c r="H649" s="22"/>
      <c r="I649" s="22"/>
      <c r="J649" s="23" t="s">
        <v>3921</v>
      </c>
      <c r="K649" s="25" t="s">
        <v>3657</v>
      </c>
      <c r="L649" s="23" t="s">
        <v>3657</v>
      </c>
      <c r="M649" s="22" t="s">
        <v>3148</v>
      </c>
      <c r="N649" s="22" t="s">
        <v>3922</v>
      </c>
      <c r="O649" s="22" t="s">
        <v>3923</v>
      </c>
      <c r="P649" s="22"/>
      <c r="Q649" s="22"/>
      <c r="R649" s="22" t="s">
        <v>195</v>
      </c>
      <c r="S649" s="22"/>
      <c r="T649" s="22"/>
      <c r="U649" s="22"/>
      <c r="V649" s="22"/>
      <c r="W649" s="22"/>
      <c r="X649" s="22" t="s">
        <v>343</v>
      </c>
      <c r="Y649" s="22" t="s">
        <v>714</v>
      </c>
      <c r="Z649" s="23"/>
      <c r="AA649" s="28" t="s">
        <v>3924</v>
      </c>
      <c r="AB649" s="22" t="s">
        <v>3925</v>
      </c>
      <c r="AC649" s="22" t="s">
        <v>3921</v>
      </c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</row>
    <row r="650">
      <c r="A650" s="22"/>
      <c r="B650" s="22"/>
      <c r="C650" s="22"/>
      <c r="D650" s="24" t="b">
        <v>0</v>
      </c>
      <c r="E650" s="22"/>
      <c r="F650" s="22"/>
      <c r="G650" s="25" t="b">
        <v>1</v>
      </c>
      <c r="H650" s="22"/>
      <c r="I650" s="22"/>
      <c r="J650" s="23" t="s">
        <v>3926</v>
      </c>
      <c r="K650" s="25" t="s">
        <v>3657</v>
      </c>
      <c r="L650" s="23" t="s">
        <v>3657</v>
      </c>
      <c r="M650" s="22" t="s">
        <v>469</v>
      </c>
      <c r="N650" s="22" t="s">
        <v>3927</v>
      </c>
      <c r="O650" s="22" t="s">
        <v>3928</v>
      </c>
      <c r="P650" s="22">
        <v>240.0</v>
      </c>
      <c r="Q650" s="22">
        <v>240.0</v>
      </c>
      <c r="R650" s="22" t="s">
        <v>531</v>
      </c>
      <c r="S650" s="22"/>
      <c r="T650" s="22"/>
      <c r="U650" s="22"/>
      <c r="V650" s="22"/>
      <c r="W650" s="22">
        <v>2021.0</v>
      </c>
      <c r="X650" s="22" t="s">
        <v>343</v>
      </c>
      <c r="Y650" s="22"/>
      <c r="Z650" s="23"/>
      <c r="AA650" s="28" t="s">
        <v>3929</v>
      </c>
      <c r="AB650" s="22" t="s">
        <v>3930</v>
      </c>
      <c r="AC650" s="22" t="s">
        <v>3931</v>
      </c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</row>
    <row r="651">
      <c r="A651" s="22"/>
      <c r="B651" s="22"/>
      <c r="C651" s="22"/>
      <c r="D651" s="25" t="b">
        <v>1</v>
      </c>
      <c r="E651" s="23" t="s">
        <v>3932</v>
      </c>
      <c r="F651" s="22"/>
      <c r="G651" s="22"/>
      <c r="H651" s="22"/>
      <c r="I651" s="23" t="s">
        <v>3933</v>
      </c>
      <c r="J651" s="23" t="s">
        <v>3934</v>
      </c>
      <c r="K651" s="25" t="s">
        <v>3657</v>
      </c>
      <c r="L651" s="23" t="s">
        <v>3657</v>
      </c>
      <c r="M651" s="22" t="s">
        <v>3935</v>
      </c>
      <c r="N651" s="22" t="s">
        <v>3936</v>
      </c>
      <c r="O651" s="22" t="s">
        <v>3937</v>
      </c>
      <c r="P651" s="22">
        <v>4998.0</v>
      </c>
      <c r="Q651" s="22">
        <v>4998.0</v>
      </c>
      <c r="R651" s="22" t="s">
        <v>3938</v>
      </c>
      <c r="S651" s="22"/>
      <c r="T651" s="23">
        <v>0.809</v>
      </c>
      <c r="U651" s="22"/>
      <c r="V651" s="22"/>
      <c r="W651" s="22">
        <v>2020.0</v>
      </c>
      <c r="X651" s="22" t="s">
        <v>343</v>
      </c>
      <c r="Y651" s="22" t="s">
        <v>332</v>
      </c>
      <c r="Z651" s="23"/>
      <c r="AA651" s="27" t="s">
        <v>3939</v>
      </c>
      <c r="AB651" s="22" t="s">
        <v>3940</v>
      </c>
      <c r="AC651" s="22" t="s">
        <v>372</v>
      </c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</row>
    <row r="652">
      <c r="A652" s="17"/>
      <c r="B652" s="17"/>
      <c r="C652" s="17"/>
      <c r="D652" s="19" t="b">
        <v>1</v>
      </c>
      <c r="E652" s="18" t="s">
        <v>3941</v>
      </c>
      <c r="F652" s="17"/>
      <c r="G652" s="17"/>
      <c r="H652" s="17"/>
      <c r="I652" s="17"/>
      <c r="J652" s="18" t="s">
        <v>3941</v>
      </c>
      <c r="K652" s="19" t="s">
        <v>3657</v>
      </c>
      <c r="L652" s="18" t="s">
        <v>3657</v>
      </c>
      <c r="M652" s="17" t="s">
        <v>3942</v>
      </c>
      <c r="N652" s="17" t="s">
        <v>3936</v>
      </c>
      <c r="O652" s="17" t="s">
        <v>3943</v>
      </c>
      <c r="P652" s="17">
        <v>149000.0</v>
      </c>
      <c r="Q652" s="17">
        <v>149000.0</v>
      </c>
      <c r="R652" s="17" t="s">
        <v>3944</v>
      </c>
      <c r="S652" s="17"/>
      <c r="T652" s="17"/>
      <c r="U652" s="17"/>
      <c r="V652" s="17"/>
      <c r="W652" s="17">
        <v>2023.0</v>
      </c>
      <c r="X652" s="17" t="s">
        <v>343</v>
      </c>
      <c r="Y652" s="17"/>
      <c r="Z652" s="18"/>
      <c r="AA652" s="20" t="s">
        <v>3945</v>
      </c>
      <c r="AB652" s="17" t="s">
        <v>3946</v>
      </c>
      <c r="AC652" s="17" t="s">
        <v>1156</v>
      </c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</row>
    <row r="653">
      <c r="A653" s="22"/>
      <c r="B653" s="22"/>
      <c r="C653" s="22"/>
      <c r="D653" s="25" t="b">
        <v>0</v>
      </c>
      <c r="E653" s="22"/>
      <c r="F653" s="22"/>
      <c r="G653" s="25" t="b">
        <v>1</v>
      </c>
      <c r="H653" s="22"/>
      <c r="I653" s="22"/>
      <c r="J653" s="23" t="s">
        <v>3947</v>
      </c>
      <c r="K653" s="25" t="s">
        <v>3657</v>
      </c>
      <c r="L653" s="23" t="s">
        <v>3657</v>
      </c>
      <c r="M653" s="22" t="s">
        <v>60</v>
      </c>
      <c r="N653" s="22" t="s">
        <v>3948</v>
      </c>
      <c r="O653" s="22" t="s">
        <v>3949</v>
      </c>
      <c r="P653" s="22">
        <v>4274.0</v>
      </c>
      <c r="Q653" s="22"/>
      <c r="R653" s="22" t="s">
        <v>63</v>
      </c>
      <c r="S653" s="22"/>
      <c r="T653" s="22"/>
      <c r="U653" s="22"/>
      <c r="V653" s="22"/>
      <c r="W653" s="22">
        <v>2023.0</v>
      </c>
      <c r="X653" s="22" t="s">
        <v>331</v>
      </c>
      <c r="Y653" s="22" t="s">
        <v>3950</v>
      </c>
      <c r="Z653" s="23"/>
      <c r="AA653" s="28" t="s">
        <v>3951</v>
      </c>
      <c r="AB653" s="22" t="s">
        <v>3952</v>
      </c>
      <c r="AC653" s="22" t="s">
        <v>3953</v>
      </c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</row>
    <row r="654">
      <c r="A654" s="22"/>
      <c r="B654" s="22"/>
      <c r="C654" s="22"/>
      <c r="D654" s="24" t="b">
        <v>0</v>
      </c>
      <c r="E654" s="22"/>
      <c r="F654" s="22"/>
      <c r="G654" s="25" t="b">
        <v>1</v>
      </c>
      <c r="H654" s="22"/>
      <c r="I654" s="22"/>
      <c r="J654" s="23" t="s">
        <v>3954</v>
      </c>
      <c r="K654" s="25" t="s">
        <v>3657</v>
      </c>
      <c r="L654" s="23" t="s">
        <v>3657</v>
      </c>
      <c r="M654" s="22" t="s">
        <v>33</v>
      </c>
      <c r="N654" s="22" t="s">
        <v>76</v>
      </c>
      <c r="O654" s="22" t="s">
        <v>3955</v>
      </c>
      <c r="P654" s="22">
        <v>247.0</v>
      </c>
      <c r="Q654" s="22">
        <v>247.0</v>
      </c>
      <c r="R654" s="22" t="s">
        <v>37</v>
      </c>
      <c r="S654" s="22"/>
      <c r="T654" s="22"/>
      <c r="U654" s="22"/>
      <c r="V654" s="22"/>
      <c r="W654" s="22">
        <v>2006.0</v>
      </c>
      <c r="X654" s="22" t="s">
        <v>343</v>
      </c>
      <c r="Y654" s="22" t="s">
        <v>3956</v>
      </c>
      <c r="Z654" s="23"/>
      <c r="AA654" s="28" t="s">
        <v>3957</v>
      </c>
      <c r="AB654" s="22" t="s">
        <v>3958</v>
      </c>
      <c r="AC654" s="22" t="s">
        <v>72</v>
      </c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</row>
    <row r="655">
      <c r="A655" s="22"/>
      <c r="B655" s="22"/>
      <c r="C655" s="22"/>
      <c r="D655" s="24" t="b">
        <v>0</v>
      </c>
      <c r="E655" s="22"/>
      <c r="F655" s="22"/>
      <c r="G655" s="25" t="b">
        <v>1</v>
      </c>
      <c r="H655" s="22"/>
      <c r="I655" s="22"/>
      <c r="J655" s="23" t="s">
        <v>1799</v>
      </c>
      <c r="K655" s="25" t="s">
        <v>3657</v>
      </c>
      <c r="L655" s="23" t="s">
        <v>3657</v>
      </c>
      <c r="M655" s="22" t="s">
        <v>3959</v>
      </c>
      <c r="N655" s="22" t="s">
        <v>3960</v>
      </c>
      <c r="O655" s="22" t="s">
        <v>977</v>
      </c>
      <c r="P655" s="22" t="s">
        <v>3961</v>
      </c>
      <c r="Q655" s="22"/>
      <c r="R655" s="22" t="s">
        <v>3962</v>
      </c>
      <c r="S655" s="22"/>
      <c r="T655" s="22"/>
      <c r="U655" s="22"/>
      <c r="V655" s="22"/>
      <c r="W655" s="22">
        <v>2013.0</v>
      </c>
      <c r="X655" s="22" t="s">
        <v>331</v>
      </c>
      <c r="Y655" s="22" t="s">
        <v>1251</v>
      </c>
      <c r="Z655" s="23"/>
      <c r="AA655" s="28" t="s">
        <v>3963</v>
      </c>
      <c r="AB655" s="22" t="s">
        <v>3964</v>
      </c>
      <c r="AC655" s="22" t="s">
        <v>3965</v>
      </c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</row>
    <row r="656">
      <c r="A656" s="17"/>
      <c r="B656" s="17"/>
      <c r="C656" s="17"/>
      <c r="D656" s="19" t="b">
        <v>1</v>
      </c>
      <c r="E656" s="18" t="s">
        <v>3966</v>
      </c>
      <c r="F656" s="17"/>
      <c r="G656" s="17"/>
      <c r="H656" s="17"/>
      <c r="I656" s="17"/>
      <c r="J656" s="18" t="s">
        <v>3966</v>
      </c>
      <c r="K656" s="19" t="s">
        <v>3657</v>
      </c>
      <c r="L656" s="18" t="s">
        <v>3657</v>
      </c>
      <c r="M656" s="17" t="s">
        <v>3967</v>
      </c>
      <c r="N656" s="17" t="s">
        <v>3968</v>
      </c>
      <c r="O656" s="17" t="s">
        <v>3969</v>
      </c>
      <c r="P656" s="18">
        <v>102.0</v>
      </c>
      <c r="Q656" s="17" t="s">
        <v>3970</v>
      </c>
      <c r="R656" s="17" t="s">
        <v>63</v>
      </c>
      <c r="S656" s="17"/>
      <c r="T656" s="18">
        <v>9.87</v>
      </c>
      <c r="U656" s="17"/>
      <c r="V656" s="17"/>
      <c r="W656" s="17" t="s">
        <v>1805</v>
      </c>
      <c r="X656" s="17" t="s">
        <v>331</v>
      </c>
      <c r="Y656" s="17"/>
      <c r="Z656" s="18"/>
      <c r="AA656" s="20" t="s">
        <v>3971</v>
      </c>
      <c r="AB656" s="17" t="s">
        <v>3971</v>
      </c>
      <c r="AC656" s="17" t="s">
        <v>334</v>
      </c>
      <c r="AD656" s="17" t="s">
        <v>3971</v>
      </c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</row>
    <row r="657">
      <c r="A657" s="22"/>
      <c r="B657" s="22"/>
      <c r="C657" s="22"/>
      <c r="D657" s="24" t="b">
        <v>0</v>
      </c>
      <c r="E657" s="22"/>
      <c r="F657" s="22"/>
      <c r="G657" s="25" t="b">
        <v>1</v>
      </c>
      <c r="H657" s="22"/>
      <c r="I657" s="22"/>
      <c r="J657" s="23" t="s">
        <v>3972</v>
      </c>
      <c r="K657" s="25" t="s">
        <v>3657</v>
      </c>
      <c r="L657" s="23" t="s">
        <v>3657</v>
      </c>
      <c r="M657" s="22" t="s">
        <v>3973</v>
      </c>
      <c r="N657" s="22" t="s">
        <v>3974</v>
      </c>
      <c r="O657" s="22" t="s">
        <v>3975</v>
      </c>
      <c r="P657" s="22" t="s">
        <v>3976</v>
      </c>
      <c r="Q657" s="22"/>
      <c r="R657" s="22"/>
      <c r="S657" s="22"/>
      <c r="T657" s="22"/>
      <c r="U657" s="22"/>
      <c r="V657" s="22"/>
      <c r="W657" s="22" t="s">
        <v>2833</v>
      </c>
      <c r="X657" s="22" t="s">
        <v>331</v>
      </c>
      <c r="Y657" s="22" t="s">
        <v>3977</v>
      </c>
      <c r="Z657" s="23"/>
      <c r="AA657" s="28" t="s">
        <v>3978</v>
      </c>
      <c r="AB657" s="22" t="s">
        <v>3978</v>
      </c>
      <c r="AC657" s="22" t="s">
        <v>346</v>
      </c>
      <c r="AD657" s="22" t="s">
        <v>3978</v>
      </c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</row>
    <row r="658">
      <c r="A658" s="17"/>
      <c r="B658" s="17"/>
      <c r="C658" s="17"/>
      <c r="D658" s="19" t="b">
        <v>1</v>
      </c>
      <c r="E658" s="18" t="s">
        <v>3979</v>
      </c>
      <c r="F658" s="17"/>
      <c r="G658" s="17"/>
      <c r="H658" s="17"/>
      <c r="I658" s="17"/>
      <c r="J658" s="18" t="s">
        <v>3979</v>
      </c>
      <c r="K658" s="19" t="s">
        <v>3657</v>
      </c>
      <c r="L658" s="18" t="s">
        <v>3657</v>
      </c>
      <c r="M658" s="17" t="s">
        <v>75</v>
      </c>
      <c r="N658" s="17" t="s">
        <v>3980</v>
      </c>
      <c r="O658" s="17"/>
      <c r="P658" s="17" t="s">
        <v>3981</v>
      </c>
      <c r="Q658" s="17" t="s">
        <v>3982</v>
      </c>
      <c r="R658" s="17" t="s">
        <v>63</v>
      </c>
      <c r="S658" s="17"/>
      <c r="T658" s="18">
        <v>2.8</v>
      </c>
      <c r="U658" s="17"/>
      <c r="V658" s="17"/>
      <c r="W658" s="17" t="s">
        <v>1819</v>
      </c>
      <c r="X658" s="17" t="s">
        <v>331</v>
      </c>
      <c r="Y658" s="17"/>
      <c r="Z658" s="18"/>
      <c r="AA658" s="20" t="s">
        <v>3983</v>
      </c>
      <c r="AB658" s="17" t="s">
        <v>3983</v>
      </c>
      <c r="AC658" s="17" t="s">
        <v>334</v>
      </c>
      <c r="AD658" s="17" t="s">
        <v>3983</v>
      </c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</row>
    <row r="659">
      <c r="A659" s="110"/>
      <c r="B659" s="110"/>
      <c r="C659" s="110"/>
      <c r="D659" s="111" t="b">
        <v>0</v>
      </c>
      <c r="E659" s="110"/>
      <c r="F659" s="110"/>
      <c r="G659" s="110"/>
      <c r="H659" s="110"/>
      <c r="I659" s="110"/>
      <c r="J659" s="61" t="s">
        <v>3984</v>
      </c>
      <c r="K659" s="112" t="s">
        <v>3657</v>
      </c>
      <c r="L659" s="61" t="s">
        <v>3657</v>
      </c>
      <c r="M659" s="110" t="s">
        <v>3985</v>
      </c>
      <c r="N659" s="110" t="s">
        <v>3986</v>
      </c>
      <c r="O659" s="110"/>
      <c r="P659" s="110" t="s">
        <v>3987</v>
      </c>
      <c r="Q659" s="110" t="s">
        <v>3988</v>
      </c>
      <c r="R659" s="110"/>
      <c r="S659" s="110"/>
      <c r="T659" s="110"/>
      <c r="U659" s="110"/>
      <c r="V659" s="110"/>
      <c r="W659" s="110" t="s">
        <v>3989</v>
      </c>
      <c r="X659" s="110" t="s">
        <v>343</v>
      </c>
      <c r="Y659" s="110" t="s">
        <v>2851</v>
      </c>
      <c r="Z659" s="61"/>
      <c r="AA659" s="113" t="s">
        <v>3990</v>
      </c>
      <c r="AB659" s="110" t="s">
        <v>3991</v>
      </c>
      <c r="AC659" s="110" t="s">
        <v>3992</v>
      </c>
      <c r="AD659" s="110"/>
      <c r="AE659" s="110"/>
      <c r="AF659" s="110"/>
      <c r="AG659" s="110"/>
      <c r="AH659" s="110"/>
      <c r="AI659" s="110"/>
      <c r="AJ659" s="110"/>
      <c r="AK659" s="110"/>
      <c r="AL659" s="110"/>
      <c r="AM659" s="110"/>
      <c r="AN659" s="110"/>
      <c r="AO659" s="110"/>
      <c r="AP659" s="110"/>
      <c r="AQ659" s="110"/>
      <c r="AR659" s="110"/>
      <c r="AS659" s="110"/>
      <c r="AT659" s="110"/>
      <c r="AU659" s="110"/>
      <c r="AV659" s="110"/>
    </row>
    <row r="660">
      <c r="D660" s="4" t="b">
        <v>1</v>
      </c>
      <c r="E660" s="2" t="s">
        <v>3993</v>
      </c>
      <c r="J660" s="2" t="s">
        <v>3994</v>
      </c>
      <c r="K660" s="4" t="s">
        <v>3657</v>
      </c>
      <c r="L660" s="2" t="s">
        <v>3657</v>
      </c>
      <c r="M660" s="3" t="s">
        <v>108</v>
      </c>
      <c r="N660" s="3" t="s">
        <v>76</v>
      </c>
      <c r="O660" s="3" t="s">
        <v>3995</v>
      </c>
      <c r="P660" s="3" t="s">
        <v>3996</v>
      </c>
      <c r="Q660" s="3" t="s">
        <v>3997</v>
      </c>
      <c r="W660" s="3" t="s">
        <v>1824</v>
      </c>
      <c r="X660" s="3" t="s">
        <v>343</v>
      </c>
      <c r="Z660" s="2"/>
      <c r="AA660" s="15" t="s">
        <v>3998</v>
      </c>
      <c r="AB660" s="3" t="s">
        <v>3998</v>
      </c>
      <c r="AC660" s="3" t="s">
        <v>422</v>
      </c>
      <c r="AD660" s="3" t="s">
        <v>3998</v>
      </c>
    </row>
    <row r="661">
      <c r="A661" s="22"/>
      <c r="B661" s="22"/>
      <c r="C661" s="22"/>
      <c r="D661" s="24" t="b">
        <v>0</v>
      </c>
      <c r="E661" s="22"/>
      <c r="F661" s="22"/>
      <c r="G661" s="25" t="b">
        <v>1</v>
      </c>
      <c r="H661" s="22"/>
      <c r="I661" s="22"/>
      <c r="J661" s="23" t="s">
        <v>3999</v>
      </c>
      <c r="K661" s="25" t="s">
        <v>3657</v>
      </c>
      <c r="L661" s="23" t="s">
        <v>3657</v>
      </c>
      <c r="M661" s="22" t="s">
        <v>4000</v>
      </c>
      <c r="N661" s="22" t="s">
        <v>4001</v>
      </c>
      <c r="O661" s="22" t="s">
        <v>4002</v>
      </c>
      <c r="P661" s="23">
        <v>1497.0</v>
      </c>
      <c r="Q661" s="22"/>
      <c r="R661" s="22"/>
      <c r="S661" s="22"/>
      <c r="T661" s="22"/>
      <c r="U661" s="22"/>
      <c r="V661" s="22"/>
      <c r="W661" s="22" t="s">
        <v>1839</v>
      </c>
      <c r="X661" s="22" t="s">
        <v>331</v>
      </c>
      <c r="Y661" s="22" t="s">
        <v>4003</v>
      </c>
      <c r="Z661" s="23"/>
      <c r="AA661" s="28" t="s">
        <v>4004</v>
      </c>
      <c r="AB661" s="22" t="s">
        <v>4005</v>
      </c>
      <c r="AC661" s="22" t="s">
        <v>346</v>
      </c>
      <c r="AD661" s="22" t="s">
        <v>4005</v>
      </c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</row>
    <row r="662">
      <c r="A662" s="22"/>
      <c r="B662" s="22"/>
      <c r="C662" s="22"/>
      <c r="D662" s="24" t="b">
        <v>0</v>
      </c>
      <c r="E662" s="22"/>
      <c r="F662" s="22"/>
      <c r="G662" s="25" t="b">
        <v>1</v>
      </c>
      <c r="H662" s="22"/>
      <c r="I662" s="22"/>
      <c r="J662" s="23" t="s">
        <v>4006</v>
      </c>
      <c r="K662" s="25" t="s">
        <v>3657</v>
      </c>
      <c r="L662" s="23" t="s">
        <v>3657</v>
      </c>
      <c r="M662" s="22" t="s">
        <v>108</v>
      </c>
      <c r="N662" s="22" t="s">
        <v>4007</v>
      </c>
      <c r="O662" s="22" t="s">
        <v>4008</v>
      </c>
      <c r="P662" s="22" t="s">
        <v>4009</v>
      </c>
      <c r="Q662" s="22" t="s">
        <v>4010</v>
      </c>
      <c r="R662" s="22"/>
      <c r="S662" s="22"/>
      <c r="T662" s="22"/>
      <c r="U662" s="22"/>
      <c r="V662" s="22"/>
      <c r="W662" s="22" t="s">
        <v>1835</v>
      </c>
      <c r="X662" s="22" t="s">
        <v>343</v>
      </c>
      <c r="Y662" s="22"/>
      <c r="Z662" s="23"/>
      <c r="AA662" s="28" t="s">
        <v>4011</v>
      </c>
      <c r="AB662" s="22" t="s">
        <v>4011</v>
      </c>
      <c r="AC662" s="22" t="s">
        <v>346</v>
      </c>
      <c r="AD662" s="22" t="s">
        <v>4011</v>
      </c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</row>
    <row r="663">
      <c r="A663" s="38"/>
      <c r="B663" s="38"/>
      <c r="C663" s="38"/>
      <c r="D663" s="56" t="b">
        <v>0</v>
      </c>
      <c r="E663" s="38"/>
      <c r="F663" s="38"/>
      <c r="G663" s="38"/>
      <c r="H663" s="38"/>
      <c r="I663" s="38"/>
      <c r="J663" s="39" t="s">
        <v>4012</v>
      </c>
      <c r="K663" s="55" t="s">
        <v>3657</v>
      </c>
      <c r="L663" s="39" t="s">
        <v>3657</v>
      </c>
      <c r="M663" s="38" t="s">
        <v>235</v>
      </c>
      <c r="N663" s="38" t="s">
        <v>4013</v>
      </c>
      <c r="O663" s="38"/>
      <c r="P663" s="38" t="s">
        <v>4014</v>
      </c>
      <c r="Q663" s="38"/>
      <c r="R663" s="38" t="s">
        <v>79</v>
      </c>
      <c r="S663" s="38"/>
      <c r="T663" s="38"/>
      <c r="U663" s="38"/>
      <c r="V663" s="38"/>
      <c r="W663" s="38" t="s">
        <v>1801</v>
      </c>
      <c r="X663" s="38" t="s">
        <v>331</v>
      </c>
      <c r="Y663" s="38" t="s">
        <v>4015</v>
      </c>
      <c r="Z663" s="39"/>
      <c r="AA663" s="40" t="s">
        <v>4016</v>
      </c>
      <c r="AB663" s="38" t="s">
        <v>4016</v>
      </c>
      <c r="AC663" s="38" t="s">
        <v>4012</v>
      </c>
      <c r="AD663" s="38" t="s">
        <v>4016</v>
      </c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</row>
    <row r="664">
      <c r="A664" s="38"/>
      <c r="B664" s="38"/>
      <c r="C664" s="38"/>
      <c r="D664" s="56" t="b">
        <v>0</v>
      </c>
      <c r="E664" s="38"/>
      <c r="F664" s="38"/>
      <c r="G664" s="38"/>
      <c r="H664" s="38"/>
      <c r="I664" s="38"/>
      <c r="J664" s="39" t="s">
        <v>4017</v>
      </c>
      <c r="K664" s="55" t="s">
        <v>3657</v>
      </c>
      <c r="L664" s="39" t="s">
        <v>3657</v>
      </c>
      <c r="M664" s="38" t="s">
        <v>355</v>
      </c>
      <c r="N664" s="38" t="s">
        <v>4018</v>
      </c>
      <c r="O664" s="38" t="s">
        <v>4019</v>
      </c>
      <c r="P664" s="38" t="s">
        <v>4020</v>
      </c>
      <c r="Q664" s="38" t="s">
        <v>4021</v>
      </c>
      <c r="R664" s="38" t="s">
        <v>531</v>
      </c>
      <c r="S664" s="38"/>
      <c r="T664" s="38"/>
      <c r="U664" s="38"/>
      <c r="V664" s="38"/>
      <c r="W664" s="38" t="s">
        <v>1814</v>
      </c>
      <c r="X664" s="38" t="s">
        <v>343</v>
      </c>
      <c r="Y664" s="38"/>
      <c r="Z664" s="39"/>
      <c r="AA664" s="40" t="s">
        <v>4022</v>
      </c>
      <c r="AB664" s="38" t="s">
        <v>4023</v>
      </c>
      <c r="AC664" s="38" t="s">
        <v>634</v>
      </c>
      <c r="AD664" s="38" t="s">
        <v>4024</v>
      </c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</row>
    <row r="665">
      <c r="A665" s="38"/>
      <c r="B665" s="38"/>
      <c r="C665" s="38"/>
      <c r="D665" s="56" t="b">
        <v>0</v>
      </c>
      <c r="E665" s="38"/>
      <c r="F665" s="38"/>
      <c r="G665" s="38"/>
      <c r="H665" s="38"/>
      <c r="I665" s="38"/>
      <c r="J665" s="39" t="s">
        <v>4025</v>
      </c>
      <c r="K665" s="55" t="s">
        <v>3657</v>
      </c>
      <c r="L665" s="39" t="s">
        <v>3657</v>
      </c>
      <c r="M665" s="38" t="s">
        <v>355</v>
      </c>
      <c r="N665" s="38" t="s">
        <v>417</v>
      </c>
      <c r="O665" s="38" t="s">
        <v>4026</v>
      </c>
      <c r="P665" s="38" t="s">
        <v>4027</v>
      </c>
      <c r="Q665" s="38" t="s">
        <v>4028</v>
      </c>
      <c r="R665" s="38" t="s">
        <v>4029</v>
      </c>
      <c r="S665" s="38" t="s">
        <v>4030</v>
      </c>
      <c r="T665" s="39">
        <v>522.1</v>
      </c>
      <c r="U665" s="38"/>
      <c r="V665" s="38"/>
      <c r="W665" s="38" t="s">
        <v>1829</v>
      </c>
      <c r="X665" s="38" t="s">
        <v>343</v>
      </c>
      <c r="Y665" s="38" t="s">
        <v>332</v>
      </c>
      <c r="Z665" s="39"/>
      <c r="AA665" s="40" t="s">
        <v>4031</v>
      </c>
      <c r="AB665" s="38" t="s">
        <v>4031</v>
      </c>
      <c r="AC665" s="38" t="s">
        <v>334</v>
      </c>
      <c r="AD665" s="38" t="s">
        <v>4031</v>
      </c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</row>
    <row r="666">
      <c r="A666" s="17"/>
      <c r="B666" s="17"/>
      <c r="C666" s="17"/>
      <c r="D666" s="19" t="b">
        <v>1</v>
      </c>
      <c r="E666" s="18" t="s">
        <v>4032</v>
      </c>
      <c r="F666" s="17"/>
      <c r="G666" s="17"/>
      <c r="H666" s="17"/>
      <c r="I666" s="17"/>
      <c r="J666" s="18" t="s">
        <v>4033</v>
      </c>
      <c r="K666" s="19" t="s">
        <v>3657</v>
      </c>
      <c r="L666" s="18" t="s">
        <v>3657</v>
      </c>
      <c r="M666" s="17" t="s">
        <v>4034</v>
      </c>
      <c r="N666" s="17" t="s">
        <v>4035</v>
      </c>
      <c r="O666" s="17"/>
      <c r="P666" s="17" t="s">
        <v>4036</v>
      </c>
      <c r="Q666" s="17"/>
      <c r="R666" s="17"/>
      <c r="S666" s="17"/>
      <c r="T666" s="17"/>
      <c r="U666" s="17"/>
      <c r="V666" s="17"/>
      <c r="W666" s="17" t="s">
        <v>1814</v>
      </c>
      <c r="X666" s="17" t="s">
        <v>331</v>
      </c>
      <c r="Y666" s="17"/>
      <c r="Z666" s="18"/>
      <c r="AA666" s="20" t="s">
        <v>4037</v>
      </c>
      <c r="AB666" s="17" t="s">
        <v>4037</v>
      </c>
      <c r="AC666" s="17" t="s">
        <v>4038</v>
      </c>
      <c r="AD666" s="17" t="s">
        <v>4037</v>
      </c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</row>
    <row r="667">
      <c r="A667" s="17"/>
      <c r="B667" s="17"/>
      <c r="C667" s="17"/>
      <c r="D667" s="19" t="b">
        <v>1</v>
      </c>
      <c r="E667" s="18" t="s">
        <v>4039</v>
      </c>
      <c r="F667" s="17"/>
      <c r="G667" s="17"/>
      <c r="H667" s="17"/>
      <c r="I667" s="17"/>
      <c r="J667" s="18" t="s">
        <v>4040</v>
      </c>
      <c r="K667" s="19" t="s">
        <v>3657</v>
      </c>
      <c r="L667" s="18" t="s">
        <v>3657</v>
      </c>
      <c r="M667" s="17" t="s">
        <v>4041</v>
      </c>
      <c r="N667" s="17" t="s">
        <v>4042</v>
      </c>
      <c r="O667" s="17"/>
      <c r="P667" s="17" t="s">
        <v>4043</v>
      </c>
      <c r="Q667" s="17" t="s">
        <v>4044</v>
      </c>
      <c r="R667" s="17" t="s">
        <v>4045</v>
      </c>
      <c r="S667" s="17"/>
      <c r="T667" s="18">
        <v>177.1</v>
      </c>
      <c r="U667" s="17"/>
      <c r="V667" s="17"/>
      <c r="W667" s="17" t="s">
        <v>1824</v>
      </c>
      <c r="X667" s="17" t="s">
        <v>4046</v>
      </c>
      <c r="Y667" s="17" t="s">
        <v>4047</v>
      </c>
      <c r="Z667" s="44"/>
      <c r="AA667" s="45" t="s">
        <v>4048</v>
      </c>
      <c r="AB667" s="17" t="s">
        <v>4048</v>
      </c>
      <c r="AC667" s="17" t="s">
        <v>334</v>
      </c>
      <c r="AD667" s="17" t="s">
        <v>4048</v>
      </c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</row>
    <row r="668">
      <c r="A668" s="74"/>
      <c r="B668" s="74"/>
      <c r="C668" s="74"/>
      <c r="D668" s="75" t="b">
        <v>0</v>
      </c>
      <c r="E668" s="74"/>
      <c r="F668" s="74"/>
      <c r="G668" s="74"/>
      <c r="H668" s="74"/>
      <c r="I668" s="76" t="s">
        <v>4049</v>
      </c>
      <c r="J668" s="76" t="s">
        <v>4050</v>
      </c>
      <c r="K668" s="75" t="s">
        <v>3657</v>
      </c>
      <c r="L668" s="76" t="s">
        <v>3657</v>
      </c>
      <c r="M668" s="74" t="s">
        <v>235</v>
      </c>
      <c r="N668" s="74" t="s">
        <v>4051</v>
      </c>
      <c r="O668" s="74" t="s">
        <v>4052</v>
      </c>
      <c r="P668" s="74" t="s">
        <v>4053</v>
      </c>
      <c r="Q668" s="74" t="s">
        <v>4054</v>
      </c>
      <c r="R668" s="74" t="s">
        <v>4055</v>
      </c>
      <c r="S668" s="74" t="s">
        <v>4056</v>
      </c>
      <c r="T668" s="76">
        <v>0.453</v>
      </c>
      <c r="U668" s="74"/>
      <c r="V668" s="74"/>
      <c r="W668" s="74" t="s">
        <v>3989</v>
      </c>
      <c r="X668" s="74" t="s">
        <v>331</v>
      </c>
      <c r="Y668" s="74" t="s">
        <v>4057</v>
      </c>
      <c r="Z668" s="76"/>
      <c r="AA668" s="98" t="s">
        <v>4058</v>
      </c>
      <c r="AB668" s="74" t="s">
        <v>4059</v>
      </c>
      <c r="AC668" s="74" t="s">
        <v>4060</v>
      </c>
      <c r="AD668" s="74" t="s">
        <v>4059</v>
      </c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</row>
    <row r="669">
      <c r="A669" s="22"/>
      <c r="B669" s="22"/>
      <c r="C669" s="22"/>
      <c r="D669" s="25" t="b">
        <v>0</v>
      </c>
      <c r="E669" s="22"/>
      <c r="F669" s="22"/>
      <c r="G669" s="25" t="b">
        <v>1</v>
      </c>
      <c r="H669" s="22"/>
      <c r="I669" s="22"/>
      <c r="J669" s="23" t="s">
        <v>4061</v>
      </c>
      <c r="K669" s="25" t="s">
        <v>3657</v>
      </c>
      <c r="L669" s="23" t="s">
        <v>3657</v>
      </c>
      <c r="M669" s="22" t="s">
        <v>4062</v>
      </c>
      <c r="N669" s="22" t="s">
        <v>4063</v>
      </c>
      <c r="O669" s="22" t="s">
        <v>4064</v>
      </c>
      <c r="P669" s="22"/>
      <c r="Q669" s="22"/>
      <c r="R669" s="22" t="s">
        <v>4065</v>
      </c>
      <c r="S669" s="22"/>
      <c r="T669" s="22"/>
      <c r="U669" s="22"/>
      <c r="V669" s="22"/>
      <c r="W669" s="22" t="s">
        <v>1801</v>
      </c>
      <c r="X669" s="22" t="s">
        <v>343</v>
      </c>
      <c r="Y669" s="22" t="s">
        <v>4066</v>
      </c>
      <c r="Z669" s="23"/>
      <c r="AA669" s="28" t="s">
        <v>4067</v>
      </c>
      <c r="AB669" s="22" t="s">
        <v>4068</v>
      </c>
      <c r="AC669" s="22" t="s">
        <v>4069</v>
      </c>
      <c r="AD669" s="22" t="s">
        <v>4067</v>
      </c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</row>
    <row r="670">
      <c r="D670" s="4" t="b">
        <v>1</v>
      </c>
      <c r="E670" s="2" t="s">
        <v>4070</v>
      </c>
      <c r="J670" s="2" t="s">
        <v>4071</v>
      </c>
      <c r="K670" s="4" t="s">
        <v>3657</v>
      </c>
      <c r="L670" s="2" t="s">
        <v>3657</v>
      </c>
      <c r="M670" s="3" t="s">
        <v>355</v>
      </c>
      <c r="N670" s="3" t="s">
        <v>4018</v>
      </c>
      <c r="O670" s="3" t="s">
        <v>4072</v>
      </c>
      <c r="P670" s="3" t="s">
        <v>4073</v>
      </c>
      <c r="Q670" s="3" t="s">
        <v>4073</v>
      </c>
      <c r="R670" s="3" t="s">
        <v>531</v>
      </c>
      <c r="W670" s="3" t="s">
        <v>1819</v>
      </c>
      <c r="X670" s="3" t="s">
        <v>343</v>
      </c>
      <c r="Z670" s="2"/>
      <c r="AA670" s="15" t="s">
        <v>4074</v>
      </c>
      <c r="AB670" s="3" t="s">
        <v>4075</v>
      </c>
      <c r="AC670" s="3" t="s">
        <v>790</v>
      </c>
      <c r="AD670" s="3" t="s">
        <v>4074</v>
      </c>
    </row>
    <row r="671">
      <c r="D671" s="4" t="b">
        <v>1</v>
      </c>
      <c r="E671" s="2" t="s">
        <v>4076</v>
      </c>
      <c r="J671" s="2" t="s">
        <v>4077</v>
      </c>
      <c r="K671" s="4" t="s">
        <v>3657</v>
      </c>
      <c r="L671" s="2" t="s">
        <v>3657</v>
      </c>
      <c r="M671" s="3" t="s">
        <v>235</v>
      </c>
      <c r="N671" s="3" t="s">
        <v>4078</v>
      </c>
      <c r="P671" s="3" t="s">
        <v>4079</v>
      </c>
      <c r="Q671" s="3" t="s">
        <v>4080</v>
      </c>
      <c r="R671" s="3" t="s">
        <v>63</v>
      </c>
      <c r="T671" s="2">
        <v>2.2</v>
      </c>
      <c r="W671" s="3" t="s">
        <v>1809</v>
      </c>
      <c r="X671" s="3" t="s">
        <v>331</v>
      </c>
      <c r="Z671" s="2"/>
      <c r="AA671" s="15" t="s">
        <v>4081</v>
      </c>
      <c r="AB671" s="3" t="s">
        <v>4081</v>
      </c>
      <c r="AC671" s="3" t="s">
        <v>334</v>
      </c>
      <c r="AD671" s="3" t="s">
        <v>4081</v>
      </c>
    </row>
    <row r="672">
      <c r="D672" s="4" t="b">
        <v>1</v>
      </c>
      <c r="E672" s="2" t="s">
        <v>4082</v>
      </c>
      <c r="J672" s="2" t="s">
        <v>4083</v>
      </c>
      <c r="K672" s="4" t="s">
        <v>3657</v>
      </c>
      <c r="L672" s="2" t="s">
        <v>3657</v>
      </c>
      <c r="M672" s="3" t="s">
        <v>235</v>
      </c>
      <c r="N672" s="3" t="s">
        <v>4084</v>
      </c>
      <c r="O672" s="3" t="s">
        <v>4085</v>
      </c>
      <c r="R672" s="3" t="s">
        <v>79</v>
      </c>
      <c r="W672" s="3" t="s">
        <v>1801</v>
      </c>
      <c r="X672" s="3" t="s">
        <v>331</v>
      </c>
      <c r="Y672" s="3" t="s">
        <v>4086</v>
      </c>
      <c r="Z672" s="2"/>
      <c r="AA672" s="15" t="s">
        <v>4087</v>
      </c>
      <c r="AB672" s="3" t="s">
        <v>4087</v>
      </c>
      <c r="AC672" s="3" t="s">
        <v>372</v>
      </c>
      <c r="AD672" s="3" t="s">
        <v>4087</v>
      </c>
    </row>
    <row r="673">
      <c r="D673" s="4" t="b">
        <v>1</v>
      </c>
      <c r="E673" s="2" t="s">
        <v>4088</v>
      </c>
      <c r="J673" s="2" t="s">
        <v>4089</v>
      </c>
      <c r="K673" s="4" t="s">
        <v>3657</v>
      </c>
      <c r="L673" s="2" t="s">
        <v>3657</v>
      </c>
      <c r="M673" s="3" t="s">
        <v>235</v>
      </c>
      <c r="N673" s="3" t="s">
        <v>4090</v>
      </c>
      <c r="P673" s="3" t="s">
        <v>4091</v>
      </c>
      <c r="Q673" s="3" t="s">
        <v>4092</v>
      </c>
      <c r="R673" s="3" t="s">
        <v>63</v>
      </c>
      <c r="T673" s="2">
        <v>8.58</v>
      </c>
      <c r="W673" s="3" t="s">
        <v>1805</v>
      </c>
      <c r="X673" s="3" t="s">
        <v>331</v>
      </c>
      <c r="Z673" s="2"/>
      <c r="AA673" s="15" t="s">
        <v>4093</v>
      </c>
      <c r="AB673" s="3" t="s">
        <v>4093</v>
      </c>
      <c r="AC673" s="3" t="s">
        <v>334</v>
      </c>
      <c r="AD673" s="3" t="s">
        <v>4093</v>
      </c>
    </row>
    <row r="674">
      <c r="A674" s="22"/>
      <c r="B674" s="22"/>
      <c r="C674" s="22"/>
      <c r="D674" s="25" t="b">
        <v>0</v>
      </c>
      <c r="E674" s="22"/>
      <c r="F674" s="22"/>
      <c r="G674" s="25" t="b">
        <v>1</v>
      </c>
      <c r="H674" s="22"/>
      <c r="I674" s="22"/>
      <c r="J674" s="23" t="s">
        <v>4094</v>
      </c>
      <c r="K674" s="25" t="s">
        <v>3657</v>
      </c>
      <c r="L674" s="23" t="s">
        <v>3657</v>
      </c>
      <c r="M674" s="22" t="s">
        <v>60</v>
      </c>
      <c r="N674" s="22" t="s">
        <v>4095</v>
      </c>
      <c r="O674" s="22"/>
      <c r="P674" s="22" t="s">
        <v>4096</v>
      </c>
      <c r="Q674" s="22" t="s">
        <v>4097</v>
      </c>
      <c r="R674" s="22" t="s">
        <v>4098</v>
      </c>
      <c r="S674" s="22" t="s">
        <v>4099</v>
      </c>
      <c r="T674" s="22"/>
      <c r="U674" s="22"/>
      <c r="V674" s="22"/>
      <c r="W674" s="22" t="s">
        <v>2096</v>
      </c>
      <c r="X674" s="22" t="s">
        <v>540</v>
      </c>
      <c r="Y674" s="22" t="s">
        <v>4100</v>
      </c>
      <c r="Z674" s="23"/>
      <c r="AA674" s="28" t="s">
        <v>4101</v>
      </c>
      <c r="AB674" s="22" t="s">
        <v>4101</v>
      </c>
      <c r="AC674" s="22" t="s">
        <v>4102</v>
      </c>
      <c r="AD674" s="22" t="s">
        <v>4101</v>
      </c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</row>
    <row r="675">
      <c r="D675" s="4" t="b">
        <v>1</v>
      </c>
      <c r="E675" s="2" t="s">
        <v>4103</v>
      </c>
      <c r="J675" s="2" t="s">
        <v>4104</v>
      </c>
      <c r="K675" s="4" t="s">
        <v>3657</v>
      </c>
      <c r="L675" s="2" t="s">
        <v>3657</v>
      </c>
      <c r="M675" s="3" t="s">
        <v>4105</v>
      </c>
      <c r="N675" s="3" t="s">
        <v>4106</v>
      </c>
      <c r="R675" s="3" t="s">
        <v>4107</v>
      </c>
      <c r="W675" s="3" t="s">
        <v>2833</v>
      </c>
      <c r="Z675" s="2"/>
      <c r="AA675" s="15" t="s">
        <v>4108</v>
      </c>
      <c r="AB675" s="3" t="s">
        <v>4109</v>
      </c>
      <c r="AC675" s="3" t="s">
        <v>4110</v>
      </c>
      <c r="AD675" s="3" t="s">
        <v>4109</v>
      </c>
    </row>
    <row r="676">
      <c r="D676" s="4" t="b">
        <v>1</v>
      </c>
      <c r="E676" s="2" t="s">
        <v>4111</v>
      </c>
      <c r="J676" s="2" t="s">
        <v>4112</v>
      </c>
      <c r="K676" s="4" t="s">
        <v>3657</v>
      </c>
      <c r="L676" s="2" t="s">
        <v>3657</v>
      </c>
      <c r="M676" s="3" t="s">
        <v>4113</v>
      </c>
      <c r="N676" s="3" t="s">
        <v>4114</v>
      </c>
      <c r="O676" s="3" t="s">
        <v>4115</v>
      </c>
      <c r="P676" s="3" t="s">
        <v>4116</v>
      </c>
      <c r="R676" s="3" t="s">
        <v>341</v>
      </c>
      <c r="W676" s="3" t="s">
        <v>1835</v>
      </c>
      <c r="X676" s="3" t="s">
        <v>331</v>
      </c>
      <c r="Z676" s="2"/>
      <c r="AA676" s="15" t="s">
        <v>4117</v>
      </c>
      <c r="AB676" s="3" t="s">
        <v>4117</v>
      </c>
      <c r="AC676" s="3" t="s">
        <v>346</v>
      </c>
      <c r="AD676" s="3" t="s">
        <v>4117</v>
      </c>
    </row>
    <row r="677">
      <c r="D677" s="4" t="b">
        <v>1</v>
      </c>
      <c r="E677" s="4" t="s">
        <v>4118</v>
      </c>
      <c r="F677" s="16"/>
      <c r="G677" s="16"/>
      <c r="H677" s="16"/>
      <c r="I677" s="16"/>
      <c r="J677" s="16" t="s">
        <v>4119</v>
      </c>
      <c r="K677" s="4" t="s">
        <v>4120</v>
      </c>
      <c r="L677" s="16" t="s">
        <v>4120</v>
      </c>
      <c r="M677" s="16" t="s">
        <v>235</v>
      </c>
      <c r="N677" s="16" t="s">
        <v>76</v>
      </c>
      <c r="O677" s="2" t="s">
        <v>77</v>
      </c>
      <c r="P677" s="31">
        <v>19.0</v>
      </c>
      <c r="Q677" s="16"/>
      <c r="R677" s="16" t="s">
        <v>138</v>
      </c>
      <c r="S677" s="16" t="s">
        <v>4121</v>
      </c>
      <c r="T677" s="2">
        <v>1.66</v>
      </c>
      <c r="U677" s="2"/>
      <c r="V677" s="2"/>
      <c r="W677" s="31">
        <v>2016.0</v>
      </c>
      <c r="X677" s="31">
        <v>3.0</v>
      </c>
      <c r="Y677" s="31"/>
      <c r="Z677" s="32"/>
      <c r="AA677" s="32" t="s">
        <v>4122</v>
      </c>
      <c r="AB677" s="32" t="s">
        <v>4123</v>
      </c>
      <c r="AC677" s="16"/>
      <c r="AD677" s="32" t="s">
        <v>4124</v>
      </c>
      <c r="AE677" s="16"/>
    </row>
    <row r="678">
      <c r="D678" s="4" t="b">
        <v>1</v>
      </c>
      <c r="E678" s="4" t="s">
        <v>4125</v>
      </c>
      <c r="F678" s="16"/>
      <c r="G678" s="16"/>
      <c r="H678" s="16"/>
      <c r="I678" s="16"/>
      <c r="J678" s="16" t="s">
        <v>4126</v>
      </c>
      <c r="K678" s="4" t="s">
        <v>4120</v>
      </c>
      <c r="L678" s="16" t="s">
        <v>32</v>
      </c>
      <c r="M678" s="16" t="s">
        <v>235</v>
      </c>
      <c r="N678" s="16" t="s">
        <v>76</v>
      </c>
      <c r="O678" s="2" t="s">
        <v>77</v>
      </c>
      <c r="P678" s="31">
        <v>150.0</v>
      </c>
      <c r="Q678" s="16"/>
      <c r="R678" s="16" t="s">
        <v>138</v>
      </c>
      <c r="S678" s="16" t="s">
        <v>4127</v>
      </c>
      <c r="T678" s="2">
        <v>2.28</v>
      </c>
      <c r="U678" s="2" t="s">
        <v>1151</v>
      </c>
      <c r="V678" s="2" t="s">
        <v>1151</v>
      </c>
      <c r="W678" s="31">
        <v>2017.0</v>
      </c>
      <c r="X678" s="31">
        <v>3.0</v>
      </c>
      <c r="Y678" s="31"/>
      <c r="Z678" s="32"/>
      <c r="AA678" s="32" t="s">
        <v>4128</v>
      </c>
      <c r="AB678" s="32" t="s">
        <v>4129</v>
      </c>
      <c r="AC678" s="4" t="s">
        <v>1147</v>
      </c>
      <c r="AD678" s="32" t="s">
        <v>4130</v>
      </c>
      <c r="AE678" s="16"/>
    </row>
    <row r="679">
      <c r="A679" s="22"/>
      <c r="B679" s="22"/>
      <c r="C679" s="22"/>
      <c r="D679" s="25" t="b">
        <v>0</v>
      </c>
      <c r="E679" s="24"/>
      <c r="F679" s="24"/>
      <c r="G679" s="25" t="b">
        <v>1</v>
      </c>
      <c r="H679" s="24"/>
      <c r="I679" s="24"/>
      <c r="J679" s="24" t="s">
        <v>4131</v>
      </c>
      <c r="K679" s="25" t="s">
        <v>4120</v>
      </c>
      <c r="L679" s="24" t="s">
        <v>4120</v>
      </c>
      <c r="M679" s="24" t="s">
        <v>75</v>
      </c>
      <c r="N679" s="24" t="s">
        <v>76</v>
      </c>
      <c r="O679" s="23" t="s">
        <v>77</v>
      </c>
      <c r="P679" s="29">
        <v>120.0</v>
      </c>
      <c r="Q679" s="24"/>
      <c r="R679" s="24" t="s">
        <v>138</v>
      </c>
      <c r="S679" s="24" t="s">
        <v>4132</v>
      </c>
      <c r="T679" s="23">
        <v>5.62</v>
      </c>
      <c r="U679" s="23" t="s">
        <v>1151</v>
      </c>
      <c r="V679" s="23" t="s">
        <v>1151</v>
      </c>
      <c r="W679" s="29">
        <v>2017.0</v>
      </c>
      <c r="X679" s="29">
        <v>3.0</v>
      </c>
      <c r="Y679" s="29"/>
      <c r="Z679" s="30"/>
      <c r="AA679" s="30" t="s">
        <v>4133</v>
      </c>
      <c r="AB679" s="24" t="s">
        <v>4134</v>
      </c>
      <c r="AC679" s="25" t="s">
        <v>4135</v>
      </c>
      <c r="AD679" s="30" t="s">
        <v>4136</v>
      </c>
      <c r="AE679" s="24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</row>
    <row r="680">
      <c r="D680" s="4" t="b">
        <v>1</v>
      </c>
      <c r="E680" s="4" t="s">
        <v>2065</v>
      </c>
      <c r="F680" s="16"/>
      <c r="G680" s="16"/>
      <c r="H680" s="16"/>
      <c r="I680" s="16"/>
      <c r="J680" s="16" t="s">
        <v>4137</v>
      </c>
      <c r="K680" s="4" t="s">
        <v>4120</v>
      </c>
      <c r="L680" s="16" t="s">
        <v>32</v>
      </c>
      <c r="M680" s="16" t="s">
        <v>235</v>
      </c>
      <c r="N680" s="16" t="s">
        <v>76</v>
      </c>
      <c r="O680" s="2" t="s">
        <v>77</v>
      </c>
      <c r="P680" s="31">
        <v>30.0</v>
      </c>
      <c r="Q680" s="16"/>
      <c r="R680" s="16" t="s">
        <v>138</v>
      </c>
      <c r="S680" s="16" t="s">
        <v>4138</v>
      </c>
      <c r="T680" s="2">
        <v>61.99</v>
      </c>
      <c r="U680" s="2" t="s">
        <v>1151</v>
      </c>
      <c r="V680" s="2" t="s">
        <v>1151</v>
      </c>
      <c r="W680" s="31">
        <v>2019.0</v>
      </c>
      <c r="X680" s="31">
        <v>3.0</v>
      </c>
      <c r="Y680" s="31"/>
      <c r="Z680" s="32"/>
      <c r="AA680" s="32" t="s">
        <v>140</v>
      </c>
      <c r="AB680" s="16" t="s">
        <v>141</v>
      </c>
      <c r="AC680" s="4" t="s">
        <v>1307</v>
      </c>
      <c r="AD680" s="32" t="s">
        <v>823</v>
      </c>
      <c r="AE680" s="16"/>
    </row>
    <row r="681">
      <c r="A681" s="74"/>
      <c r="B681" s="74"/>
      <c r="C681" s="74"/>
      <c r="D681" s="75" t="b">
        <v>1</v>
      </c>
      <c r="E681" s="75" t="s">
        <v>4139</v>
      </c>
      <c r="F681" s="73"/>
      <c r="G681" s="73"/>
      <c r="H681" s="73"/>
      <c r="I681" s="76" t="s">
        <v>4049</v>
      </c>
      <c r="J681" s="75" t="s">
        <v>4140</v>
      </c>
      <c r="K681" s="75" t="s">
        <v>4120</v>
      </c>
      <c r="L681" s="73" t="s">
        <v>4120</v>
      </c>
      <c r="M681" s="73" t="s">
        <v>4141</v>
      </c>
      <c r="N681" s="73" t="s">
        <v>76</v>
      </c>
      <c r="O681" s="76" t="s">
        <v>77</v>
      </c>
      <c r="P681" s="77">
        <v>375.0</v>
      </c>
      <c r="Q681" s="73"/>
      <c r="R681" s="73" t="s">
        <v>138</v>
      </c>
      <c r="S681" s="73" t="s">
        <v>4142</v>
      </c>
      <c r="T681" s="74">
        <f>8.35+4.2+1.77</f>
        <v>14.32</v>
      </c>
      <c r="U681" s="76" t="s">
        <v>1151</v>
      </c>
      <c r="V681" s="76" t="s">
        <v>1151</v>
      </c>
      <c r="W681" s="77">
        <v>2020.0</v>
      </c>
      <c r="X681" s="77">
        <v>3.0</v>
      </c>
      <c r="Y681" s="77"/>
      <c r="Z681" s="78"/>
      <c r="AA681" s="78" t="s">
        <v>4143</v>
      </c>
      <c r="AB681" s="78" t="s">
        <v>4144</v>
      </c>
      <c r="AC681" s="75" t="s">
        <v>4135</v>
      </c>
      <c r="AD681" s="78" t="s">
        <v>4145</v>
      </c>
      <c r="AE681" s="73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</row>
    <row r="682">
      <c r="D682" s="4" t="b">
        <v>1</v>
      </c>
      <c r="E682" s="4" t="s">
        <v>4146</v>
      </c>
      <c r="F682" s="16"/>
      <c r="G682" s="16"/>
      <c r="H682" s="16"/>
      <c r="I682" s="16"/>
      <c r="J682" s="16" t="s">
        <v>4147</v>
      </c>
      <c r="K682" s="4" t="s">
        <v>4120</v>
      </c>
      <c r="L682" s="16" t="s">
        <v>4120</v>
      </c>
      <c r="M682" s="16" t="s">
        <v>4148</v>
      </c>
      <c r="N682" s="16" t="s">
        <v>76</v>
      </c>
      <c r="O682" s="2" t="s">
        <v>77</v>
      </c>
      <c r="P682" s="31">
        <v>150.0</v>
      </c>
      <c r="Q682" s="16"/>
      <c r="R682" s="16" t="s">
        <v>138</v>
      </c>
      <c r="S682" s="16" t="s">
        <v>4149</v>
      </c>
      <c r="U682" s="2"/>
      <c r="W682" s="31">
        <v>2020.0</v>
      </c>
      <c r="X682" s="31">
        <v>3.0</v>
      </c>
      <c r="Y682" s="31"/>
      <c r="Z682" s="32"/>
      <c r="AA682" s="32" t="s">
        <v>4150</v>
      </c>
      <c r="AB682" s="32" t="s">
        <v>4151</v>
      </c>
      <c r="AC682" s="16"/>
      <c r="AD682" s="32" t="s">
        <v>4150</v>
      </c>
      <c r="AE682" s="16"/>
    </row>
    <row r="683">
      <c r="A683" s="22"/>
      <c r="B683" s="22"/>
      <c r="C683" s="22"/>
      <c r="D683" s="25" t="b">
        <v>0</v>
      </c>
      <c r="E683" s="25"/>
      <c r="F683" s="25"/>
      <c r="G683" s="25" t="b">
        <v>1</v>
      </c>
      <c r="H683" s="25"/>
      <c r="I683" s="25"/>
      <c r="J683" s="24" t="s">
        <v>4152</v>
      </c>
      <c r="K683" s="25" t="s">
        <v>4120</v>
      </c>
      <c r="L683" s="24" t="s">
        <v>4120</v>
      </c>
      <c r="M683" s="24" t="s">
        <v>235</v>
      </c>
      <c r="N683" s="24" t="s">
        <v>76</v>
      </c>
      <c r="O683" s="23" t="s">
        <v>77</v>
      </c>
      <c r="P683" s="29">
        <v>45.0</v>
      </c>
      <c r="Q683" s="24"/>
      <c r="R683" s="24" t="s">
        <v>138</v>
      </c>
      <c r="S683" s="24" t="s">
        <v>4153</v>
      </c>
      <c r="T683" s="23">
        <v>0.1</v>
      </c>
      <c r="U683" s="23" t="s">
        <v>1151</v>
      </c>
      <c r="V683" s="23" t="s">
        <v>3682</v>
      </c>
      <c r="W683" s="29">
        <v>2020.0</v>
      </c>
      <c r="X683" s="29">
        <v>3.0</v>
      </c>
      <c r="Y683" s="29"/>
      <c r="Z683" s="30"/>
      <c r="AA683" s="30" t="s">
        <v>4154</v>
      </c>
      <c r="AB683" s="24" t="s">
        <v>4155</v>
      </c>
      <c r="AC683" s="25" t="s">
        <v>4135</v>
      </c>
      <c r="AD683" s="30" t="s">
        <v>4156</v>
      </c>
      <c r="AE683" s="24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</row>
    <row r="684">
      <c r="A684" s="22"/>
      <c r="B684" s="22"/>
      <c r="C684" s="22"/>
      <c r="D684" s="25" t="b">
        <v>0</v>
      </c>
      <c r="E684" s="24"/>
      <c r="F684" s="24"/>
      <c r="G684" s="25" t="b">
        <v>1</v>
      </c>
      <c r="H684" s="24"/>
      <c r="I684" s="24"/>
      <c r="J684" s="24" t="s">
        <v>4157</v>
      </c>
      <c r="K684" s="25" t="s">
        <v>4120</v>
      </c>
      <c r="L684" s="24" t="s">
        <v>4120</v>
      </c>
      <c r="M684" s="24" t="s">
        <v>4158</v>
      </c>
      <c r="N684" s="24" t="s">
        <v>76</v>
      </c>
      <c r="O684" s="23" t="s">
        <v>77</v>
      </c>
      <c r="P684" s="24" t="s">
        <v>4159</v>
      </c>
      <c r="Q684" s="24"/>
      <c r="R684" s="24" t="s">
        <v>138</v>
      </c>
      <c r="S684" s="24" t="s">
        <v>4160</v>
      </c>
      <c r="T684" s="22"/>
      <c r="U684" s="22"/>
      <c r="V684" s="23" t="s">
        <v>3682</v>
      </c>
      <c r="W684" s="29">
        <v>2022.0</v>
      </c>
      <c r="X684" s="29">
        <v>3.0</v>
      </c>
      <c r="Y684" s="29"/>
      <c r="Z684" s="30"/>
      <c r="AA684" s="30" t="s">
        <v>4161</v>
      </c>
      <c r="AB684" s="24" t="s">
        <v>4162</v>
      </c>
      <c r="AC684" s="24"/>
      <c r="AD684" s="30" t="s">
        <v>4163</v>
      </c>
      <c r="AE684" s="24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</row>
    <row r="685">
      <c r="D685" s="4" t="b">
        <v>1</v>
      </c>
      <c r="E685" s="4" t="s">
        <v>4164</v>
      </c>
      <c r="F685" s="16"/>
      <c r="G685" s="16"/>
      <c r="H685" s="16"/>
      <c r="I685" s="16"/>
      <c r="J685" s="16" t="s">
        <v>4165</v>
      </c>
      <c r="K685" s="4" t="s">
        <v>4120</v>
      </c>
      <c r="L685" s="16" t="s">
        <v>4120</v>
      </c>
      <c r="M685" s="16" t="s">
        <v>235</v>
      </c>
      <c r="N685" s="16" t="s">
        <v>76</v>
      </c>
      <c r="O685" s="2" t="s">
        <v>77</v>
      </c>
      <c r="P685" s="31">
        <v>360.0</v>
      </c>
      <c r="Q685" s="16"/>
      <c r="R685" s="16" t="s">
        <v>138</v>
      </c>
      <c r="S685" s="16" t="s">
        <v>4166</v>
      </c>
      <c r="T685" s="2">
        <v>0.505</v>
      </c>
      <c r="U685" s="2" t="s">
        <v>1151</v>
      </c>
      <c r="V685" s="2" t="s">
        <v>1151</v>
      </c>
      <c r="W685" s="31">
        <v>2022.0</v>
      </c>
      <c r="X685" s="31">
        <v>3.0</v>
      </c>
      <c r="Y685" s="31"/>
      <c r="Z685" s="16"/>
      <c r="AA685" s="16" t="s">
        <v>4167</v>
      </c>
      <c r="AB685" s="32" t="s">
        <v>4168</v>
      </c>
      <c r="AC685" s="4" t="s">
        <v>1147</v>
      </c>
      <c r="AD685" s="32" t="s">
        <v>4169</v>
      </c>
      <c r="AE685" s="16"/>
    </row>
    <row r="686">
      <c r="A686" s="74"/>
      <c r="B686" s="74"/>
      <c r="C686" s="74"/>
      <c r="D686" s="75" t="b">
        <v>0</v>
      </c>
      <c r="E686" s="73"/>
      <c r="F686" s="73"/>
      <c r="G686" s="73"/>
      <c r="H686" s="73"/>
      <c r="I686" s="76" t="s">
        <v>4049</v>
      </c>
      <c r="J686" s="73" t="s">
        <v>4170</v>
      </c>
      <c r="K686" s="75" t="s">
        <v>4120</v>
      </c>
      <c r="L686" s="73" t="s">
        <v>4120</v>
      </c>
      <c r="M686" s="73" t="s">
        <v>283</v>
      </c>
      <c r="N686" s="73" t="s">
        <v>76</v>
      </c>
      <c r="O686" s="76" t="s">
        <v>77</v>
      </c>
      <c r="P686" s="77">
        <v>1000.0</v>
      </c>
      <c r="Q686" s="73"/>
      <c r="R686" s="73" t="s">
        <v>138</v>
      </c>
      <c r="S686" s="73" t="s">
        <v>4171</v>
      </c>
      <c r="T686" s="76">
        <v>89.09</v>
      </c>
      <c r="U686" s="76" t="s">
        <v>1151</v>
      </c>
      <c r="V686" s="76" t="s">
        <v>1151</v>
      </c>
      <c r="W686" s="77">
        <v>2023.0</v>
      </c>
      <c r="X686" s="77">
        <v>3.0</v>
      </c>
      <c r="Y686" s="77"/>
      <c r="Z686" s="78"/>
      <c r="AA686" s="78" t="s">
        <v>4172</v>
      </c>
      <c r="AB686" s="78" t="s">
        <v>4173</v>
      </c>
      <c r="AC686" s="75" t="s">
        <v>105</v>
      </c>
      <c r="AD686" s="78" t="s">
        <v>4174</v>
      </c>
      <c r="AE686" s="73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</row>
    <row r="687">
      <c r="D687" s="4" t="b">
        <v>1</v>
      </c>
      <c r="E687" s="2" t="s">
        <v>4175</v>
      </c>
      <c r="F687" s="2"/>
      <c r="G687" s="2"/>
      <c r="H687" s="2"/>
      <c r="I687" s="2"/>
      <c r="J687" s="16" t="s">
        <v>4176</v>
      </c>
      <c r="K687" s="4" t="s">
        <v>4120</v>
      </c>
      <c r="L687" s="16" t="s">
        <v>4120</v>
      </c>
      <c r="M687" s="16" t="s">
        <v>108</v>
      </c>
      <c r="N687" s="16" t="s">
        <v>76</v>
      </c>
      <c r="O687" s="2" t="s">
        <v>77</v>
      </c>
      <c r="P687" s="31">
        <v>992.0</v>
      </c>
      <c r="Q687" s="16"/>
      <c r="R687" s="16" t="s">
        <v>138</v>
      </c>
      <c r="S687" s="16" t="s">
        <v>4177</v>
      </c>
      <c r="T687" s="2">
        <v>4.52</v>
      </c>
      <c r="U687" s="2" t="s">
        <v>1151</v>
      </c>
      <c r="V687" s="2" t="s">
        <v>1151</v>
      </c>
      <c r="W687" s="31">
        <v>2023.0</v>
      </c>
      <c r="X687" s="31">
        <v>2.0</v>
      </c>
      <c r="Y687" s="31"/>
      <c r="Z687" s="32"/>
      <c r="AA687" s="32" t="s">
        <v>4178</v>
      </c>
      <c r="AB687" s="32" t="s">
        <v>4179</v>
      </c>
      <c r="AC687" s="4" t="s">
        <v>105</v>
      </c>
      <c r="AD687" s="32" t="s">
        <v>4180</v>
      </c>
      <c r="AE687" s="16"/>
    </row>
    <row r="688">
      <c r="A688" s="22"/>
      <c r="B688" s="22"/>
      <c r="C688" s="22"/>
      <c r="D688" s="25" t="b">
        <v>0</v>
      </c>
      <c r="E688" s="23"/>
      <c r="F688" s="23"/>
      <c r="G688" s="25" t="b">
        <v>1</v>
      </c>
      <c r="H688" s="23"/>
      <c r="I688" s="23"/>
      <c r="J688" s="24" t="s">
        <v>4181</v>
      </c>
      <c r="K688" s="25" t="s">
        <v>4120</v>
      </c>
      <c r="L688" s="24"/>
      <c r="M688" s="24"/>
      <c r="N688" s="24"/>
      <c r="O688" s="24"/>
      <c r="P688" s="24"/>
      <c r="Q688" s="24"/>
      <c r="R688" s="24"/>
      <c r="S688" s="24"/>
      <c r="T688" s="22"/>
      <c r="U688" s="22"/>
      <c r="V688" s="22"/>
      <c r="W688" s="29">
        <v>2024.0</v>
      </c>
      <c r="X688" s="24"/>
      <c r="Y688" s="24"/>
      <c r="Z688" s="30"/>
      <c r="AA688" s="30" t="s">
        <v>4182</v>
      </c>
      <c r="AB688" s="24" t="s">
        <v>275</v>
      </c>
      <c r="AC688" s="24"/>
      <c r="AD688" s="24" t="s">
        <v>3126</v>
      </c>
      <c r="AE688" s="24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</row>
    <row r="689">
      <c r="A689" s="22"/>
      <c r="B689" s="22"/>
      <c r="C689" s="22"/>
      <c r="D689" s="25" t="b">
        <v>0</v>
      </c>
      <c r="E689" s="22"/>
      <c r="F689" s="23"/>
      <c r="G689" s="25" t="b">
        <v>1</v>
      </c>
      <c r="H689" s="23"/>
      <c r="I689" s="23"/>
      <c r="J689" s="24" t="s">
        <v>4183</v>
      </c>
      <c r="K689" s="25" t="s">
        <v>4120</v>
      </c>
      <c r="L689" s="24"/>
      <c r="M689" s="24"/>
      <c r="N689" s="24"/>
      <c r="O689" s="24"/>
      <c r="P689" s="24"/>
      <c r="Q689" s="24"/>
      <c r="R689" s="24"/>
      <c r="S689" s="24"/>
      <c r="T689" s="22"/>
      <c r="U689" s="22"/>
      <c r="V689" s="22"/>
      <c r="W689" s="29">
        <v>2024.0</v>
      </c>
      <c r="X689" s="24"/>
      <c r="Y689" s="24"/>
      <c r="Z689" s="30"/>
      <c r="AA689" s="30" t="s">
        <v>4184</v>
      </c>
      <c r="AB689" s="24" t="s">
        <v>275</v>
      </c>
      <c r="AC689" s="24"/>
      <c r="AD689" s="24" t="s">
        <v>3126</v>
      </c>
      <c r="AE689" s="24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</row>
    <row r="690">
      <c r="A690" s="22"/>
      <c r="B690" s="22"/>
      <c r="C690" s="22"/>
      <c r="D690" s="25" t="b">
        <v>0</v>
      </c>
      <c r="E690" s="23"/>
      <c r="F690" s="23"/>
      <c r="G690" s="25" t="b">
        <v>1</v>
      </c>
      <c r="H690" s="23"/>
      <c r="I690" s="23"/>
      <c r="J690" s="24" t="s">
        <v>4185</v>
      </c>
      <c r="K690" s="25" t="s">
        <v>4120</v>
      </c>
      <c r="L690" s="24"/>
      <c r="M690" s="24"/>
      <c r="N690" s="24"/>
      <c r="O690" s="24"/>
      <c r="P690" s="24"/>
      <c r="Q690" s="24"/>
      <c r="R690" s="24"/>
      <c r="S690" s="24"/>
      <c r="T690" s="22"/>
      <c r="U690" s="22"/>
      <c r="V690" s="22"/>
      <c r="W690" s="29">
        <v>2024.0</v>
      </c>
      <c r="X690" s="24"/>
      <c r="Y690" s="24"/>
      <c r="Z690" s="30"/>
      <c r="AA690" s="30" t="s">
        <v>4186</v>
      </c>
      <c r="AB690" s="24" t="s">
        <v>275</v>
      </c>
      <c r="AC690" s="24"/>
      <c r="AD690" s="24" t="s">
        <v>3126</v>
      </c>
      <c r="AE690" s="24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</row>
    <row r="691">
      <c r="A691" s="11"/>
      <c r="B691" s="11"/>
      <c r="C691" s="11"/>
      <c r="D691" s="13" t="b">
        <v>1</v>
      </c>
      <c r="E691" s="12" t="s">
        <v>4187</v>
      </c>
      <c r="F691" s="12"/>
      <c r="G691" s="12"/>
      <c r="H691" s="12"/>
      <c r="I691" s="12"/>
      <c r="J691" s="12" t="s">
        <v>4188</v>
      </c>
      <c r="K691" s="13" t="s">
        <v>4120</v>
      </c>
      <c r="L691" s="12" t="s">
        <v>4120</v>
      </c>
      <c r="M691" s="12" t="s">
        <v>4189</v>
      </c>
      <c r="N691" s="13" t="s">
        <v>85</v>
      </c>
      <c r="O691" s="35" t="s">
        <v>4190</v>
      </c>
      <c r="P691" s="13" t="s">
        <v>4191</v>
      </c>
      <c r="Q691" s="13"/>
      <c r="R691" s="13" t="s">
        <v>776</v>
      </c>
      <c r="S691" s="13" t="s">
        <v>4192</v>
      </c>
      <c r="T691" s="12">
        <v>7.04</v>
      </c>
      <c r="U691" s="12" t="s">
        <v>1151</v>
      </c>
      <c r="V691" s="12" t="s">
        <v>3682</v>
      </c>
      <c r="W691" s="35"/>
      <c r="X691" s="35"/>
      <c r="Y691" s="35"/>
      <c r="Z691" s="37"/>
      <c r="AA691" s="37" t="s">
        <v>4193</v>
      </c>
      <c r="AB691" s="11"/>
      <c r="AC691" s="13" t="s">
        <v>666</v>
      </c>
      <c r="AD691" s="14" t="s">
        <v>4194</v>
      </c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</row>
    <row r="692">
      <c r="A692" s="74"/>
      <c r="B692" s="74"/>
      <c r="C692" s="74"/>
      <c r="D692" s="75" t="b">
        <v>0</v>
      </c>
      <c r="E692" s="74"/>
      <c r="F692" s="76"/>
      <c r="G692" s="76"/>
      <c r="H692" s="76"/>
      <c r="I692" s="76" t="s">
        <v>4049</v>
      </c>
      <c r="J692" s="76" t="s">
        <v>4195</v>
      </c>
      <c r="K692" s="75" t="s">
        <v>4120</v>
      </c>
      <c r="L692" s="76" t="s">
        <v>4120</v>
      </c>
      <c r="M692" s="76" t="s">
        <v>4196</v>
      </c>
      <c r="N692" s="75" t="s">
        <v>76</v>
      </c>
      <c r="O692" s="75" t="s">
        <v>77</v>
      </c>
      <c r="P692" s="75" t="s">
        <v>78</v>
      </c>
      <c r="Q692" s="75"/>
      <c r="R692" s="75" t="s">
        <v>4197</v>
      </c>
      <c r="S692" s="73"/>
      <c r="T692" s="76">
        <f>867/1024</f>
        <v>0.8466796875</v>
      </c>
      <c r="U692" s="76" t="s">
        <v>1151</v>
      </c>
      <c r="V692" s="76" t="s">
        <v>3682</v>
      </c>
      <c r="W692" s="73"/>
      <c r="X692" s="73"/>
      <c r="Y692" s="73"/>
      <c r="Z692" s="78"/>
      <c r="AA692" s="78" t="s">
        <v>4198</v>
      </c>
      <c r="AB692" s="74"/>
      <c r="AC692" s="76" t="s">
        <v>72</v>
      </c>
      <c r="AD692" s="98" t="s">
        <v>4199</v>
      </c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</row>
    <row r="693">
      <c r="D693" s="4" t="b">
        <v>1</v>
      </c>
      <c r="J693" s="2" t="s">
        <v>4200</v>
      </c>
      <c r="K693" s="4" t="s">
        <v>4120</v>
      </c>
      <c r="L693" s="2" t="s">
        <v>4201</v>
      </c>
      <c r="M693" s="2" t="s">
        <v>4202</v>
      </c>
      <c r="N693" s="2" t="s">
        <v>4203</v>
      </c>
      <c r="O693" s="2" t="s">
        <v>4204</v>
      </c>
      <c r="P693" s="2">
        <v>1.0</v>
      </c>
      <c r="Q693" s="2">
        <v>78.0</v>
      </c>
      <c r="S693" s="2" t="s">
        <v>4205</v>
      </c>
      <c r="X693" s="2" t="s">
        <v>343</v>
      </c>
      <c r="Y693" s="2" t="s">
        <v>4206</v>
      </c>
      <c r="Z693" s="2"/>
      <c r="AA693" s="15" t="s">
        <v>4207</v>
      </c>
      <c r="AC693" s="2" t="s">
        <v>4208</v>
      </c>
      <c r="AD693" s="15" t="s">
        <v>4209</v>
      </c>
    </row>
    <row r="694">
      <c r="D694" s="4" t="b">
        <v>1</v>
      </c>
      <c r="E694" s="2" t="s">
        <v>4210</v>
      </c>
      <c r="J694" s="2" t="s">
        <v>4211</v>
      </c>
      <c r="K694" s="4" t="s">
        <v>4120</v>
      </c>
      <c r="L694" s="2" t="s">
        <v>4201</v>
      </c>
      <c r="M694" s="2" t="s">
        <v>4212</v>
      </c>
      <c r="N694" s="2" t="s">
        <v>4213</v>
      </c>
      <c r="O694" s="2" t="s">
        <v>4214</v>
      </c>
      <c r="P694" s="2">
        <v>100.0</v>
      </c>
      <c r="T694" s="2">
        <v>7.94</v>
      </c>
      <c r="W694" s="2">
        <v>2021.0</v>
      </c>
      <c r="X694" s="2" t="s">
        <v>343</v>
      </c>
      <c r="Y694" s="2" t="s">
        <v>4215</v>
      </c>
      <c r="Z694" s="2"/>
      <c r="AA694" s="15" t="s">
        <v>4216</v>
      </c>
      <c r="AC694" s="2" t="s">
        <v>422</v>
      </c>
      <c r="AD694" s="15" t="s">
        <v>4216</v>
      </c>
    </row>
    <row r="695">
      <c r="A695" s="74"/>
      <c r="B695" s="74"/>
      <c r="C695" s="74"/>
      <c r="D695" s="75" t="b">
        <v>0</v>
      </c>
      <c r="E695" s="74"/>
      <c r="F695" s="74"/>
      <c r="G695" s="74"/>
      <c r="H695" s="74"/>
      <c r="I695" s="76" t="s">
        <v>4049</v>
      </c>
      <c r="J695" s="76" t="s">
        <v>4217</v>
      </c>
      <c r="K695" s="75" t="s">
        <v>4120</v>
      </c>
      <c r="L695" s="76" t="s">
        <v>4201</v>
      </c>
      <c r="M695" s="76" t="s">
        <v>4218</v>
      </c>
      <c r="N695" s="76" t="s">
        <v>4219</v>
      </c>
      <c r="O695" s="76" t="s">
        <v>4220</v>
      </c>
      <c r="P695" s="76">
        <v>100.0</v>
      </c>
      <c r="Q695" s="76">
        <v>100.0</v>
      </c>
      <c r="R695" s="74"/>
      <c r="S695" s="74"/>
      <c r="T695" s="74"/>
      <c r="U695" s="74"/>
      <c r="V695" s="74"/>
      <c r="W695" s="76">
        <v>2024.0</v>
      </c>
      <c r="X695" s="76" t="s">
        <v>331</v>
      </c>
      <c r="Y695" s="74"/>
      <c r="Z695" s="76"/>
      <c r="AA695" s="98" t="s">
        <v>4221</v>
      </c>
      <c r="AB695" s="76" t="s">
        <v>4222</v>
      </c>
      <c r="AC695" s="76" t="s">
        <v>4223</v>
      </c>
      <c r="AD695" s="98" t="s">
        <v>4221</v>
      </c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</row>
    <row r="696">
      <c r="A696" s="74"/>
      <c r="B696" s="74"/>
      <c r="C696" s="74"/>
      <c r="D696" s="75" t="b">
        <v>0</v>
      </c>
      <c r="E696" s="74"/>
      <c r="F696" s="74"/>
      <c r="G696" s="74"/>
      <c r="H696" s="74"/>
      <c r="I696" s="76" t="s">
        <v>4049</v>
      </c>
      <c r="J696" s="76" t="s">
        <v>4224</v>
      </c>
      <c r="K696" s="75" t="s">
        <v>4120</v>
      </c>
      <c r="L696" s="76" t="s">
        <v>4201</v>
      </c>
      <c r="M696" s="76" t="s">
        <v>4225</v>
      </c>
      <c r="N696" s="76" t="s">
        <v>4226</v>
      </c>
      <c r="O696" s="76" t="s">
        <v>4227</v>
      </c>
      <c r="P696" s="74"/>
      <c r="Q696" s="76">
        <v>3000.0</v>
      </c>
      <c r="R696" s="74"/>
      <c r="S696" s="74"/>
      <c r="T696" s="74"/>
      <c r="U696" s="74"/>
      <c r="V696" s="74"/>
      <c r="W696" s="76">
        <v>2023.0</v>
      </c>
      <c r="X696" s="76" t="s">
        <v>343</v>
      </c>
      <c r="Y696" s="74"/>
      <c r="Z696" s="76"/>
      <c r="AA696" s="98" t="s">
        <v>4228</v>
      </c>
      <c r="AB696" s="74"/>
      <c r="AC696" s="76" t="s">
        <v>4229</v>
      </c>
      <c r="AD696" s="98" t="s">
        <v>4228</v>
      </c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</row>
    <row r="697">
      <c r="A697" s="74"/>
      <c r="B697" s="74"/>
      <c r="C697" s="74"/>
      <c r="D697" s="75" t="b">
        <v>0</v>
      </c>
      <c r="E697" s="74"/>
      <c r="F697" s="74"/>
      <c r="G697" s="74"/>
      <c r="H697" s="74"/>
      <c r="I697" s="76" t="s">
        <v>4049</v>
      </c>
      <c r="J697" s="76" t="s">
        <v>4230</v>
      </c>
      <c r="K697" s="75" t="s">
        <v>4120</v>
      </c>
      <c r="L697" s="76" t="s">
        <v>4201</v>
      </c>
      <c r="M697" s="76" t="s">
        <v>4231</v>
      </c>
      <c r="N697" s="76" t="s">
        <v>4232</v>
      </c>
      <c r="O697" s="76" t="s">
        <v>4233</v>
      </c>
      <c r="P697" s="76">
        <v>40.0</v>
      </c>
      <c r="Q697" s="76">
        <v>40.0</v>
      </c>
      <c r="R697" s="76" t="s">
        <v>4234</v>
      </c>
      <c r="S697" s="74"/>
      <c r="T697" s="74"/>
      <c r="U697" s="74"/>
      <c r="V697" s="74"/>
      <c r="W697" s="76">
        <v>2020.0</v>
      </c>
      <c r="X697" s="76" t="s">
        <v>331</v>
      </c>
      <c r="Y697" s="74"/>
      <c r="Z697" s="76"/>
      <c r="AA697" s="98" t="s">
        <v>4235</v>
      </c>
      <c r="AB697" s="76" t="s">
        <v>4236</v>
      </c>
      <c r="AC697" s="76" t="s">
        <v>4237</v>
      </c>
      <c r="AD697" s="98" t="s">
        <v>4238</v>
      </c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</row>
    <row r="698">
      <c r="D698" s="4" t="b">
        <v>1</v>
      </c>
      <c r="E698" s="2" t="s">
        <v>4239</v>
      </c>
      <c r="J698" s="2" t="s">
        <v>4240</v>
      </c>
      <c r="K698" s="4" t="s">
        <v>4120</v>
      </c>
      <c r="L698" s="2" t="s">
        <v>4201</v>
      </c>
      <c r="M698" s="2" t="s">
        <v>4241</v>
      </c>
      <c r="N698" s="2" t="s">
        <v>4242</v>
      </c>
      <c r="O698" s="2" t="s">
        <v>4243</v>
      </c>
      <c r="P698" s="2" t="s">
        <v>4244</v>
      </c>
      <c r="Q698" s="2">
        <v>154.0</v>
      </c>
      <c r="W698" s="2">
        <v>2018.0</v>
      </c>
      <c r="X698" s="2" t="s">
        <v>331</v>
      </c>
      <c r="Z698" s="2"/>
      <c r="AA698" s="15" t="s">
        <v>4245</v>
      </c>
      <c r="AB698" s="2" t="s">
        <v>4246</v>
      </c>
      <c r="AC698" s="2" t="s">
        <v>4208</v>
      </c>
      <c r="AD698" s="15" t="s">
        <v>4247</v>
      </c>
    </row>
    <row r="699">
      <c r="D699" s="4" t="b">
        <v>1</v>
      </c>
      <c r="E699" s="2" t="s">
        <v>4248</v>
      </c>
      <c r="J699" s="2" t="s">
        <v>4249</v>
      </c>
      <c r="K699" s="4" t="s">
        <v>4120</v>
      </c>
      <c r="L699" s="2" t="s">
        <v>4201</v>
      </c>
      <c r="M699" s="2" t="s">
        <v>4250</v>
      </c>
      <c r="N699" s="2" t="s">
        <v>34</v>
      </c>
      <c r="O699" s="2" t="s">
        <v>4251</v>
      </c>
      <c r="Q699" s="2">
        <v>12500.0</v>
      </c>
      <c r="R699" s="2" t="s">
        <v>195</v>
      </c>
      <c r="S699" s="2" t="s">
        <v>4252</v>
      </c>
      <c r="X699" s="2" t="s">
        <v>343</v>
      </c>
      <c r="Z699" s="2"/>
      <c r="AA699" s="15" t="s">
        <v>4253</v>
      </c>
      <c r="AC699" s="2" t="s">
        <v>105</v>
      </c>
      <c r="AD699" s="15" t="s">
        <v>4254</v>
      </c>
    </row>
    <row r="700">
      <c r="D700" s="4" t="b">
        <v>1</v>
      </c>
      <c r="E700" s="2" t="s">
        <v>4255</v>
      </c>
      <c r="J700" s="2" t="s">
        <v>4256</v>
      </c>
      <c r="K700" s="4" t="s">
        <v>4120</v>
      </c>
      <c r="L700" s="2" t="s">
        <v>4201</v>
      </c>
      <c r="M700" s="2" t="s">
        <v>4257</v>
      </c>
      <c r="N700" s="2" t="s">
        <v>4258</v>
      </c>
      <c r="O700" s="2" t="s">
        <v>4259</v>
      </c>
      <c r="P700" s="2">
        <v>500.0</v>
      </c>
      <c r="R700" s="2" t="s">
        <v>4260</v>
      </c>
      <c r="S700" s="2" t="s">
        <v>4261</v>
      </c>
      <c r="W700" s="2">
        <v>2018.0</v>
      </c>
      <c r="X700" s="2" t="s">
        <v>4262</v>
      </c>
      <c r="Y700" s="2" t="s">
        <v>4263</v>
      </c>
      <c r="Z700" s="2"/>
      <c r="AA700" s="15" t="s">
        <v>4264</v>
      </c>
      <c r="AB700" s="2" t="s">
        <v>4265</v>
      </c>
      <c r="AC700" s="2" t="s">
        <v>4266</v>
      </c>
      <c r="AD700" s="15" t="s">
        <v>4267</v>
      </c>
    </row>
    <row r="701">
      <c r="D701" s="4" t="b">
        <v>1</v>
      </c>
      <c r="E701" s="2" t="s">
        <v>4268</v>
      </c>
      <c r="J701" s="2" t="s">
        <v>4269</v>
      </c>
      <c r="K701" s="4" t="s">
        <v>4120</v>
      </c>
      <c r="L701" s="2" t="s">
        <v>4201</v>
      </c>
      <c r="M701" s="2" t="s">
        <v>4270</v>
      </c>
      <c r="N701" s="2" t="s">
        <v>4271</v>
      </c>
      <c r="O701" s="2" t="s">
        <v>4272</v>
      </c>
      <c r="P701" s="2">
        <v>2.0</v>
      </c>
      <c r="W701" s="2">
        <v>2010.0</v>
      </c>
      <c r="X701" s="2" t="s">
        <v>690</v>
      </c>
      <c r="Y701" s="2" t="s">
        <v>4273</v>
      </c>
      <c r="Z701" s="2"/>
      <c r="AA701" s="15" t="s">
        <v>4274</v>
      </c>
      <c r="AB701" s="2" t="s">
        <v>4275</v>
      </c>
      <c r="AC701" s="2" t="s">
        <v>4276</v>
      </c>
      <c r="AD701" s="15" t="s">
        <v>4277</v>
      </c>
    </row>
    <row r="702">
      <c r="D702" s="4" t="b">
        <v>1</v>
      </c>
      <c r="E702" s="2" t="s">
        <v>4278</v>
      </c>
      <c r="J702" s="2" t="s">
        <v>4279</v>
      </c>
      <c r="K702" s="4" t="s">
        <v>4120</v>
      </c>
      <c r="L702" s="2" t="s">
        <v>4201</v>
      </c>
      <c r="M702" s="2" t="s">
        <v>4280</v>
      </c>
      <c r="N702" s="2" t="s">
        <v>76</v>
      </c>
      <c r="O702" s="2" t="s">
        <v>4281</v>
      </c>
      <c r="P702" s="2" t="s">
        <v>4282</v>
      </c>
      <c r="Q702" s="2" t="s">
        <v>4283</v>
      </c>
      <c r="S702" s="2" t="s">
        <v>4284</v>
      </c>
      <c r="W702" s="2">
        <v>2012.0</v>
      </c>
      <c r="X702" s="2" t="s">
        <v>331</v>
      </c>
      <c r="Y702" s="2" t="s">
        <v>4285</v>
      </c>
      <c r="Z702" s="2"/>
      <c r="AA702" s="15" t="s">
        <v>4286</v>
      </c>
      <c r="AB702" s="15" t="s">
        <v>4287</v>
      </c>
      <c r="AC702" s="2" t="s">
        <v>4288</v>
      </c>
      <c r="AD702" s="15" t="s">
        <v>4289</v>
      </c>
    </row>
    <row r="703">
      <c r="A703" s="22"/>
      <c r="B703" s="22"/>
      <c r="C703" s="22"/>
      <c r="D703" s="25"/>
      <c r="E703" s="22"/>
      <c r="F703" s="22"/>
      <c r="G703" s="25" t="b">
        <v>1</v>
      </c>
      <c r="H703" s="22"/>
      <c r="I703" s="22"/>
      <c r="J703" s="23" t="s">
        <v>4290</v>
      </c>
      <c r="K703" s="25" t="s">
        <v>4120</v>
      </c>
      <c r="L703" s="23" t="s">
        <v>4201</v>
      </c>
      <c r="M703" s="23" t="s">
        <v>4291</v>
      </c>
      <c r="N703" s="23" t="s">
        <v>76</v>
      </c>
      <c r="O703" s="23" t="s">
        <v>4292</v>
      </c>
      <c r="P703" s="23" t="s">
        <v>4293</v>
      </c>
      <c r="Q703" s="23" t="s">
        <v>4294</v>
      </c>
      <c r="R703" s="23" t="s">
        <v>4295</v>
      </c>
      <c r="S703" s="22"/>
      <c r="T703" s="22"/>
      <c r="U703" s="22"/>
      <c r="V703" s="22"/>
      <c r="W703" s="23">
        <v>2014.0</v>
      </c>
      <c r="X703" s="23" t="s">
        <v>331</v>
      </c>
      <c r="Y703" s="23" t="s">
        <v>4296</v>
      </c>
      <c r="Z703" s="23"/>
      <c r="AA703" s="28" t="s">
        <v>4297</v>
      </c>
      <c r="AB703" s="22"/>
      <c r="AC703" s="23" t="s">
        <v>4298</v>
      </c>
      <c r="AD703" s="28" t="s">
        <v>4299</v>
      </c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</row>
    <row r="704">
      <c r="A704" s="74"/>
      <c r="B704" s="74"/>
      <c r="C704" s="74"/>
      <c r="D704" s="75" t="b">
        <v>0</v>
      </c>
      <c r="E704" s="74"/>
      <c r="F704" s="74"/>
      <c r="G704" s="74"/>
      <c r="H704" s="74"/>
      <c r="I704" s="76" t="s">
        <v>4049</v>
      </c>
      <c r="J704" s="76" t="s">
        <v>4300</v>
      </c>
      <c r="K704" s="75" t="s">
        <v>4120</v>
      </c>
      <c r="L704" s="76" t="s">
        <v>4201</v>
      </c>
      <c r="M704" s="76" t="s">
        <v>235</v>
      </c>
      <c r="N704" s="76" t="s">
        <v>4301</v>
      </c>
      <c r="O704" s="76" t="s">
        <v>4302</v>
      </c>
      <c r="P704" s="74"/>
      <c r="Q704" s="74"/>
      <c r="R704" s="74"/>
      <c r="S704" s="74"/>
      <c r="T704" s="74"/>
      <c r="U704" s="74"/>
      <c r="V704" s="74"/>
      <c r="W704" s="76">
        <v>2014.0</v>
      </c>
      <c r="X704" s="76" t="s">
        <v>331</v>
      </c>
      <c r="Y704" s="76" t="s">
        <v>4303</v>
      </c>
      <c r="Z704" s="76"/>
      <c r="AA704" s="98" t="s">
        <v>4304</v>
      </c>
      <c r="AB704" s="98" t="s">
        <v>4305</v>
      </c>
      <c r="AC704" s="76" t="s">
        <v>4306</v>
      </c>
      <c r="AD704" s="98" t="s">
        <v>4307</v>
      </c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</row>
    <row r="705">
      <c r="D705" s="4" t="b">
        <v>1</v>
      </c>
      <c r="E705" s="2" t="s">
        <v>4308</v>
      </c>
      <c r="F705" s="4" t="b">
        <v>1</v>
      </c>
      <c r="J705" s="2" t="s">
        <v>4309</v>
      </c>
      <c r="K705" s="4" t="s">
        <v>4120</v>
      </c>
      <c r="L705" s="2" t="s">
        <v>4201</v>
      </c>
      <c r="M705" s="2" t="s">
        <v>60</v>
      </c>
      <c r="N705" s="2" t="s">
        <v>455</v>
      </c>
      <c r="O705" s="2" t="s">
        <v>4310</v>
      </c>
      <c r="P705" s="2" t="s">
        <v>4311</v>
      </c>
      <c r="Q705" s="2" t="s">
        <v>4312</v>
      </c>
      <c r="R705" s="2" t="s">
        <v>4313</v>
      </c>
      <c r="S705" s="2" t="s">
        <v>4314</v>
      </c>
      <c r="X705" s="2" t="s">
        <v>331</v>
      </c>
      <c r="Y705" s="2" t="s">
        <v>4315</v>
      </c>
      <c r="Z705" s="2"/>
      <c r="AA705" s="15" t="s">
        <v>4316</v>
      </c>
      <c r="AB705" s="15" t="s">
        <v>4317</v>
      </c>
      <c r="AC705" s="2" t="s">
        <v>4318</v>
      </c>
      <c r="AD705" s="15" t="s">
        <v>4319</v>
      </c>
    </row>
    <row r="706">
      <c r="A706" s="74"/>
      <c r="B706" s="74"/>
      <c r="C706" s="74"/>
      <c r="D706" s="75" t="b">
        <v>0</v>
      </c>
      <c r="E706" s="74"/>
      <c r="F706" s="74"/>
      <c r="G706" s="74"/>
      <c r="H706" s="74"/>
      <c r="I706" s="76" t="s">
        <v>4049</v>
      </c>
      <c r="J706" s="76" t="s">
        <v>4320</v>
      </c>
      <c r="K706" s="75" t="s">
        <v>4120</v>
      </c>
      <c r="L706" s="76" t="s">
        <v>4201</v>
      </c>
      <c r="M706" s="76" t="s">
        <v>4321</v>
      </c>
      <c r="N706" s="76" t="s">
        <v>4322</v>
      </c>
      <c r="O706" s="76" t="s">
        <v>4323</v>
      </c>
      <c r="P706" s="76" t="s">
        <v>4324</v>
      </c>
      <c r="Q706" s="74"/>
      <c r="R706" s="76" t="s">
        <v>4325</v>
      </c>
      <c r="S706" s="74"/>
      <c r="T706" s="74"/>
      <c r="U706" s="74"/>
      <c r="V706" s="74"/>
      <c r="W706" s="76">
        <v>2023.0</v>
      </c>
      <c r="X706" s="76" t="s">
        <v>4326</v>
      </c>
      <c r="Y706" s="74"/>
      <c r="Z706" s="76"/>
      <c r="AA706" s="98" t="s">
        <v>4327</v>
      </c>
      <c r="AB706" s="98" t="s">
        <v>4328</v>
      </c>
      <c r="AC706" s="76" t="s">
        <v>4329</v>
      </c>
      <c r="AD706" s="98" t="s">
        <v>4330</v>
      </c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</row>
    <row r="707">
      <c r="A707" s="74"/>
      <c r="B707" s="74"/>
      <c r="C707" s="74"/>
      <c r="D707" s="75" t="b">
        <v>0</v>
      </c>
      <c r="E707" s="74"/>
      <c r="F707" s="74"/>
      <c r="G707" s="74"/>
      <c r="H707" s="74"/>
      <c r="I707" s="76" t="s">
        <v>4049</v>
      </c>
      <c r="J707" s="76" t="s">
        <v>4331</v>
      </c>
      <c r="K707" s="75" t="s">
        <v>4120</v>
      </c>
      <c r="L707" s="76" t="s">
        <v>4201</v>
      </c>
      <c r="M707" s="76"/>
      <c r="N707" s="76"/>
      <c r="O707" s="76"/>
      <c r="P707" s="76"/>
      <c r="Q707" s="74"/>
      <c r="R707" s="76"/>
      <c r="S707" s="74"/>
      <c r="T707" s="74"/>
      <c r="U707" s="74"/>
      <c r="V707" s="74"/>
      <c r="W707" s="76"/>
      <c r="X707" s="76"/>
      <c r="Y707" s="74"/>
      <c r="Z707" s="76"/>
      <c r="AA707" s="98" t="s">
        <v>4332</v>
      </c>
      <c r="AB707" s="98" t="s">
        <v>4333</v>
      </c>
      <c r="AC707" s="76" t="s">
        <v>4329</v>
      </c>
      <c r="AD707" s="98" t="s">
        <v>4334</v>
      </c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</row>
    <row r="708">
      <c r="A708" s="74"/>
      <c r="B708" s="74"/>
      <c r="C708" s="74"/>
      <c r="D708" s="75" t="b">
        <v>0</v>
      </c>
      <c r="E708" s="74"/>
      <c r="F708" s="74"/>
      <c r="G708" s="74"/>
      <c r="H708" s="74"/>
      <c r="I708" s="76" t="s">
        <v>4049</v>
      </c>
      <c r="J708" s="76" t="s">
        <v>4335</v>
      </c>
      <c r="K708" s="75" t="s">
        <v>4120</v>
      </c>
      <c r="L708" s="76" t="s">
        <v>4201</v>
      </c>
      <c r="M708" s="76" t="s">
        <v>4321</v>
      </c>
      <c r="N708" s="76" t="s">
        <v>4336</v>
      </c>
      <c r="O708" s="76" t="s">
        <v>4337</v>
      </c>
      <c r="P708" s="74"/>
      <c r="Q708" s="74"/>
      <c r="R708" s="74"/>
      <c r="S708" s="74"/>
      <c r="T708" s="74"/>
      <c r="U708" s="74"/>
      <c r="V708" s="74"/>
      <c r="W708" s="76">
        <v>2024.0</v>
      </c>
      <c r="X708" s="76" t="s">
        <v>4326</v>
      </c>
      <c r="Y708" s="74"/>
      <c r="Z708" s="76"/>
      <c r="AA708" s="98" t="s">
        <v>4338</v>
      </c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</row>
    <row r="709">
      <c r="A709" s="22"/>
      <c r="B709" s="22"/>
      <c r="C709" s="22"/>
      <c r="D709" s="25"/>
      <c r="E709" s="22"/>
      <c r="F709" s="23" t="b">
        <v>1</v>
      </c>
      <c r="G709" s="23" t="b">
        <v>1</v>
      </c>
      <c r="H709" s="22"/>
      <c r="I709" s="22"/>
      <c r="J709" s="23" t="s">
        <v>4339</v>
      </c>
      <c r="K709" s="25" t="s">
        <v>4120</v>
      </c>
      <c r="L709" s="23" t="s">
        <v>4201</v>
      </c>
      <c r="M709" s="23" t="s">
        <v>1076</v>
      </c>
      <c r="N709" s="23" t="s">
        <v>4340</v>
      </c>
      <c r="O709" s="23" t="s">
        <v>4341</v>
      </c>
      <c r="P709" s="22"/>
      <c r="Q709" s="22"/>
      <c r="R709" s="23" t="s">
        <v>63</v>
      </c>
      <c r="S709" s="22"/>
      <c r="T709" s="22"/>
      <c r="U709" s="22"/>
      <c r="V709" s="22"/>
      <c r="W709" s="22"/>
      <c r="X709" s="23" t="s">
        <v>331</v>
      </c>
      <c r="Y709" s="23" t="s">
        <v>663</v>
      </c>
      <c r="Z709" s="23"/>
      <c r="AA709" s="28" t="s">
        <v>4342</v>
      </c>
      <c r="AB709" s="28" t="s">
        <v>4343</v>
      </c>
      <c r="AC709" s="23" t="s">
        <v>4318</v>
      </c>
      <c r="AD709" s="28" t="s">
        <v>4342</v>
      </c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</row>
    <row r="710">
      <c r="A710" s="74"/>
      <c r="B710" s="74"/>
      <c r="C710" s="74"/>
      <c r="D710" s="75" t="b">
        <v>0</v>
      </c>
      <c r="E710" s="74"/>
      <c r="F710" s="74"/>
      <c r="G710" s="74"/>
      <c r="H710" s="74"/>
      <c r="I710" s="76" t="s">
        <v>4049</v>
      </c>
      <c r="J710" s="76" t="s">
        <v>4344</v>
      </c>
      <c r="K710" s="75" t="s">
        <v>4120</v>
      </c>
      <c r="L710" s="76" t="s">
        <v>4201</v>
      </c>
      <c r="M710" s="76" t="s">
        <v>4345</v>
      </c>
      <c r="N710" s="76" t="s">
        <v>4346</v>
      </c>
      <c r="O710" s="76" t="s">
        <v>4347</v>
      </c>
      <c r="P710" s="74"/>
      <c r="Q710" s="74"/>
      <c r="R710" s="74"/>
      <c r="S710" s="74"/>
      <c r="T710" s="74"/>
      <c r="U710" s="74"/>
      <c r="V710" s="74"/>
      <c r="W710" s="74"/>
      <c r="X710" s="76" t="s">
        <v>331</v>
      </c>
      <c r="Y710" s="76" t="s">
        <v>4348</v>
      </c>
      <c r="Z710" s="76"/>
      <c r="AA710" s="98" t="s">
        <v>4349</v>
      </c>
      <c r="AB710" s="98" t="s">
        <v>4349</v>
      </c>
      <c r="AC710" s="76" t="s">
        <v>4306</v>
      </c>
      <c r="AD710" s="98" t="s">
        <v>4349</v>
      </c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</row>
    <row r="711">
      <c r="D711" s="4" t="b">
        <v>1</v>
      </c>
      <c r="E711" s="2" t="s">
        <v>4350</v>
      </c>
      <c r="F711" s="2" t="b">
        <v>1</v>
      </c>
      <c r="J711" s="2" t="s">
        <v>4351</v>
      </c>
      <c r="K711" s="4" t="s">
        <v>4120</v>
      </c>
      <c r="L711" s="2" t="s">
        <v>4201</v>
      </c>
      <c r="M711" s="2" t="s">
        <v>4352</v>
      </c>
      <c r="N711" s="2" t="s">
        <v>4353</v>
      </c>
      <c r="O711" s="2" t="s">
        <v>4354</v>
      </c>
      <c r="P711" s="2" t="s">
        <v>4355</v>
      </c>
      <c r="Q711" s="2" t="s">
        <v>4355</v>
      </c>
      <c r="R711" s="2" t="s">
        <v>4356</v>
      </c>
      <c r="W711" s="2">
        <v>2021.0</v>
      </c>
      <c r="X711" s="2" t="s">
        <v>4357</v>
      </c>
      <c r="Y711" s="2" t="s">
        <v>663</v>
      </c>
      <c r="Z711" s="2"/>
      <c r="AA711" s="15" t="s">
        <v>4358</v>
      </c>
      <c r="AB711" s="15" t="s">
        <v>4359</v>
      </c>
      <c r="AC711" s="2" t="s">
        <v>4360</v>
      </c>
      <c r="AD711" s="15" t="s">
        <v>4361</v>
      </c>
    </row>
    <row r="712">
      <c r="D712" s="4" t="b">
        <v>1</v>
      </c>
      <c r="E712" s="2" t="s">
        <v>4362</v>
      </c>
      <c r="F712" s="2" t="b">
        <v>1</v>
      </c>
      <c r="J712" s="2" t="s">
        <v>4363</v>
      </c>
      <c r="K712" s="4" t="s">
        <v>4120</v>
      </c>
      <c r="L712" s="2" t="s">
        <v>4201</v>
      </c>
      <c r="M712" s="2" t="s">
        <v>4352</v>
      </c>
      <c r="N712" s="2" t="s">
        <v>3571</v>
      </c>
      <c r="O712" s="2" t="s">
        <v>4364</v>
      </c>
      <c r="P712" s="2" t="s">
        <v>4365</v>
      </c>
      <c r="Q712" s="2" t="s">
        <v>4366</v>
      </c>
      <c r="R712" s="2" t="s">
        <v>4367</v>
      </c>
      <c r="W712" s="2">
        <v>2023.0</v>
      </c>
      <c r="X712" s="2" t="s">
        <v>4357</v>
      </c>
      <c r="Y712" s="2" t="s">
        <v>663</v>
      </c>
      <c r="Z712" s="2"/>
      <c r="AA712" s="15" t="s">
        <v>4368</v>
      </c>
      <c r="AB712" s="15" t="s">
        <v>4369</v>
      </c>
      <c r="AC712" s="2" t="s">
        <v>4318</v>
      </c>
      <c r="AD712" s="15" t="s">
        <v>4370</v>
      </c>
    </row>
    <row r="713">
      <c r="A713" s="74"/>
      <c r="B713" s="74"/>
      <c r="C713" s="74"/>
      <c r="D713" s="75" t="b">
        <v>0</v>
      </c>
      <c r="E713" s="74"/>
      <c r="F713" s="74"/>
      <c r="G713" s="74"/>
      <c r="H713" s="74"/>
      <c r="I713" s="76" t="s">
        <v>4049</v>
      </c>
      <c r="J713" s="76" t="s">
        <v>4371</v>
      </c>
      <c r="K713" s="75" t="s">
        <v>4120</v>
      </c>
      <c r="L713" s="76" t="s">
        <v>4201</v>
      </c>
      <c r="M713" s="76" t="s">
        <v>4352</v>
      </c>
      <c r="N713" s="76" t="s">
        <v>4372</v>
      </c>
      <c r="O713" s="76" t="s">
        <v>4373</v>
      </c>
      <c r="P713" s="76" t="s">
        <v>4374</v>
      </c>
      <c r="Q713" s="76" t="s">
        <v>4375</v>
      </c>
      <c r="R713" s="74"/>
      <c r="S713" s="76" t="s">
        <v>4376</v>
      </c>
      <c r="T713" s="74"/>
      <c r="U713" s="74"/>
      <c r="V713" s="74"/>
      <c r="W713" s="76">
        <v>2020.0</v>
      </c>
      <c r="X713" s="76" t="s">
        <v>4357</v>
      </c>
      <c r="Y713" s="76" t="s">
        <v>4377</v>
      </c>
      <c r="Z713" s="76"/>
      <c r="AA713" s="98" t="s">
        <v>4378</v>
      </c>
      <c r="AB713" s="98" t="s">
        <v>4379</v>
      </c>
      <c r="AC713" s="76" t="s">
        <v>105</v>
      </c>
      <c r="AD713" s="98" t="s">
        <v>4378</v>
      </c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</row>
    <row r="714">
      <c r="D714" s="4" t="b">
        <v>1</v>
      </c>
      <c r="E714" s="2" t="s">
        <v>4380</v>
      </c>
      <c r="J714" s="2" t="s">
        <v>4381</v>
      </c>
      <c r="K714" s="4" t="s">
        <v>4120</v>
      </c>
      <c r="L714" s="2" t="s">
        <v>4201</v>
      </c>
      <c r="M714" s="2" t="s">
        <v>4382</v>
      </c>
      <c r="N714" s="2" t="s">
        <v>76</v>
      </c>
      <c r="O714" s="2" t="s">
        <v>4383</v>
      </c>
      <c r="P714" s="2" t="s">
        <v>4384</v>
      </c>
      <c r="W714" s="2">
        <v>2022.0</v>
      </c>
      <c r="X714" s="2" t="s">
        <v>331</v>
      </c>
      <c r="Y714" s="2" t="s">
        <v>4385</v>
      </c>
      <c r="Z714" s="2"/>
      <c r="AA714" s="15" t="s">
        <v>4386</v>
      </c>
      <c r="AB714" s="15" t="s">
        <v>4387</v>
      </c>
      <c r="AC714" s="2" t="s">
        <v>105</v>
      </c>
      <c r="AD714" s="15" t="s">
        <v>4386</v>
      </c>
    </row>
    <row r="715">
      <c r="D715" s="4" t="b">
        <v>1</v>
      </c>
      <c r="E715" s="2" t="s">
        <v>4388</v>
      </c>
      <c r="J715" s="2" t="s">
        <v>4389</v>
      </c>
      <c r="K715" s="4" t="s">
        <v>4120</v>
      </c>
      <c r="L715" s="2" t="s">
        <v>4201</v>
      </c>
      <c r="M715" s="2" t="s">
        <v>60</v>
      </c>
      <c r="N715" s="2" t="s">
        <v>485</v>
      </c>
      <c r="O715" s="2" t="s">
        <v>4390</v>
      </c>
      <c r="P715" s="2" t="s">
        <v>4391</v>
      </c>
      <c r="W715" s="2">
        <v>2020.0</v>
      </c>
      <c r="X715" s="2" t="s">
        <v>331</v>
      </c>
      <c r="Y715" s="2" t="s">
        <v>4385</v>
      </c>
      <c r="Z715" s="2"/>
      <c r="AA715" s="15" t="s">
        <v>4392</v>
      </c>
      <c r="AB715" s="15" t="s">
        <v>4393</v>
      </c>
      <c r="AC715" s="2" t="s">
        <v>105</v>
      </c>
      <c r="AD715" s="15" t="s">
        <v>4392</v>
      </c>
    </row>
    <row r="716">
      <c r="D716" s="4" t="b">
        <v>1</v>
      </c>
      <c r="E716" s="2" t="s">
        <v>4394</v>
      </c>
      <c r="J716" s="2" t="s">
        <v>4395</v>
      </c>
      <c r="K716" s="4" t="s">
        <v>4120</v>
      </c>
      <c r="L716" s="2" t="s">
        <v>4201</v>
      </c>
      <c r="M716" s="2" t="s">
        <v>4382</v>
      </c>
      <c r="N716" s="2" t="s">
        <v>455</v>
      </c>
      <c r="O716" s="2" t="s">
        <v>4396</v>
      </c>
      <c r="P716" s="2" t="s">
        <v>4397</v>
      </c>
      <c r="W716" s="2">
        <v>2021.0</v>
      </c>
      <c r="X716" s="2" t="s">
        <v>331</v>
      </c>
      <c r="Y716" s="2" t="s">
        <v>4385</v>
      </c>
      <c r="Z716" s="2"/>
      <c r="AA716" s="15" t="s">
        <v>4398</v>
      </c>
      <c r="AB716" s="15" t="s">
        <v>4399</v>
      </c>
      <c r="AC716" s="2" t="s">
        <v>105</v>
      </c>
      <c r="AD716" s="15" t="s">
        <v>4398</v>
      </c>
    </row>
    <row r="717">
      <c r="D717" s="4" t="b">
        <v>1</v>
      </c>
      <c r="E717" s="2" t="s">
        <v>4400</v>
      </c>
      <c r="J717" s="2" t="s">
        <v>4401</v>
      </c>
      <c r="K717" s="4" t="s">
        <v>4120</v>
      </c>
      <c r="L717" s="2" t="s">
        <v>4201</v>
      </c>
      <c r="M717" s="2" t="s">
        <v>4402</v>
      </c>
      <c r="N717" s="2" t="s">
        <v>4242</v>
      </c>
      <c r="O717" s="2" t="s">
        <v>4403</v>
      </c>
      <c r="W717" s="2">
        <v>2013.0</v>
      </c>
      <c r="X717" s="2" t="s">
        <v>331</v>
      </c>
      <c r="Z717" s="2"/>
      <c r="AA717" s="15" t="s">
        <v>4404</v>
      </c>
      <c r="AB717" s="15" t="s">
        <v>4404</v>
      </c>
      <c r="AC717" s="2" t="s">
        <v>372</v>
      </c>
      <c r="AD717" s="15" t="s">
        <v>4404</v>
      </c>
    </row>
    <row r="718">
      <c r="D718" s="4" t="b">
        <v>1</v>
      </c>
      <c r="E718" s="2" t="s">
        <v>4405</v>
      </c>
      <c r="J718" s="2" t="s">
        <v>4406</v>
      </c>
      <c r="K718" s="4" t="s">
        <v>4120</v>
      </c>
      <c r="L718" s="2" t="s">
        <v>4201</v>
      </c>
      <c r="M718" s="2" t="s">
        <v>4407</v>
      </c>
      <c r="N718" s="2" t="s">
        <v>2585</v>
      </c>
      <c r="O718" s="2" t="s">
        <v>4408</v>
      </c>
      <c r="P718" s="2" t="s">
        <v>4409</v>
      </c>
      <c r="R718" s="2" t="s">
        <v>63</v>
      </c>
      <c r="X718" s="2" t="s">
        <v>343</v>
      </c>
      <c r="Y718" s="2" t="s">
        <v>332</v>
      </c>
      <c r="Z718" s="2"/>
      <c r="AA718" s="15" t="s">
        <v>4410</v>
      </c>
    </row>
    <row r="719">
      <c r="A719" s="74"/>
      <c r="B719" s="74"/>
      <c r="C719" s="74"/>
      <c r="D719" s="75" t="b">
        <v>0</v>
      </c>
      <c r="E719" s="74"/>
      <c r="F719" s="74"/>
      <c r="G719" s="74"/>
      <c r="H719" s="74"/>
      <c r="I719" s="76" t="s">
        <v>4049</v>
      </c>
      <c r="J719" s="76" t="s">
        <v>4411</v>
      </c>
      <c r="K719" s="75" t="s">
        <v>4120</v>
      </c>
      <c r="L719" s="76" t="s">
        <v>4201</v>
      </c>
      <c r="M719" s="76" t="s">
        <v>4407</v>
      </c>
      <c r="N719" s="76" t="s">
        <v>76</v>
      </c>
      <c r="O719" s="76" t="s">
        <v>4412</v>
      </c>
      <c r="P719" s="76" t="s">
        <v>4409</v>
      </c>
      <c r="Q719" s="74"/>
      <c r="R719" s="76" t="s">
        <v>4413</v>
      </c>
      <c r="S719" s="74"/>
      <c r="T719" s="74"/>
      <c r="U719" s="74"/>
      <c r="V719" s="74"/>
      <c r="W719" s="76">
        <v>2011.0</v>
      </c>
      <c r="X719" s="76" t="s">
        <v>343</v>
      </c>
      <c r="Y719" s="76" t="s">
        <v>332</v>
      </c>
      <c r="Z719" s="76"/>
      <c r="AA719" s="98" t="s">
        <v>4414</v>
      </c>
      <c r="AB719" s="98" t="s">
        <v>4415</v>
      </c>
      <c r="AC719" s="76" t="s">
        <v>4306</v>
      </c>
      <c r="AD719" s="98" t="s">
        <v>4416</v>
      </c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</row>
    <row r="720">
      <c r="A720" s="74"/>
      <c r="B720" s="74"/>
      <c r="C720" s="74"/>
      <c r="D720" s="75" t="b">
        <v>0</v>
      </c>
      <c r="E720" s="74"/>
      <c r="F720" s="74"/>
      <c r="G720" s="74"/>
      <c r="H720" s="74"/>
      <c r="I720" s="76" t="s">
        <v>4049</v>
      </c>
      <c r="J720" s="76" t="s">
        <v>4417</v>
      </c>
      <c r="K720" s="75" t="s">
        <v>4120</v>
      </c>
      <c r="L720" s="76" t="s">
        <v>4201</v>
      </c>
      <c r="M720" s="76" t="s">
        <v>4418</v>
      </c>
      <c r="N720" s="76" t="s">
        <v>34</v>
      </c>
      <c r="O720" s="76" t="s">
        <v>4419</v>
      </c>
      <c r="P720" s="76" t="s">
        <v>4420</v>
      </c>
      <c r="Q720" s="74"/>
      <c r="R720" s="76" t="s">
        <v>4421</v>
      </c>
      <c r="S720" s="74"/>
      <c r="T720" s="74"/>
      <c r="U720" s="74"/>
      <c r="V720" s="74"/>
      <c r="W720" s="76">
        <v>2015.0</v>
      </c>
      <c r="X720" s="76" t="s">
        <v>331</v>
      </c>
      <c r="Y720" s="76" t="s">
        <v>332</v>
      </c>
      <c r="Z720" s="76"/>
      <c r="AA720" s="98" t="s">
        <v>4422</v>
      </c>
      <c r="AB720" s="98" t="s">
        <v>4423</v>
      </c>
      <c r="AC720" s="76" t="s">
        <v>4306</v>
      </c>
      <c r="AD720" s="98" t="s">
        <v>4423</v>
      </c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</row>
    <row r="721">
      <c r="A721" s="74"/>
      <c r="B721" s="74"/>
      <c r="C721" s="74"/>
      <c r="D721" s="75" t="b">
        <v>0</v>
      </c>
      <c r="E721" s="74"/>
      <c r="F721" s="74"/>
      <c r="G721" s="74"/>
      <c r="H721" s="74"/>
      <c r="I721" s="76" t="s">
        <v>4049</v>
      </c>
      <c r="J721" s="76" t="s">
        <v>4424</v>
      </c>
      <c r="K721" s="75" t="s">
        <v>4120</v>
      </c>
      <c r="L721" s="76" t="s">
        <v>4201</v>
      </c>
      <c r="M721" s="76" t="s">
        <v>4425</v>
      </c>
      <c r="N721" s="76" t="s">
        <v>4426</v>
      </c>
      <c r="O721" s="76" t="s">
        <v>4427</v>
      </c>
      <c r="P721" s="76" t="s">
        <v>4420</v>
      </c>
      <c r="Q721" s="74"/>
      <c r="R721" s="76" t="s">
        <v>4421</v>
      </c>
      <c r="S721" s="74"/>
      <c r="T721" s="74"/>
      <c r="U721" s="74"/>
      <c r="V721" s="74"/>
      <c r="W721" s="76">
        <v>2019.0</v>
      </c>
      <c r="X721" s="76" t="s">
        <v>343</v>
      </c>
      <c r="Y721" s="76" t="s">
        <v>332</v>
      </c>
      <c r="Z721" s="76"/>
      <c r="AA721" s="98" t="s">
        <v>4428</v>
      </c>
      <c r="AB721" s="98" t="s">
        <v>4429</v>
      </c>
      <c r="AC721" s="76" t="s">
        <v>4306</v>
      </c>
      <c r="AD721" s="98" t="s">
        <v>4429</v>
      </c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</row>
    <row r="722">
      <c r="A722" s="74"/>
      <c r="B722" s="74"/>
      <c r="C722" s="74"/>
      <c r="D722" s="75" t="b">
        <v>0</v>
      </c>
      <c r="E722" s="76" t="s">
        <v>4430</v>
      </c>
      <c r="F722" s="74"/>
      <c r="G722" s="74"/>
      <c r="H722" s="74"/>
      <c r="I722" s="76" t="s">
        <v>4049</v>
      </c>
      <c r="J722" s="76" t="s">
        <v>4431</v>
      </c>
      <c r="K722" s="75" t="s">
        <v>4120</v>
      </c>
      <c r="L722" s="76" t="s">
        <v>4201</v>
      </c>
      <c r="M722" s="76" t="s">
        <v>4432</v>
      </c>
      <c r="N722" s="76" t="s">
        <v>76</v>
      </c>
      <c r="O722" s="76" t="s">
        <v>76</v>
      </c>
      <c r="P722" s="76">
        <v>360.0</v>
      </c>
      <c r="Q722" s="74"/>
      <c r="R722" s="74"/>
      <c r="S722" s="74"/>
      <c r="T722" s="74"/>
      <c r="U722" s="74"/>
      <c r="V722" s="74"/>
      <c r="W722" s="76">
        <v>2021.0</v>
      </c>
      <c r="X722" s="76" t="s">
        <v>343</v>
      </c>
      <c r="Y722" s="74"/>
      <c r="Z722" s="76"/>
      <c r="AA722" s="98" t="s">
        <v>4433</v>
      </c>
      <c r="AB722" s="98" t="s">
        <v>4434</v>
      </c>
      <c r="AC722" s="76" t="s">
        <v>4435</v>
      </c>
      <c r="AD722" s="98" t="s">
        <v>4436</v>
      </c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</row>
    <row r="723">
      <c r="D723" s="4" t="b">
        <v>1</v>
      </c>
      <c r="E723" s="2" t="s">
        <v>4437</v>
      </c>
      <c r="J723" s="2" t="s">
        <v>4438</v>
      </c>
      <c r="K723" s="4" t="s">
        <v>4120</v>
      </c>
      <c r="L723" s="2" t="s">
        <v>4201</v>
      </c>
      <c r="M723" s="2" t="s">
        <v>4280</v>
      </c>
      <c r="N723" s="2" t="s">
        <v>76</v>
      </c>
      <c r="O723" s="2" t="s">
        <v>76</v>
      </c>
      <c r="P723" s="2" t="s">
        <v>4439</v>
      </c>
      <c r="W723" s="2">
        <v>2024.0</v>
      </c>
      <c r="X723" s="2" t="s">
        <v>331</v>
      </c>
      <c r="Z723" s="2"/>
      <c r="AA723" s="15" t="s">
        <v>4440</v>
      </c>
      <c r="AB723" s="15" t="s">
        <v>4441</v>
      </c>
      <c r="AC723" s="2" t="s">
        <v>4442</v>
      </c>
      <c r="AD723" s="15" t="s">
        <v>4441</v>
      </c>
    </row>
    <row r="724">
      <c r="A724" s="74"/>
      <c r="B724" s="74"/>
      <c r="C724" s="74"/>
      <c r="D724" s="75" t="b">
        <v>0</v>
      </c>
      <c r="E724" s="74"/>
      <c r="F724" s="74"/>
      <c r="G724" s="74"/>
      <c r="H724" s="74"/>
      <c r="I724" s="76" t="s">
        <v>4049</v>
      </c>
      <c r="J724" s="76" t="s">
        <v>4443</v>
      </c>
      <c r="K724" s="75" t="s">
        <v>4120</v>
      </c>
      <c r="L724" s="76" t="s">
        <v>4201</v>
      </c>
      <c r="M724" s="76" t="s">
        <v>4444</v>
      </c>
      <c r="N724" s="76" t="s">
        <v>76</v>
      </c>
      <c r="O724" s="76" t="s">
        <v>76</v>
      </c>
      <c r="P724" s="76">
        <v>2450.0</v>
      </c>
      <c r="Q724" s="74"/>
      <c r="R724" s="74"/>
      <c r="S724" s="74"/>
      <c r="T724" s="74"/>
      <c r="U724" s="74"/>
      <c r="V724" s="74"/>
      <c r="W724" s="76">
        <v>2024.0</v>
      </c>
      <c r="X724" s="76" t="s">
        <v>343</v>
      </c>
      <c r="Y724" s="76" t="s">
        <v>332</v>
      </c>
      <c r="Z724" s="76"/>
      <c r="AA724" s="98" t="s">
        <v>4445</v>
      </c>
      <c r="AB724" s="98" t="s">
        <v>4445</v>
      </c>
      <c r="AC724" s="76" t="s">
        <v>750</v>
      </c>
      <c r="AD724" s="98" t="s">
        <v>4445</v>
      </c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</row>
    <row r="725">
      <c r="A725" s="74"/>
      <c r="B725" s="74"/>
      <c r="C725" s="74"/>
      <c r="D725" s="75" t="b">
        <v>0</v>
      </c>
      <c r="E725" s="74"/>
      <c r="F725" s="74"/>
      <c r="G725" s="74"/>
      <c r="H725" s="74"/>
      <c r="I725" s="76" t="s">
        <v>4446</v>
      </c>
      <c r="J725" s="76" t="s">
        <v>4447</v>
      </c>
      <c r="K725" s="75" t="s">
        <v>4120</v>
      </c>
      <c r="L725" s="76" t="s">
        <v>4201</v>
      </c>
      <c r="M725" s="76" t="s">
        <v>4448</v>
      </c>
      <c r="N725" s="76" t="s">
        <v>76</v>
      </c>
      <c r="O725" s="76" t="s">
        <v>4449</v>
      </c>
      <c r="P725" s="76">
        <v>134.0</v>
      </c>
      <c r="Q725" s="74"/>
      <c r="R725" s="74"/>
      <c r="S725" s="74"/>
      <c r="T725" s="74"/>
      <c r="U725" s="74"/>
      <c r="V725" s="74"/>
      <c r="W725" s="76">
        <v>2023.0</v>
      </c>
      <c r="X725" s="76" t="s">
        <v>331</v>
      </c>
      <c r="Y725" s="76" t="s">
        <v>4450</v>
      </c>
      <c r="Z725" s="76"/>
      <c r="AA725" s="98" t="s">
        <v>4451</v>
      </c>
      <c r="AB725" s="98" t="s">
        <v>4452</v>
      </c>
      <c r="AC725" s="76" t="s">
        <v>4306</v>
      </c>
      <c r="AD725" s="98" t="s">
        <v>4452</v>
      </c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</row>
    <row r="726">
      <c r="A726" s="74"/>
      <c r="B726" s="74"/>
      <c r="C726" s="74"/>
      <c r="D726" s="75" t="b">
        <v>0</v>
      </c>
      <c r="E726" s="74"/>
      <c r="F726" s="74"/>
      <c r="G726" s="74"/>
      <c r="H726" s="74"/>
      <c r="I726" s="76" t="s">
        <v>4049</v>
      </c>
      <c r="J726" s="76" t="s">
        <v>4453</v>
      </c>
      <c r="K726" s="75" t="s">
        <v>4120</v>
      </c>
      <c r="L726" s="76" t="s">
        <v>4201</v>
      </c>
      <c r="M726" s="76" t="s">
        <v>4454</v>
      </c>
      <c r="N726" s="76" t="s">
        <v>4455</v>
      </c>
      <c r="O726" s="76" t="s">
        <v>4456</v>
      </c>
      <c r="P726" s="76">
        <v>10.0</v>
      </c>
      <c r="Q726" s="74"/>
      <c r="R726" s="74"/>
      <c r="S726" s="74"/>
      <c r="T726" s="74"/>
      <c r="U726" s="74"/>
      <c r="V726" s="74"/>
      <c r="W726" s="76">
        <v>2014.0</v>
      </c>
      <c r="X726" s="76" t="s">
        <v>4457</v>
      </c>
      <c r="Y726" s="76" t="s">
        <v>4458</v>
      </c>
      <c r="Z726" s="76"/>
      <c r="AA726" s="98" t="s">
        <v>4459</v>
      </c>
      <c r="AB726" s="98" t="s">
        <v>4460</v>
      </c>
      <c r="AC726" s="76" t="s">
        <v>4306</v>
      </c>
      <c r="AD726" s="98" t="s">
        <v>4461</v>
      </c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</row>
    <row r="727">
      <c r="A727" s="74"/>
      <c r="B727" s="74"/>
      <c r="C727" s="74"/>
      <c r="D727" s="75" t="b">
        <v>0</v>
      </c>
      <c r="E727" s="74"/>
      <c r="F727" s="74"/>
      <c r="G727" s="74"/>
      <c r="H727" s="74"/>
      <c r="I727" s="76" t="s">
        <v>4049</v>
      </c>
      <c r="J727" s="76" t="s">
        <v>4462</v>
      </c>
      <c r="K727" s="75" t="s">
        <v>4120</v>
      </c>
      <c r="L727" s="76" t="s">
        <v>4201</v>
      </c>
      <c r="M727" s="76" t="s">
        <v>4463</v>
      </c>
      <c r="N727" s="76" t="s">
        <v>76</v>
      </c>
      <c r="O727" s="76" t="s">
        <v>76</v>
      </c>
      <c r="P727" s="76">
        <v>45.0</v>
      </c>
      <c r="Q727" s="74"/>
      <c r="R727" s="74"/>
      <c r="S727" s="74"/>
      <c r="T727" s="74"/>
      <c r="U727" s="74"/>
      <c r="V727" s="74"/>
      <c r="W727" s="76">
        <v>2019.0</v>
      </c>
      <c r="X727" s="76" t="s">
        <v>343</v>
      </c>
      <c r="Y727" s="76" t="s">
        <v>4464</v>
      </c>
      <c r="Z727" s="76"/>
      <c r="AA727" s="98" t="s">
        <v>4465</v>
      </c>
      <c r="AB727" s="98" t="s">
        <v>4466</v>
      </c>
      <c r="AC727" s="76" t="s">
        <v>4306</v>
      </c>
      <c r="AD727" s="98" t="s">
        <v>4467</v>
      </c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</row>
    <row r="728">
      <c r="A728" s="74"/>
      <c r="B728" s="74"/>
      <c r="C728" s="74"/>
      <c r="D728" s="75" t="b">
        <v>0</v>
      </c>
      <c r="E728" s="74"/>
      <c r="F728" s="74"/>
      <c r="G728" s="74"/>
      <c r="H728" s="74"/>
      <c r="I728" s="76" t="s">
        <v>4049</v>
      </c>
      <c r="J728" s="76" t="s">
        <v>4468</v>
      </c>
      <c r="K728" s="75" t="s">
        <v>4120</v>
      </c>
      <c r="L728" s="76" t="s">
        <v>4201</v>
      </c>
      <c r="M728" s="76" t="s">
        <v>4280</v>
      </c>
      <c r="N728" s="76" t="s">
        <v>76</v>
      </c>
      <c r="O728" s="76" t="s">
        <v>76</v>
      </c>
      <c r="P728" s="76">
        <v>439.0</v>
      </c>
      <c r="Q728" s="74"/>
      <c r="R728" s="74"/>
      <c r="S728" s="74"/>
      <c r="T728" s="74"/>
      <c r="U728" s="74"/>
      <c r="V728" s="74"/>
      <c r="W728" s="76">
        <v>2024.0</v>
      </c>
      <c r="X728" s="76" t="s">
        <v>343</v>
      </c>
      <c r="Y728" s="76" t="s">
        <v>495</v>
      </c>
      <c r="Z728" s="76"/>
      <c r="AA728" s="98" t="s">
        <v>4469</v>
      </c>
      <c r="AB728" s="98" t="s">
        <v>4470</v>
      </c>
      <c r="AC728" s="98" t="s">
        <v>4471</v>
      </c>
      <c r="AD728" s="98" t="s">
        <v>4470</v>
      </c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</row>
    <row r="729">
      <c r="A729" s="74"/>
      <c r="B729" s="74"/>
      <c r="C729" s="74"/>
      <c r="D729" s="75" t="b">
        <v>0</v>
      </c>
      <c r="E729" s="74"/>
      <c r="F729" s="74"/>
      <c r="G729" s="74"/>
      <c r="H729" s="74"/>
      <c r="I729" s="76" t="s">
        <v>4049</v>
      </c>
      <c r="J729" s="76" t="s">
        <v>4472</v>
      </c>
      <c r="K729" s="75" t="s">
        <v>4120</v>
      </c>
      <c r="L729" s="76" t="s">
        <v>4201</v>
      </c>
      <c r="M729" s="76" t="s">
        <v>4473</v>
      </c>
      <c r="N729" s="76" t="s">
        <v>2345</v>
      </c>
      <c r="O729" s="76" t="s">
        <v>215</v>
      </c>
      <c r="P729" s="76" t="s">
        <v>4474</v>
      </c>
      <c r="Q729" s="74"/>
      <c r="R729" s="76" t="s">
        <v>4475</v>
      </c>
      <c r="S729" s="74"/>
      <c r="T729" s="74"/>
      <c r="U729" s="74"/>
      <c r="V729" s="74"/>
      <c r="W729" s="76">
        <v>2020.0</v>
      </c>
      <c r="X729" s="76" t="s">
        <v>4457</v>
      </c>
      <c r="Y729" s="76" t="s">
        <v>332</v>
      </c>
      <c r="Z729" s="76"/>
      <c r="AA729" s="98" t="s">
        <v>4476</v>
      </c>
      <c r="AB729" s="98" t="s">
        <v>4477</v>
      </c>
      <c r="AC729" s="76" t="s">
        <v>750</v>
      </c>
      <c r="AD729" s="98" t="s">
        <v>4477</v>
      </c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</row>
    <row r="730">
      <c r="D730" s="4" t="b">
        <v>1</v>
      </c>
      <c r="E730" s="2" t="s">
        <v>4478</v>
      </c>
      <c r="J730" s="2" t="s">
        <v>4479</v>
      </c>
      <c r="K730" s="4" t="s">
        <v>4120</v>
      </c>
      <c r="L730" s="2" t="s">
        <v>4201</v>
      </c>
      <c r="M730" s="2" t="s">
        <v>4480</v>
      </c>
      <c r="N730" s="2" t="s">
        <v>4481</v>
      </c>
      <c r="O730" s="2" t="s">
        <v>4482</v>
      </c>
      <c r="P730" s="2" t="s">
        <v>4474</v>
      </c>
      <c r="R730" s="2" t="s">
        <v>4475</v>
      </c>
      <c r="W730" s="2">
        <v>2014.0</v>
      </c>
      <c r="X730" s="2" t="s">
        <v>331</v>
      </c>
      <c r="Y730" s="2" t="s">
        <v>332</v>
      </c>
      <c r="Z730" s="2"/>
      <c r="AA730" s="15" t="s">
        <v>4483</v>
      </c>
      <c r="AB730" s="15" t="s">
        <v>4484</v>
      </c>
      <c r="AC730" s="2" t="s">
        <v>2378</v>
      </c>
      <c r="AD730" s="15" t="s">
        <v>4485</v>
      </c>
      <c r="AE730" s="15" t="s">
        <v>4486</v>
      </c>
    </row>
    <row r="731">
      <c r="A731" s="22"/>
      <c r="B731" s="22"/>
      <c r="C731" s="22"/>
      <c r="D731" s="25" t="b">
        <v>0</v>
      </c>
      <c r="E731" s="22"/>
      <c r="F731" s="22"/>
      <c r="G731" s="25" t="b">
        <v>1</v>
      </c>
      <c r="H731" s="22"/>
      <c r="I731" s="22"/>
      <c r="J731" s="23" t="s">
        <v>4487</v>
      </c>
      <c r="K731" s="25" t="s">
        <v>4120</v>
      </c>
      <c r="L731" s="23" t="s">
        <v>4201</v>
      </c>
      <c r="M731" s="23" t="s">
        <v>4488</v>
      </c>
      <c r="N731" s="23" t="s">
        <v>76</v>
      </c>
      <c r="O731" s="23" t="s">
        <v>4489</v>
      </c>
      <c r="P731" s="22"/>
      <c r="Q731" s="22"/>
      <c r="R731" s="23" t="s">
        <v>4490</v>
      </c>
      <c r="S731" s="23" t="s">
        <v>4491</v>
      </c>
      <c r="T731" s="22"/>
      <c r="U731" s="22"/>
      <c r="V731" s="22"/>
      <c r="W731" s="23">
        <v>2014.0</v>
      </c>
      <c r="X731" s="23" t="s">
        <v>331</v>
      </c>
      <c r="Y731" s="23" t="s">
        <v>2431</v>
      </c>
      <c r="Z731" s="23"/>
      <c r="AA731" s="28" t="s">
        <v>4492</v>
      </c>
      <c r="AB731" s="28" t="s">
        <v>4493</v>
      </c>
      <c r="AC731" s="23" t="s">
        <v>346</v>
      </c>
      <c r="AD731" s="28" t="s">
        <v>4494</v>
      </c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</row>
    <row r="732">
      <c r="A732" s="17"/>
      <c r="B732" s="17"/>
      <c r="C732" s="17"/>
      <c r="D732" s="19" t="b">
        <v>1</v>
      </c>
      <c r="E732" s="18" t="s">
        <v>4495</v>
      </c>
      <c r="F732" s="17"/>
      <c r="G732" s="17"/>
      <c r="H732" s="17"/>
      <c r="I732" s="17"/>
      <c r="J732" s="18" t="s">
        <v>4496</v>
      </c>
      <c r="K732" s="19" t="s">
        <v>4120</v>
      </c>
      <c r="L732" s="18" t="s">
        <v>4201</v>
      </c>
      <c r="M732" s="18" t="s">
        <v>4497</v>
      </c>
      <c r="N732" s="18" t="s">
        <v>34</v>
      </c>
      <c r="O732" s="18" t="s">
        <v>167</v>
      </c>
      <c r="P732" s="18">
        <v>1794.0</v>
      </c>
      <c r="Q732" s="17"/>
      <c r="R732" s="18" t="s">
        <v>4490</v>
      </c>
      <c r="S732" s="18" t="s">
        <v>4491</v>
      </c>
      <c r="T732" s="17"/>
      <c r="U732" s="17"/>
      <c r="V732" s="17"/>
      <c r="W732" s="18">
        <v>2021.0</v>
      </c>
      <c r="X732" s="18" t="s">
        <v>331</v>
      </c>
      <c r="Y732" s="18" t="s">
        <v>332</v>
      </c>
      <c r="Z732" s="18"/>
      <c r="AA732" s="20" t="s">
        <v>4498</v>
      </c>
      <c r="AB732" s="20" t="s">
        <v>4499</v>
      </c>
      <c r="AC732" s="18" t="s">
        <v>4500</v>
      </c>
      <c r="AD732" s="20" t="s">
        <v>4499</v>
      </c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</row>
    <row r="733">
      <c r="A733" s="22"/>
      <c r="B733" s="22"/>
      <c r="C733" s="22"/>
      <c r="D733" s="25" t="b">
        <v>1</v>
      </c>
      <c r="E733" s="23" t="s">
        <v>4501</v>
      </c>
      <c r="F733" s="25" t="b">
        <v>1</v>
      </c>
      <c r="G733" s="22"/>
      <c r="H733" s="22"/>
      <c r="I733" s="23" t="s">
        <v>4502</v>
      </c>
      <c r="J733" s="23" t="s">
        <v>4503</v>
      </c>
      <c r="K733" s="25" t="s">
        <v>4120</v>
      </c>
      <c r="L733" s="23" t="s">
        <v>4201</v>
      </c>
      <c r="M733" s="23" t="s">
        <v>4425</v>
      </c>
      <c r="N733" s="23" t="s">
        <v>76</v>
      </c>
      <c r="O733" s="23" t="s">
        <v>4504</v>
      </c>
      <c r="P733" s="23">
        <v>48.0</v>
      </c>
      <c r="Q733" s="22"/>
      <c r="R733" s="23" t="s">
        <v>63</v>
      </c>
      <c r="S733" s="22"/>
      <c r="T733" s="22"/>
      <c r="U733" s="22"/>
      <c r="V733" s="22"/>
      <c r="W733" s="23">
        <v>2012.0</v>
      </c>
      <c r="X733" s="23" t="s">
        <v>343</v>
      </c>
      <c r="Y733" s="23" t="s">
        <v>332</v>
      </c>
      <c r="Z733" s="23"/>
      <c r="AA733" s="28" t="s">
        <v>4505</v>
      </c>
      <c r="AB733" s="28" t="s">
        <v>4506</v>
      </c>
      <c r="AC733" s="23" t="s">
        <v>4507</v>
      </c>
      <c r="AD733" s="28" t="s">
        <v>4508</v>
      </c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</row>
    <row r="734">
      <c r="A734" s="22"/>
      <c r="B734" s="22"/>
      <c r="C734" s="22"/>
      <c r="D734" s="25" t="b">
        <v>0</v>
      </c>
      <c r="E734" s="22"/>
      <c r="F734" s="22"/>
      <c r="G734" s="25" t="b">
        <v>1</v>
      </c>
      <c r="H734" s="22"/>
      <c r="I734" s="22"/>
      <c r="J734" s="23" t="s">
        <v>4509</v>
      </c>
      <c r="K734" s="25" t="s">
        <v>4120</v>
      </c>
      <c r="L734" s="23" t="s">
        <v>4201</v>
      </c>
      <c r="M734" s="23" t="s">
        <v>4425</v>
      </c>
      <c r="N734" s="23" t="s">
        <v>76</v>
      </c>
      <c r="O734" s="23" t="s">
        <v>4510</v>
      </c>
      <c r="P734" s="23">
        <v>45.0</v>
      </c>
      <c r="Q734" s="22"/>
      <c r="R734" s="23" t="s">
        <v>63</v>
      </c>
      <c r="S734" s="22"/>
      <c r="T734" s="23">
        <v>2.7</v>
      </c>
      <c r="U734" s="22"/>
      <c r="V734" s="22"/>
      <c r="W734" s="23">
        <v>2009.0</v>
      </c>
      <c r="X734" s="23" t="s">
        <v>343</v>
      </c>
      <c r="Y734" s="23" t="s">
        <v>2323</v>
      </c>
      <c r="Z734" s="23"/>
      <c r="AA734" s="28" t="s">
        <v>4511</v>
      </c>
      <c r="AB734" s="28" t="s">
        <v>4512</v>
      </c>
      <c r="AC734" s="23" t="s">
        <v>4513</v>
      </c>
      <c r="AD734" s="28" t="s">
        <v>4512</v>
      </c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</row>
    <row r="735">
      <c r="D735" s="4" t="b">
        <v>1</v>
      </c>
      <c r="E735" s="2" t="s">
        <v>4514</v>
      </c>
      <c r="J735" s="2" t="s">
        <v>4515</v>
      </c>
      <c r="K735" s="4" t="s">
        <v>4120</v>
      </c>
      <c r="L735" s="2" t="s">
        <v>4201</v>
      </c>
      <c r="M735" s="2" t="s">
        <v>4425</v>
      </c>
      <c r="N735" s="2" t="s">
        <v>76</v>
      </c>
      <c r="O735" s="2" t="s">
        <v>4516</v>
      </c>
      <c r="P735" s="2">
        <v>15.0</v>
      </c>
      <c r="R735" s="2" t="s">
        <v>63</v>
      </c>
      <c r="T735" s="2">
        <v>2.7</v>
      </c>
      <c r="W735" s="2">
        <v>2015.0</v>
      </c>
      <c r="X735" s="2" t="s">
        <v>343</v>
      </c>
      <c r="Y735" s="2" t="s">
        <v>2323</v>
      </c>
      <c r="Z735" s="2"/>
      <c r="AA735" s="15" t="s">
        <v>4517</v>
      </c>
      <c r="AB735" s="15" t="s">
        <v>4518</v>
      </c>
      <c r="AC735" s="2" t="s">
        <v>4306</v>
      </c>
      <c r="AD735" s="15" t="s">
        <v>4518</v>
      </c>
    </row>
    <row r="736">
      <c r="A736" s="22"/>
      <c r="B736" s="22"/>
      <c r="C736" s="22"/>
      <c r="D736" s="25" t="b">
        <v>0</v>
      </c>
      <c r="E736" s="22"/>
      <c r="F736" s="22"/>
      <c r="G736" s="22"/>
      <c r="H736" s="22"/>
      <c r="I736" s="23" t="s">
        <v>4049</v>
      </c>
      <c r="J736" s="23" t="s">
        <v>4519</v>
      </c>
      <c r="K736" s="25" t="s">
        <v>4120</v>
      </c>
      <c r="L736" s="23" t="s">
        <v>4201</v>
      </c>
      <c r="M736" s="23" t="s">
        <v>4425</v>
      </c>
      <c r="N736" s="23" t="s">
        <v>4520</v>
      </c>
      <c r="O736" s="23" t="s">
        <v>4521</v>
      </c>
      <c r="P736" s="23">
        <v>15.0</v>
      </c>
      <c r="Q736" s="22"/>
      <c r="R736" s="23" t="s">
        <v>63</v>
      </c>
      <c r="S736" s="22"/>
      <c r="T736" s="22"/>
      <c r="U736" s="22"/>
      <c r="V736" s="22"/>
      <c r="W736" s="23">
        <v>2016.0</v>
      </c>
      <c r="X736" s="23" t="s">
        <v>343</v>
      </c>
      <c r="Y736" s="23" t="s">
        <v>332</v>
      </c>
      <c r="Z736" s="23"/>
      <c r="AA736" s="28" t="s">
        <v>4522</v>
      </c>
      <c r="AB736" s="28" t="s">
        <v>4523</v>
      </c>
      <c r="AC736" s="23" t="s">
        <v>4306</v>
      </c>
      <c r="AD736" s="28" t="s">
        <v>4523</v>
      </c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</row>
    <row r="737">
      <c r="D737" s="4" t="b">
        <v>1</v>
      </c>
      <c r="E737" s="2" t="s">
        <v>4524</v>
      </c>
      <c r="J737" s="2" t="s">
        <v>4525</v>
      </c>
      <c r="K737" s="4" t="s">
        <v>4120</v>
      </c>
      <c r="L737" s="2" t="s">
        <v>4201</v>
      </c>
      <c r="M737" s="2" t="s">
        <v>235</v>
      </c>
      <c r="N737" s="2" t="s">
        <v>4526</v>
      </c>
      <c r="O737" s="2" t="s">
        <v>4527</v>
      </c>
      <c r="R737" s="2" t="s">
        <v>63</v>
      </c>
      <c r="W737" s="2">
        <v>2018.0</v>
      </c>
      <c r="X737" s="2" t="s">
        <v>331</v>
      </c>
      <c r="Y737" s="2" t="s">
        <v>332</v>
      </c>
      <c r="Z737" s="2"/>
      <c r="AA737" s="15" t="s">
        <v>4528</v>
      </c>
      <c r="AB737" s="15" t="s">
        <v>4529</v>
      </c>
      <c r="AC737" s="2" t="s">
        <v>105</v>
      </c>
      <c r="AD737" s="15" t="s">
        <v>4530</v>
      </c>
    </row>
    <row r="738">
      <c r="D738" s="4" t="b">
        <v>1</v>
      </c>
      <c r="E738" s="2" t="s">
        <v>4531</v>
      </c>
      <c r="J738" s="2" t="s">
        <v>4532</v>
      </c>
      <c r="K738" s="4" t="s">
        <v>4120</v>
      </c>
      <c r="L738" s="2" t="s">
        <v>4201</v>
      </c>
      <c r="M738" s="2" t="s">
        <v>235</v>
      </c>
      <c r="N738" s="2" t="s">
        <v>76</v>
      </c>
      <c r="O738" s="2" t="s">
        <v>4527</v>
      </c>
      <c r="W738" s="2">
        <v>2018.0</v>
      </c>
      <c r="X738" s="2" t="s">
        <v>343</v>
      </c>
      <c r="Z738" s="2"/>
      <c r="AA738" s="15" t="s">
        <v>4533</v>
      </c>
      <c r="AB738" s="15" t="s">
        <v>4533</v>
      </c>
      <c r="AC738" s="2" t="s">
        <v>4534</v>
      </c>
      <c r="AD738" s="15" t="s">
        <v>4533</v>
      </c>
    </row>
    <row r="739">
      <c r="A739" s="17"/>
      <c r="B739" s="17"/>
      <c r="C739" s="17"/>
      <c r="D739" s="19" t="b">
        <v>1</v>
      </c>
      <c r="E739" s="18" t="s">
        <v>4535</v>
      </c>
      <c r="F739" s="17"/>
      <c r="G739" s="17"/>
      <c r="H739" s="17"/>
      <c r="I739" s="17"/>
      <c r="J739" s="18" t="s">
        <v>4536</v>
      </c>
      <c r="K739" s="19" t="s">
        <v>4120</v>
      </c>
      <c r="L739" s="18" t="s">
        <v>4201</v>
      </c>
      <c r="M739" s="18" t="s">
        <v>3464</v>
      </c>
      <c r="N739" s="18" t="s">
        <v>485</v>
      </c>
      <c r="O739" s="17"/>
      <c r="P739" s="17"/>
      <c r="Q739" s="17"/>
      <c r="R739" s="18" t="s">
        <v>3465</v>
      </c>
      <c r="S739" s="17"/>
      <c r="T739" s="17"/>
      <c r="U739" s="17"/>
      <c r="V739" s="17"/>
      <c r="W739" s="17"/>
      <c r="X739" s="18" t="s">
        <v>3466</v>
      </c>
      <c r="Y739" s="18" t="s">
        <v>332</v>
      </c>
      <c r="Z739" s="18"/>
      <c r="AA739" s="20" t="s">
        <v>4537</v>
      </c>
      <c r="AB739" s="20" t="s">
        <v>4538</v>
      </c>
      <c r="AC739" s="18" t="s">
        <v>105</v>
      </c>
      <c r="AD739" s="20" t="s">
        <v>4539</v>
      </c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</row>
    <row r="740">
      <c r="A740" s="17"/>
      <c r="B740" s="17"/>
      <c r="C740" s="17"/>
      <c r="D740" s="19" t="b">
        <v>1</v>
      </c>
      <c r="E740" s="19" t="s">
        <v>4540</v>
      </c>
      <c r="F740" s="52"/>
      <c r="G740" s="52"/>
      <c r="H740" s="52"/>
      <c r="I740" s="52"/>
      <c r="J740" s="18" t="s">
        <v>4541</v>
      </c>
      <c r="K740" s="18" t="s">
        <v>3491</v>
      </c>
      <c r="L740" s="18"/>
      <c r="M740" s="18" t="s">
        <v>4542</v>
      </c>
      <c r="N740" s="19" t="s">
        <v>34</v>
      </c>
      <c r="O740" s="19" t="s">
        <v>167</v>
      </c>
      <c r="P740" s="19" t="s">
        <v>4543</v>
      </c>
      <c r="Q740" s="19"/>
      <c r="R740" s="19" t="s">
        <v>4544</v>
      </c>
      <c r="S740" s="52"/>
      <c r="T740" s="18">
        <v>46.0</v>
      </c>
      <c r="U740" s="18"/>
      <c r="V740" s="18"/>
      <c r="W740" s="19"/>
      <c r="X740" s="19"/>
      <c r="Y740" s="19"/>
      <c r="Z740" s="53"/>
      <c r="AA740" s="53" t="s">
        <v>4545</v>
      </c>
      <c r="AB740" s="20" t="s">
        <v>4546</v>
      </c>
      <c r="AC740" s="18" t="s">
        <v>334</v>
      </c>
      <c r="AD740" s="20" t="s">
        <v>4546</v>
      </c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</row>
    <row r="741">
      <c r="D741" s="4" t="b">
        <v>1</v>
      </c>
      <c r="E741" s="4" t="s">
        <v>4547</v>
      </c>
      <c r="F741" s="16"/>
      <c r="G741" s="16"/>
      <c r="H741" s="16"/>
      <c r="I741" s="16"/>
      <c r="J741" s="16" t="s">
        <v>4548</v>
      </c>
      <c r="K741" s="2" t="s">
        <v>3491</v>
      </c>
      <c r="L741" s="16" t="s">
        <v>4549</v>
      </c>
      <c r="M741" s="16" t="s">
        <v>469</v>
      </c>
      <c r="N741" s="16" t="s">
        <v>34</v>
      </c>
      <c r="O741" s="4" t="s">
        <v>167</v>
      </c>
      <c r="P741" s="31">
        <v>917.0</v>
      </c>
      <c r="Q741" s="16"/>
      <c r="R741" s="16" t="s">
        <v>3294</v>
      </c>
      <c r="S741" s="16" t="s">
        <v>4550</v>
      </c>
      <c r="T741" s="2" t="s">
        <v>4551</v>
      </c>
      <c r="U741" s="2"/>
      <c r="V741" s="2"/>
      <c r="W741" s="31">
        <v>2003.0</v>
      </c>
      <c r="X741" s="31">
        <v>2.0</v>
      </c>
      <c r="Y741" s="64" t="s">
        <v>2347</v>
      </c>
      <c r="Z741" s="32"/>
      <c r="AA741" s="32" t="s">
        <v>4552</v>
      </c>
      <c r="AB741" s="32" t="s">
        <v>4553</v>
      </c>
      <c r="AC741" s="16"/>
      <c r="AD741" s="32" t="s">
        <v>4552</v>
      </c>
      <c r="AE741" s="16"/>
    </row>
    <row r="742">
      <c r="A742" s="22"/>
      <c r="B742" s="22"/>
      <c r="C742" s="22"/>
      <c r="D742" s="24" t="b">
        <v>0</v>
      </c>
      <c r="E742" s="24"/>
      <c r="F742" s="24"/>
      <c r="G742" s="24"/>
      <c r="H742" s="24"/>
      <c r="I742" s="23" t="s">
        <v>4049</v>
      </c>
      <c r="J742" s="24" t="s">
        <v>4554</v>
      </c>
      <c r="K742" s="23" t="s">
        <v>3491</v>
      </c>
      <c r="L742" s="24" t="s">
        <v>1160</v>
      </c>
      <c r="M742" s="24" t="s">
        <v>4555</v>
      </c>
      <c r="N742" s="24" t="s">
        <v>34</v>
      </c>
      <c r="O742" s="25" t="s">
        <v>167</v>
      </c>
      <c r="P742" s="29">
        <v>90.0</v>
      </c>
      <c r="Q742" s="24"/>
      <c r="R742" s="24" t="s">
        <v>45</v>
      </c>
      <c r="S742" s="24" t="s">
        <v>4556</v>
      </c>
      <c r="T742" s="23"/>
      <c r="U742" s="23"/>
      <c r="V742" s="23"/>
      <c r="W742" s="29">
        <v>2008.0</v>
      </c>
      <c r="X742" s="29">
        <v>2.0</v>
      </c>
      <c r="Y742" s="62" t="s">
        <v>4557</v>
      </c>
      <c r="Z742" s="63"/>
      <c r="AA742" s="63" t="s">
        <v>4558</v>
      </c>
      <c r="AB742" s="30" t="s">
        <v>4559</v>
      </c>
      <c r="AC742" s="24"/>
      <c r="AD742" s="30" t="s">
        <v>4560</v>
      </c>
      <c r="AE742" s="24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</row>
    <row r="743">
      <c r="D743" s="4" t="b">
        <v>1</v>
      </c>
      <c r="E743" s="4" t="s">
        <v>4561</v>
      </c>
      <c r="F743" s="16"/>
      <c r="G743" s="16"/>
      <c r="H743" s="16"/>
      <c r="I743" s="16"/>
      <c r="J743" s="16" t="s">
        <v>4562</v>
      </c>
      <c r="K743" s="2" t="s">
        <v>3491</v>
      </c>
      <c r="L743" s="16" t="s">
        <v>4563</v>
      </c>
      <c r="M743" s="16" t="s">
        <v>4564</v>
      </c>
      <c r="N743" s="16" t="s">
        <v>34</v>
      </c>
      <c r="O743" s="4" t="s">
        <v>167</v>
      </c>
      <c r="P743" s="31">
        <v>374.0</v>
      </c>
      <c r="Q743" s="16"/>
      <c r="R743" s="16" t="s">
        <v>2888</v>
      </c>
      <c r="S743" s="16" t="s">
        <v>4565</v>
      </c>
      <c r="T743" s="2">
        <v>1.44</v>
      </c>
      <c r="U743" s="2" t="s">
        <v>1151</v>
      </c>
      <c r="V743" s="2" t="s">
        <v>1151</v>
      </c>
      <c r="W743" s="31">
        <v>2010.0</v>
      </c>
      <c r="X743" s="31">
        <v>2.0</v>
      </c>
      <c r="Y743" s="31"/>
      <c r="Z743" s="32"/>
      <c r="AA743" s="32" t="s">
        <v>4566</v>
      </c>
      <c r="AB743" s="32" t="s">
        <v>4567</v>
      </c>
      <c r="AC743" s="4" t="s">
        <v>105</v>
      </c>
      <c r="AD743" s="32" t="s">
        <v>4568</v>
      </c>
      <c r="AE743" s="16"/>
    </row>
    <row r="744">
      <c r="A744" s="22"/>
      <c r="B744" s="22"/>
      <c r="C744" s="22"/>
      <c r="D744" s="24" t="b">
        <v>0</v>
      </c>
      <c r="E744" s="24"/>
      <c r="F744" s="24"/>
      <c r="G744" s="25" t="b">
        <v>1</v>
      </c>
      <c r="H744" s="24"/>
      <c r="I744" s="24"/>
      <c r="J744" s="24" t="s">
        <v>4569</v>
      </c>
      <c r="K744" s="23" t="s">
        <v>3491</v>
      </c>
      <c r="L744" s="24" t="s">
        <v>1160</v>
      </c>
      <c r="M744" s="24" t="s">
        <v>4555</v>
      </c>
      <c r="N744" s="24" t="s">
        <v>34</v>
      </c>
      <c r="O744" s="25" t="s">
        <v>167</v>
      </c>
      <c r="P744" s="29">
        <v>30.0</v>
      </c>
      <c r="Q744" s="24"/>
      <c r="R744" s="24" t="s">
        <v>2888</v>
      </c>
      <c r="S744" s="24" t="s">
        <v>4570</v>
      </c>
      <c r="T744" s="22"/>
      <c r="U744" s="23"/>
      <c r="V744" s="23"/>
      <c r="W744" s="29">
        <v>2011.0</v>
      </c>
      <c r="X744" s="29">
        <v>2.0</v>
      </c>
      <c r="Y744" s="29"/>
      <c r="Z744" s="30"/>
      <c r="AA744" s="30" t="s">
        <v>4571</v>
      </c>
      <c r="AB744" s="30" t="s">
        <v>4572</v>
      </c>
      <c r="AC744" s="24"/>
      <c r="AD744" s="30" t="s">
        <v>4571</v>
      </c>
      <c r="AE744" s="24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</row>
    <row r="745">
      <c r="D745" s="4" t="b">
        <v>1</v>
      </c>
      <c r="E745" s="4" t="s">
        <v>4573</v>
      </c>
      <c r="F745" s="16"/>
      <c r="G745" s="16"/>
      <c r="H745" s="16"/>
      <c r="I745" s="16"/>
      <c r="J745" s="16" t="s">
        <v>4574</v>
      </c>
      <c r="K745" s="2" t="s">
        <v>3491</v>
      </c>
      <c r="L745" s="16" t="s">
        <v>4575</v>
      </c>
      <c r="M745" s="16" t="s">
        <v>4576</v>
      </c>
      <c r="N745" s="16" t="s">
        <v>76</v>
      </c>
      <c r="O745" s="2" t="s">
        <v>77</v>
      </c>
      <c r="P745" s="31">
        <v>945.0</v>
      </c>
      <c r="Q745" s="16"/>
      <c r="R745" s="16" t="s">
        <v>4577</v>
      </c>
      <c r="S745" s="16" t="s">
        <v>64</v>
      </c>
      <c r="T745" s="2"/>
      <c r="U745" s="2"/>
      <c r="V745" s="2"/>
      <c r="W745" s="31">
        <v>2014.0</v>
      </c>
      <c r="X745" s="31">
        <v>2.0</v>
      </c>
      <c r="Y745" s="31"/>
      <c r="Z745" s="32"/>
      <c r="AA745" s="32" t="s">
        <v>4578</v>
      </c>
      <c r="AB745" s="32" t="s">
        <v>4579</v>
      </c>
      <c r="AC745" s="16"/>
      <c r="AD745" s="32" t="s">
        <v>4578</v>
      </c>
      <c r="AE745" s="16"/>
    </row>
    <row r="746">
      <c r="D746" s="4" t="b">
        <v>1</v>
      </c>
      <c r="E746" s="4" t="s">
        <v>4580</v>
      </c>
      <c r="F746" s="4"/>
      <c r="G746" s="4"/>
      <c r="H746" s="4"/>
      <c r="I746" s="4"/>
      <c r="J746" s="16" t="s">
        <v>4581</v>
      </c>
      <c r="K746" s="2" t="s">
        <v>3491</v>
      </c>
      <c r="L746" s="16" t="s">
        <v>1516</v>
      </c>
      <c r="M746" s="16" t="s">
        <v>3491</v>
      </c>
      <c r="N746" s="16" t="s">
        <v>34</v>
      </c>
      <c r="O746" s="4" t="s">
        <v>167</v>
      </c>
      <c r="P746" s="16" t="s">
        <v>4582</v>
      </c>
      <c r="Q746" s="16"/>
      <c r="R746" s="16" t="s">
        <v>2888</v>
      </c>
      <c r="S746" s="16" t="s">
        <v>4583</v>
      </c>
      <c r="T746" s="2">
        <v>3.15</v>
      </c>
      <c r="U746" s="2"/>
      <c r="V746" s="2"/>
      <c r="W746" s="31">
        <v>2016.0</v>
      </c>
      <c r="X746" s="31">
        <v>2.0</v>
      </c>
      <c r="Y746" s="31"/>
      <c r="Z746" s="32"/>
      <c r="AA746" s="32" t="s">
        <v>4584</v>
      </c>
      <c r="AB746" s="32" t="s">
        <v>4585</v>
      </c>
      <c r="AC746" s="16"/>
      <c r="AD746" s="32" t="s">
        <v>4586</v>
      </c>
      <c r="AE746" s="16"/>
    </row>
    <row r="747">
      <c r="D747" s="4" t="b">
        <v>1</v>
      </c>
      <c r="E747" s="4" t="s">
        <v>4587</v>
      </c>
      <c r="F747" s="16"/>
      <c r="G747" s="16"/>
      <c r="H747" s="16"/>
      <c r="I747" s="16"/>
      <c r="J747" s="16" t="s">
        <v>4588</v>
      </c>
      <c r="K747" s="2" t="s">
        <v>3491</v>
      </c>
      <c r="L747" s="16" t="s">
        <v>4589</v>
      </c>
      <c r="M747" s="16" t="s">
        <v>200</v>
      </c>
      <c r="N747" s="16" t="s">
        <v>76</v>
      </c>
      <c r="O747" s="2" t="s">
        <v>77</v>
      </c>
      <c r="P747" s="16" t="s">
        <v>4590</v>
      </c>
      <c r="Q747" s="16"/>
      <c r="R747" s="16" t="s">
        <v>3294</v>
      </c>
      <c r="S747" s="16" t="s">
        <v>4591</v>
      </c>
      <c r="T747" s="2">
        <v>0.181</v>
      </c>
      <c r="U747" s="2"/>
      <c r="V747" s="2"/>
      <c r="W747" s="31">
        <v>2017.0</v>
      </c>
      <c r="X747" s="31">
        <v>2.0</v>
      </c>
      <c r="Y747" s="31"/>
      <c r="Z747" s="32"/>
      <c r="AA747" s="65" t="s">
        <v>4592</v>
      </c>
      <c r="AB747" s="32" t="s">
        <v>4593</v>
      </c>
      <c r="AC747" s="16"/>
      <c r="AD747" s="65" t="s">
        <v>4592</v>
      </c>
      <c r="AE747" s="16"/>
    </row>
    <row r="748">
      <c r="D748" s="4" t="b">
        <v>1</v>
      </c>
      <c r="E748" s="4" t="s">
        <v>4594</v>
      </c>
      <c r="F748" s="16"/>
      <c r="G748" s="16"/>
      <c r="H748" s="16"/>
      <c r="I748" s="16"/>
      <c r="J748" s="16" t="s">
        <v>4595</v>
      </c>
      <c r="K748" s="2" t="s">
        <v>3491</v>
      </c>
      <c r="L748" s="16" t="s">
        <v>4596</v>
      </c>
      <c r="M748" s="16" t="s">
        <v>4555</v>
      </c>
      <c r="N748" s="16" t="s">
        <v>34</v>
      </c>
      <c r="O748" s="4" t="s">
        <v>167</v>
      </c>
      <c r="P748" s="31">
        <v>216.0</v>
      </c>
      <c r="Q748" s="16"/>
      <c r="R748" s="16" t="s">
        <v>3294</v>
      </c>
      <c r="S748" s="16" t="s">
        <v>4597</v>
      </c>
      <c r="T748" s="2"/>
      <c r="U748" s="2"/>
      <c r="V748" s="2"/>
      <c r="W748" s="31">
        <v>2017.0</v>
      </c>
      <c r="X748" s="31">
        <v>2.0</v>
      </c>
      <c r="Y748" s="31"/>
      <c r="Z748" s="32"/>
      <c r="AA748" s="32" t="s">
        <v>4598</v>
      </c>
      <c r="AB748" s="32" t="s">
        <v>4599</v>
      </c>
      <c r="AC748" s="16"/>
      <c r="AD748" s="32" t="s">
        <v>4600</v>
      </c>
      <c r="AE748" s="16"/>
    </row>
    <row r="749">
      <c r="D749" s="4" t="b">
        <v>1</v>
      </c>
      <c r="E749" s="4" t="s">
        <v>4601</v>
      </c>
      <c r="F749" s="16"/>
      <c r="G749" s="16"/>
      <c r="H749" s="16"/>
      <c r="I749" s="16"/>
      <c r="J749" s="16" t="s">
        <v>4602</v>
      </c>
      <c r="K749" s="2" t="s">
        <v>3491</v>
      </c>
      <c r="L749" s="16"/>
      <c r="M749" s="16" t="s">
        <v>301</v>
      </c>
      <c r="N749" s="16" t="s">
        <v>76</v>
      </c>
      <c r="O749" s="2" t="s">
        <v>77</v>
      </c>
      <c r="P749" s="16" t="s">
        <v>4603</v>
      </c>
      <c r="Q749" s="16"/>
      <c r="R749" s="16" t="s">
        <v>37</v>
      </c>
      <c r="S749" s="16" t="s">
        <v>4604</v>
      </c>
      <c r="T749" s="2"/>
      <c r="U749" s="2"/>
      <c r="V749" s="2"/>
      <c r="W749" s="31">
        <v>2017.0</v>
      </c>
      <c r="X749" s="31">
        <v>2.0</v>
      </c>
      <c r="Y749" s="31"/>
      <c r="Z749" s="32"/>
      <c r="AA749" s="32" t="s">
        <v>4605</v>
      </c>
      <c r="AB749" s="32" t="s">
        <v>4606</v>
      </c>
      <c r="AC749" s="16"/>
      <c r="AD749" s="32" t="s">
        <v>4607</v>
      </c>
      <c r="AE749" s="16"/>
    </row>
    <row r="750">
      <c r="D750" s="4" t="b">
        <v>1</v>
      </c>
      <c r="E750" s="2" t="s">
        <v>4608</v>
      </c>
      <c r="F750" s="2"/>
      <c r="G750" s="2"/>
      <c r="H750" s="2"/>
      <c r="I750" s="2"/>
      <c r="J750" s="16" t="s">
        <v>4609</v>
      </c>
      <c r="K750" s="2" t="s">
        <v>3491</v>
      </c>
      <c r="L750" s="16" t="s">
        <v>4610</v>
      </c>
      <c r="M750" s="16" t="s">
        <v>4611</v>
      </c>
      <c r="N750" s="16" t="s">
        <v>34</v>
      </c>
      <c r="O750" s="4" t="s">
        <v>167</v>
      </c>
      <c r="P750" s="31">
        <v>331.0</v>
      </c>
      <c r="Q750" s="16"/>
      <c r="R750" s="16" t="s">
        <v>37</v>
      </c>
      <c r="S750" s="16" t="s">
        <v>4612</v>
      </c>
      <c r="T750" s="2"/>
      <c r="U750" s="2"/>
      <c r="V750" s="2"/>
      <c r="W750" s="31">
        <v>2018.0</v>
      </c>
      <c r="X750" s="31">
        <v>2.0</v>
      </c>
      <c r="Y750" s="31"/>
      <c r="Z750" s="32"/>
      <c r="AA750" s="32" t="s">
        <v>4613</v>
      </c>
      <c r="AB750" s="32" t="s">
        <v>4614</v>
      </c>
      <c r="AC750" s="16"/>
      <c r="AD750" s="32" t="s">
        <v>4613</v>
      </c>
      <c r="AE750" s="16"/>
    </row>
    <row r="751">
      <c r="A751" s="11"/>
      <c r="B751" s="11"/>
      <c r="C751" s="11"/>
      <c r="D751" s="13" t="b">
        <v>1</v>
      </c>
      <c r="E751" s="12" t="s">
        <v>4615</v>
      </c>
      <c r="F751" s="12"/>
      <c r="G751" s="12"/>
      <c r="H751" s="12"/>
      <c r="I751" s="12"/>
      <c r="J751" s="35" t="s">
        <v>4616</v>
      </c>
      <c r="K751" s="12" t="s">
        <v>3491</v>
      </c>
      <c r="L751" s="35" t="s">
        <v>4617</v>
      </c>
      <c r="M751" s="35" t="s">
        <v>4618</v>
      </c>
      <c r="N751" s="35" t="s">
        <v>34</v>
      </c>
      <c r="O751" s="13" t="s">
        <v>167</v>
      </c>
      <c r="P751" s="36">
        <v>327680.0</v>
      </c>
      <c r="Q751" s="35"/>
      <c r="R751" s="35" t="s">
        <v>45</v>
      </c>
      <c r="S751" s="35" t="s">
        <v>4619</v>
      </c>
      <c r="T751" s="12">
        <v>7.7</v>
      </c>
      <c r="U751" s="12"/>
      <c r="V751" s="12"/>
      <c r="W751" s="36">
        <v>2018.0</v>
      </c>
      <c r="X751" s="36">
        <v>2.0</v>
      </c>
      <c r="Y751" s="36"/>
      <c r="Z751" s="37"/>
      <c r="AA751" s="37" t="s">
        <v>4620</v>
      </c>
      <c r="AB751" s="37" t="s">
        <v>4621</v>
      </c>
      <c r="AC751" s="35"/>
      <c r="AD751" s="37" t="s">
        <v>4622</v>
      </c>
      <c r="AE751" s="35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</row>
    <row r="752">
      <c r="D752" s="4" t="b">
        <v>1</v>
      </c>
      <c r="E752" s="2" t="s">
        <v>4623</v>
      </c>
      <c r="F752" s="2"/>
      <c r="G752" s="2"/>
      <c r="H752" s="2"/>
      <c r="I752" s="2"/>
      <c r="J752" s="16" t="s">
        <v>4624</v>
      </c>
      <c r="K752" s="2" t="s">
        <v>3491</v>
      </c>
      <c r="L752" s="16" t="s">
        <v>32</v>
      </c>
      <c r="M752" s="16" t="s">
        <v>4555</v>
      </c>
      <c r="N752" s="16" t="s">
        <v>34</v>
      </c>
      <c r="O752" s="4" t="s">
        <v>167</v>
      </c>
      <c r="P752" s="31">
        <v>400.0</v>
      </c>
      <c r="Q752" s="16"/>
      <c r="R752" s="16" t="s">
        <v>2888</v>
      </c>
      <c r="S752" s="16" t="s">
        <v>4625</v>
      </c>
      <c r="U752" s="2"/>
      <c r="V752" s="2" t="s">
        <v>3682</v>
      </c>
      <c r="W752" s="31">
        <v>2018.0</v>
      </c>
      <c r="X752" s="31">
        <v>2.0</v>
      </c>
      <c r="Y752" s="31"/>
      <c r="Z752" s="32"/>
      <c r="AA752" s="32" t="s">
        <v>4626</v>
      </c>
      <c r="AB752" s="32" t="s">
        <v>4627</v>
      </c>
      <c r="AC752" s="4" t="s">
        <v>105</v>
      </c>
      <c r="AD752" s="32" t="s">
        <v>4628</v>
      </c>
      <c r="AE752" s="67" t="s">
        <v>4629</v>
      </c>
    </row>
    <row r="753">
      <c r="D753" s="4" t="b">
        <v>1</v>
      </c>
      <c r="E753" s="2" t="s">
        <v>4623</v>
      </c>
      <c r="F753" s="2"/>
      <c r="G753" s="2"/>
      <c r="H753" s="2"/>
      <c r="I753" s="2"/>
      <c r="J753" s="16" t="s">
        <v>4630</v>
      </c>
      <c r="K753" s="2" t="s">
        <v>3491</v>
      </c>
      <c r="L753" s="16" t="s">
        <v>32</v>
      </c>
      <c r="M753" s="16" t="s">
        <v>4555</v>
      </c>
      <c r="N753" s="16" t="s">
        <v>76</v>
      </c>
      <c r="O753" s="2" t="s">
        <v>77</v>
      </c>
      <c r="P753" s="31">
        <v>30.0</v>
      </c>
      <c r="Q753" s="16"/>
      <c r="R753" s="16" t="s">
        <v>4631</v>
      </c>
      <c r="S753" s="16" t="s">
        <v>4632</v>
      </c>
      <c r="U753" s="2"/>
      <c r="V753" s="2"/>
      <c r="W753" s="31">
        <v>2018.0</v>
      </c>
      <c r="X753" s="31">
        <v>2.0</v>
      </c>
      <c r="Y753" s="31"/>
      <c r="Z753" s="32"/>
      <c r="AA753" s="32" t="s">
        <v>4626</v>
      </c>
      <c r="AB753" s="32" t="s">
        <v>4627</v>
      </c>
      <c r="AC753" s="4" t="s">
        <v>105</v>
      </c>
      <c r="AD753" s="32" t="s">
        <v>4628</v>
      </c>
      <c r="AE753" s="67" t="s">
        <v>4629</v>
      </c>
    </row>
    <row r="754">
      <c r="A754" s="74"/>
      <c r="B754" s="74"/>
      <c r="C754" s="74"/>
      <c r="D754" s="73" t="b">
        <v>0</v>
      </c>
      <c r="E754" s="76"/>
      <c r="F754" s="76"/>
      <c r="G754" s="76"/>
      <c r="H754" s="76"/>
      <c r="I754" s="76" t="s">
        <v>4049</v>
      </c>
      <c r="J754" s="73" t="s">
        <v>4633</v>
      </c>
      <c r="K754" s="76" t="s">
        <v>3491</v>
      </c>
      <c r="L754" s="73" t="s">
        <v>1382</v>
      </c>
      <c r="M754" s="73" t="s">
        <v>4634</v>
      </c>
      <c r="N754" s="73" t="s">
        <v>76</v>
      </c>
      <c r="O754" s="76" t="s">
        <v>77</v>
      </c>
      <c r="P754" s="77">
        <v>1698.0</v>
      </c>
      <c r="Q754" s="73"/>
      <c r="R754" s="73" t="s">
        <v>2888</v>
      </c>
      <c r="S754" s="73"/>
      <c r="T754" s="76"/>
      <c r="U754" s="76"/>
      <c r="V754" s="76"/>
      <c r="W754" s="77">
        <v>2019.0</v>
      </c>
      <c r="X754" s="77">
        <v>2.0</v>
      </c>
      <c r="Y754" s="77"/>
      <c r="Z754" s="78"/>
      <c r="AA754" s="78" t="s">
        <v>4558</v>
      </c>
      <c r="AB754" s="78" t="s">
        <v>4635</v>
      </c>
      <c r="AC754" s="73"/>
      <c r="AD754" s="78" t="s">
        <v>4558</v>
      </c>
      <c r="AE754" s="73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</row>
    <row r="755">
      <c r="A755" s="74"/>
      <c r="B755" s="74"/>
      <c r="C755" s="74"/>
      <c r="D755" s="73" t="b">
        <v>0</v>
      </c>
      <c r="E755" s="76"/>
      <c r="F755" s="76"/>
      <c r="G755" s="76"/>
      <c r="H755" s="76"/>
      <c r="I755" s="76" t="s">
        <v>4049</v>
      </c>
      <c r="J755" s="73" t="s">
        <v>4636</v>
      </c>
      <c r="K755" s="76" t="s">
        <v>3491</v>
      </c>
      <c r="L755" s="73" t="s">
        <v>4549</v>
      </c>
      <c r="M755" s="73" t="s">
        <v>4618</v>
      </c>
      <c r="N755" s="75" t="s">
        <v>4637</v>
      </c>
      <c r="O755" s="75" t="s">
        <v>167</v>
      </c>
      <c r="P755" s="77">
        <v>250.0</v>
      </c>
      <c r="Q755" s="73"/>
      <c r="R755" s="73" t="s">
        <v>37</v>
      </c>
      <c r="S755" s="73" t="s">
        <v>4638</v>
      </c>
      <c r="T755" s="74"/>
      <c r="U755" s="76"/>
      <c r="V755" s="76"/>
      <c r="W755" s="77">
        <v>2019.0</v>
      </c>
      <c r="X755" s="77">
        <v>2.0</v>
      </c>
      <c r="Y755" s="77"/>
      <c r="Z755" s="78"/>
      <c r="AA755" s="78" t="s">
        <v>4639</v>
      </c>
      <c r="AB755" s="78" t="s">
        <v>4640</v>
      </c>
      <c r="AC755" s="73"/>
      <c r="AD755" s="78" t="s">
        <v>4641</v>
      </c>
      <c r="AE755" s="73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</row>
    <row r="756">
      <c r="D756" s="4" t="b">
        <v>1</v>
      </c>
      <c r="E756" s="4" t="s">
        <v>4642</v>
      </c>
      <c r="J756" s="16" t="s">
        <v>4643</v>
      </c>
      <c r="K756" s="2" t="s">
        <v>3491</v>
      </c>
      <c r="L756" s="16" t="s">
        <v>4549</v>
      </c>
      <c r="M756" s="16" t="s">
        <v>4644</v>
      </c>
      <c r="N756" s="16" t="s">
        <v>34</v>
      </c>
      <c r="O756" s="4" t="s">
        <v>167</v>
      </c>
      <c r="P756" s="31">
        <v>1867.0</v>
      </c>
      <c r="Q756" s="16"/>
      <c r="R756" s="16" t="s">
        <v>3294</v>
      </c>
      <c r="S756" s="16" t="s">
        <v>4645</v>
      </c>
      <c r="T756" s="2"/>
      <c r="U756" s="2"/>
      <c r="V756" s="2"/>
      <c r="W756" s="31">
        <v>2019.0</v>
      </c>
      <c r="X756" s="31">
        <v>2.0</v>
      </c>
      <c r="Y756" s="31"/>
      <c r="Z756" s="32"/>
      <c r="AA756" s="32" t="s">
        <v>4646</v>
      </c>
      <c r="AB756" s="32" t="s">
        <v>4647</v>
      </c>
      <c r="AC756" s="16"/>
      <c r="AD756" s="32" t="s">
        <v>4648</v>
      </c>
      <c r="AE756" s="16"/>
    </row>
    <row r="757">
      <c r="A757" s="74"/>
      <c r="B757" s="74"/>
      <c r="C757" s="74"/>
      <c r="D757" s="73" t="b">
        <v>0</v>
      </c>
      <c r="E757" s="74"/>
      <c r="F757" s="74"/>
      <c r="G757" s="74"/>
      <c r="H757" s="74"/>
      <c r="I757" s="76" t="s">
        <v>4049</v>
      </c>
      <c r="J757" s="73" t="s">
        <v>4649</v>
      </c>
      <c r="K757" s="76" t="s">
        <v>3491</v>
      </c>
      <c r="L757" s="73" t="s">
        <v>4549</v>
      </c>
      <c r="M757" s="73" t="s">
        <v>200</v>
      </c>
      <c r="N757" s="73" t="s">
        <v>34</v>
      </c>
      <c r="O757" s="75" t="s">
        <v>167</v>
      </c>
      <c r="P757" s="73" t="s">
        <v>4650</v>
      </c>
      <c r="Q757" s="73"/>
      <c r="R757" s="73" t="s">
        <v>37</v>
      </c>
      <c r="S757" s="73" t="s">
        <v>4651</v>
      </c>
      <c r="T757" s="76"/>
      <c r="U757" s="76"/>
      <c r="V757" s="76"/>
      <c r="W757" s="77">
        <v>2019.0</v>
      </c>
      <c r="X757" s="77">
        <v>2.0</v>
      </c>
      <c r="Y757" s="77"/>
      <c r="Z757" s="75"/>
      <c r="AA757" s="114" t="s">
        <v>4652</v>
      </c>
      <c r="AB757" s="73"/>
      <c r="AC757" s="73"/>
      <c r="AD757" s="78" t="s">
        <v>4653</v>
      </c>
      <c r="AE757" s="73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</row>
    <row r="758">
      <c r="D758" s="4" t="b">
        <v>1</v>
      </c>
      <c r="E758" s="2" t="s">
        <v>4654</v>
      </c>
      <c r="J758" s="16" t="s">
        <v>4655</v>
      </c>
      <c r="K758" s="2" t="s">
        <v>3491</v>
      </c>
      <c r="L758" s="16" t="s">
        <v>4549</v>
      </c>
      <c r="M758" s="16" t="s">
        <v>4656</v>
      </c>
      <c r="N758" s="16" t="s">
        <v>4657</v>
      </c>
      <c r="O758" s="16"/>
      <c r="P758" s="31">
        <v>360.0</v>
      </c>
      <c r="Q758" s="16"/>
      <c r="R758" s="16" t="s">
        <v>45</v>
      </c>
      <c r="S758" s="16" t="s">
        <v>4658</v>
      </c>
      <c r="T758" s="2"/>
      <c r="U758" s="2"/>
      <c r="V758" s="2"/>
      <c r="W758" s="31">
        <v>2019.0</v>
      </c>
      <c r="X758" s="31">
        <v>2.0</v>
      </c>
      <c r="Y758" s="31"/>
      <c r="Z758" s="32"/>
      <c r="AA758" s="32" t="s">
        <v>4659</v>
      </c>
      <c r="AB758" s="32" t="s">
        <v>4660</v>
      </c>
      <c r="AC758" s="16"/>
      <c r="AD758" s="16" t="s">
        <v>4661</v>
      </c>
      <c r="AE758" s="16"/>
    </row>
    <row r="759">
      <c r="A759" s="11"/>
      <c r="B759" s="11"/>
      <c r="C759" s="11"/>
      <c r="D759" s="13" t="b">
        <v>1</v>
      </c>
      <c r="E759" s="12" t="s">
        <v>4662</v>
      </c>
      <c r="F759" s="11"/>
      <c r="G759" s="11"/>
      <c r="H759" s="11"/>
      <c r="I759" s="11"/>
      <c r="J759" s="35" t="s">
        <v>4663</v>
      </c>
      <c r="K759" s="12" t="s">
        <v>3491</v>
      </c>
      <c r="L759" s="35" t="s">
        <v>4563</v>
      </c>
      <c r="M759" s="35" t="s">
        <v>4664</v>
      </c>
      <c r="N759" s="35" t="s">
        <v>34</v>
      </c>
      <c r="O759" s="13" t="s">
        <v>167</v>
      </c>
      <c r="P759" s="36">
        <v>25000.0</v>
      </c>
      <c r="Q759" s="35"/>
      <c r="R759" s="35" t="s">
        <v>195</v>
      </c>
      <c r="S759" s="35" t="s">
        <v>4665</v>
      </c>
      <c r="T759" s="12">
        <v>1.85</v>
      </c>
      <c r="U759" s="12"/>
      <c r="V759" s="12"/>
      <c r="W759" s="36">
        <v>2020.0</v>
      </c>
      <c r="X759" s="36">
        <v>2.0</v>
      </c>
      <c r="Y759" s="36"/>
      <c r="Z759" s="37"/>
      <c r="AA759" s="37" t="s">
        <v>4666</v>
      </c>
      <c r="AB759" s="37" t="s">
        <v>4667</v>
      </c>
      <c r="AC759" s="35"/>
      <c r="AD759" s="37" t="s">
        <v>4666</v>
      </c>
      <c r="AE759" s="35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</row>
    <row r="760">
      <c r="D760" s="4" t="b">
        <v>1</v>
      </c>
      <c r="E760" s="2" t="s">
        <v>4668</v>
      </c>
      <c r="J760" s="16" t="s">
        <v>4669</v>
      </c>
      <c r="K760" s="2" t="s">
        <v>3491</v>
      </c>
      <c r="L760" s="16"/>
      <c r="M760" s="16" t="s">
        <v>200</v>
      </c>
      <c r="N760" s="16" t="s">
        <v>76</v>
      </c>
      <c r="O760" s="2" t="s">
        <v>77</v>
      </c>
      <c r="P760" s="31">
        <v>7904.0</v>
      </c>
      <c r="Q760" s="16"/>
      <c r="R760" s="16" t="s">
        <v>4670</v>
      </c>
      <c r="S760" s="16" t="s">
        <v>2889</v>
      </c>
      <c r="T760" s="2"/>
      <c r="U760" s="2"/>
      <c r="V760" s="2"/>
      <c r="W760" s="31">
        <v>2020.0</v>
      </c>
      <c r="X760" s="31">
        <v>2.0</v>
      </c>
      <c r="Y760" s="31"/>
      <c r="Z760" s="32"/>
      <c r="AA760" s="65" t="s">
        <v>4671</v>
      </c>
      <c r="AB760" s="32" t="s">
        <v>4672</v>
      </c>
      <c r="AC760" s="16"/>
      <c r="AD760" s="32" t="s">
        <v>4673</v>
      </c>
      <c r="AE760" s="16"/>
    </row>
    <row r="761">
      <c r="D761" s="4" t="b">
        <v>1</v>
      </c>
      <c r="E761" s="2" t="s">
        <v>4674</v>
      </c>
      <c r="J761" s="16" t="s">
        <v>4675</v>
      </c>
      <c r="K761" s="2" t="s">
        <v>3491</v>
      </c>
      <c r="L761" s="16" t="s">
        <v>32</v>
      </c>
      <c r="M761" s="16" t="s">
        <v>469</v>
      </c>
      <c r="N761" s="4" t="s">
        <v>4520</v>
      </c>
      <c r="O761" s="4" t="s">
        <v>167</v>
      </c>
      <c r="P761" s="31">
        <v>481.0</v>
      </c>
      <c r="Q761" s="16"/>
      <c r="R761" s="16" t="s">
        <v>173</v>
      </c>
      <c r="S761" s="16" t="s">
        <v>4676</v>
      </c>
      <c r="T761" s="2"/>
      <c r="U761" s="2"/>
      <c r="V761" s="2"/>
      <c r="W761" s="31">
        <v>2020.0</v>
      </c>
      <c r="X761" s="31">
        <v>2.0</v>
      </c>
      <c r="Y761" s="31"/>
      <c r="Z761" s="32"/>
      <c r="AA761" s="32" t="s">
        <v>4677</v>
      </c>
      <c r="AB761" s="32" t="s">
        <v>4678</v>
      </c>
      <c r="AC761" s="16"/>
      <c r="AD761" s="32" t="s">
        <v>4679</v>
      </c>
      <c r="AE761" s="16"/>
    </row>
    <row r="762">
      <c r="D762" s="4" t="b">
        <v>1</v>
      </c>
      <c r="E762" s="2" t="s">
        <v>4680</v>
      </c>
      <c r="J762" s="16" t="s">
        <v>4681</v>
      </c>
      <c r="K762" s="2" t="s">
        <v>3491</v>
      </c>
      <c r="L762" s="16" t="s">
        <v>4563</v>
      </c>
      <c r="M762" s="16" t="s">
        <v>469</v>
      </c>
      <c r="N762" s="16" t="s">
        <v>76</v>
      </c>
      <c r="O762" s="2" t="s">
        <v>77</v>
      </c>
      <c r="P762" s="31">
        <v>2.0</v>
      </c>
      <c r="Q762" s="16"/>
      <c r="R762" s="16" t="s">
        <v>138</v>
      </c>
      <c r="S762" s="16" t="s">
        <v>4682</v>
      </c>
      <c r="T762" s="2"/>
      <c r="U762" s="2"/>
      <c r="V762" s="2"/>
      <c r="W762" s="31">
        <v>2021.0</v>
      </c>
      <c r="X762" s="31">
        <v>3.0</v>
      </c>
      <c r="Y762" s="31"/>
      <c r="Z762" s="32"/>
      <c r="AA762" s="32" t="s">
        <v>4683</v>
      </c>
      <c r="AB762" s="32" t="s">
        <v>4684</v>
      </c>
      <c r="AC762" s="16"/>
      <c r="AD762" s="32" t="s">
        <v>4683</v>
      </c>
      <c r="AE762" s="16"/>
    </row>
    <row r="763">
      <c r="D763" s="4" t="b">
        <v>1</v>
      </c>
      <c r="E763" s="2" t="s">
        <v>4685</v>
      </c>
      <c r="J763" s="16" t="s">
        <v>4686</v>
      </c>
      <c r="K763" s="2" t="s">
        <v>3491</v>
      </c>
      <c r="L763" s="16" t="s">
        <v>4687</v>
      </c>
      <c r="M763" s="16" t="s">
        <v>200</v>
      </c>
      <c r="N763" s="16" t="s">
        <v>76</v>
      </c>
      <c r="O763" s="2" t="s">
        <v>77</v>
      </c>
      <c r="P763" s="31">
        <v>82.0</v>
      </c>
      <c r="Q763" s="16"/>
      <c r="R763" s="16" t="s">
        <v>4688</v>
      </c>
      <c r="S763" s="16" t="s">
        <v>4689</v>
      </c>
      <c r="T763" s="2"/>
      <c r="U763" s="2"/>
      <c r="V763" s="2"/>
      <c r="W763" s="31">
        <v>2021.0</v>
      </c>
      <c r="X763" s="31">
        <v>2.0</v>
      </c>
      <c r="Y763" s="31"/>
      <c r="Z763" s="32"/>
      <c r="AA763" s="32" t="s">
        <v>4690</v>
      </c>
      <c r="AB763" s="32" t="s">
        <v>4691</v>
      </c>
      <c r="AC763" s="16"/>
      <c r="AD763" s="32" t="s">
        <v>4692</v>
      </c>
      <c r="AE763" s="16"/>
    </row>
    <row r="764">
      <c r="D764" s="4" t="b">
        <v>1</v>
      </c>
      <c r="E764" s="2" t="s">
        <v>4693</v>
      </c>
      <c r="J764" s="16" t="s">
        <v>4694</v>
      </c>
      <c r="K764" s="2" t="s">
        <v>3491</v>
      </c>
      <c r="L764" s="16"/>
      <c r="M764" s="16"/>
      <c r="N764" s="16" t="s">
        <v>4695</v>
      </c>
      <c r="O764" s="16"/>
      <c r="P764" s="16"/>
      <c r="Q764" s="16"/>
      <c r="R764" s="16" t="s">
        <v>4696</v>
      </c>
      <c r="S764" s="16"/>
      <c r="T764" s="2">
        <v>5.0</v>
      </c>
      <c r="U764" s="2"/>
      <c r="V764" s="2"/>
      <c r="W764" s="31">
        <v>2021.0</v>
      </c>
      <c r="X764" s="16"/>
      <c r="Y764" s="16"/>
      <c r="Z764" s="32"/>
      <c r="AA764" s="32" t="s">
        <v>4697</v>
      </c>
      <c r="AB764" s="32" t="s">
        <v>4698</v>
      </c>
      <c r="AC764" s="16"/>
      <c r="AD764" s="32" t="s">
        <v>4697</v>
      </c>
      <c r="AE764" s="16"/>
    </row>
    <row r="765">
      <c r="D765" s="4" t="b">
        <v>1</v>
      </c>
      <c r="E765" s="2" t="s">
        <v>4699</v>
      </c>
      <c r="J765" s="16" t="s">
        <v>4700</v>
      </c>
      <c r="K765" s="2" t="s">
        <v>3491</v>
      </c>
      <c r="L765" s="16" t="s">
        <v>4563</v>
      </c>
      <c r="M765" s="16" t="s">
        <v>4701</v>
      </c>
      <c r="N765" s="16" t="s">
        <v>34</v>
      </c>
      <c r="O765" s="4" t="s">
        <v>167</v>
      </c>
      <c r="P765" s="31">
        <v>27558.0</v>
      </c>
      <c r="Q765" s="16"/>
      <c r="R765" s="16" t="s">
        <v>37</v>
      </c>
      <c r="S765" s="16" t="s">
        <v>4702</v>
      </c>
      <c r="T765" s="2"/>
      <c r="U765" s="2"/>
      <c r="V765" s="2"/>
      <c r="W765" s="31">
        <v>2021.0</v>
      </c>
      <c r="X765" s="31">
        <v>2.0</v>
      </c>
      <c r="Y765" s="31"/>
      <c r="Z765" s="32"/>
      <c r="AA765" s="32" t="s">
        <v>4703</v>
      </c>
      <c r="AB765" s="67" t="s">
        <v>4704</v>
      </c>
      <c r="AC765" s="16"/>
      <c r="AD765" s="16" t="s">
        <v>4705</v>
      </c>
      <c r="AE765" s="16"/>
    </row>
    <row r="766">
      <c r="D766" s="4" t="b">
        <v>1</v>
      </c>
      <c r="E766" s="2" t="s">
        <v>4706</v>
      </c>
      <c r="J766" s="16" t="s">
        <v>4707</v>
      </c>
      <c r="K766" s="2" t="s">
        <v>3491</v>
      </c>
      <c r="L766" s="16"/>
      <c r="M766" s="16" t="s">
        <v>4576</v>
      </c>
      <c r="N766" s="16" t="s">
        <v>76</v>
      </c>
      <c r="O766" s="2" t="s">
        <v>77</v>
      </c>
      <c r="P766" s="31">
        <v>498.0</v>
      </c>
      <c r="Q766" s="16"/>
      <c r="R766" s="16" t="s">
        <v>3294</v>
      </c>
      <c r="S766" s="16" t="s">
        <v>4708</v>
      </c>
      <c r="T766" s="2"/>
      <c r="U766" s="2"/>
      <c r="V766" s="2"/>
      <c r="W766" s="31">
        <v>2021.0</v>
      </c>
      <c r="X766" s="31">
        <v>2.0</v>
      </c>
      <c r="Y766" s="31"/>
      <c r="Z766" s="32"/>
      <c r="AA766" s="32" t="s">
        <v>4709</v>
      </c>
      <c r="AB766" s="32" t="s">
        <v>4710</v>
      </c>
      <c r="AC766" s="16"/>
      <c r="AD766" s="65" t="s">
        <v>4711</v>
      </c>
      <c r="AE766" s="16"/>
    </row>
    <row r="767">
      <c r="A767" s="22"/>
      <c r="B767" s="22"/>
      <c r="C767" s="22"/>
      <c r="D767" s="24" t="b">
        <v>0</v>
      </c>
      <c r="E767" s="22"/>
      <c r="F767" s="25" t="b">
        <v>1</v>
      </c>
      <c r="G767" s="22"/>
      <c r="H767" s="22"/>
      <c r="I767" s="23" t="s">
        <v>4049</v>
      </c>
      <c r="J767" s="24" t="s">
        <v>4712</v>
      </c>
      <c r="K767" s="23" t="s">
        <v>3491</v>
      </c>
      <c r="L767" s="24" t="s">
        <v>4687</v>
      </c>
      <c r="M767" s="24" t="s">
        <v>200</v>
      </c>
      <c r="N767" s="24" t="s">
        <v>34</v>
      </c>
      <c r="O767" s="25" t="s">
        <v>167</v>
      </c>
      <c r="P767" s="29">
        <v>3152.0</v>
      </c>
      <c r="Q767" s="24"/>
      <c r="R767" s="24" t="s">
        <v>37</v>
      </c>
      <c r="S767" s="24" t="s">
        <v>2889</v>
      </c>
      <c r="T767" s="23">
        <v>0.33</v>
      </c>
      <c r="U767" s="23"/>
      <c r="V767" s="23"/>
      <c r="W767" s="29">
        <v>2021.0</v>
      </c>
      <c r="X767" s="29">
        <v>2.0</v>
      </c>
      <c r="Y767" s="29"/>
      <c r="Z767" s="30"/>
      <c r="AA767" s="30" t="s">
        <v>4713</v>
      </c>
      <c r="AB767" s="30" t="s">
        <v>4714</v>
      </c>
      <c r="AC767" s="24"/>
      <c r="AD767" s="30" t="s">
        <v>4713</v>
      </c>
      <c r="AE767" s="24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</row>
    <row r="768">
      <c r="D768" s="4" t="b">
        <v>1</v>
      </c>
      <c r="E768" s="2" t="s">
        <v>4715</v>
      </c>
      <c r="J768" s="16" t="s">
        <v>4716</v>
      </c>
      <c r="K768" s="2" t="s">
        <v>3491</v>
      </c>
      <c r="L768" s="16" t="s">
        <v>4717</v>
      </c>
      <c r="M768" s="16" t="s">
        <v>4618</v>
      </c>
      <c r="N768" s="16" t="s">
        <v>34</v>
      </c>
      <c r="O768" s="4" t="s">
        <v>167</v>
      </c>
      <c r="P768" s="31">
        <v>171375.0</v>
      </c>
      <c r="Q768" s="16"/>
      <c r="R768" s="16" t="s">
        <v>45</v>
      </c>
      <c r="S768" s="16" t="s">
        <v>4718</v>
      </c>
      <c r="T768" s="2">
        <v>6.8</v>
      </c>
      <c r="U768" s="2"/>
      <c r="V768" s="2"/>
      <c r="W768" s="31">
        <v>2021.0</v>
      </c>
      <c r="X768" s="31">
        <v>2.0</v>
      </c>
      <c r="Y768" s="31"/>
      <c r="Z768" s="32"/>
      <c r="AA768" s="32" t="s">
        <v>4719</v>
      </c>
      <c r="AB768" s="32" t="s">
        <v>4720</v>
      </c>
      <c r="AC768" s="16"/>
      <c r="AD768" s="32" t="s">
        <v>4719</v>
      </c>
      <c r="AE768" s="16"/>
    </row>
    <row r="769">
      <c r="A769" s="38"/>
      <c r="B769" s="38"/>
      <c r="C769" s="38"/>
      <c r="D769" s="55" t="b">
        <v>1</v>
      </c>
      <c r="E769" s="39" t="s">
        <v>4721</v>
      </c>
      <c r="F769" s="38"/>
      <c r="G769" s="38"/>
      <c r="H769" s="38"/>
      <c r="I769" s="38"/>
      <c r="J769" s="56" t="s">
        <v>4722</v>
      </c>
      <c r="K769" s="39" t="s">
        <v>3491</v>
      </c>
      <c r="L769" s="56" t="s">
        <v>2887</v>
      </c>
      <c r="M769" s="56" t="s">
        <v>200</v>
      </c>
      <c r="N769" s="56" t="s">
        <v>34</v>
      </c>
      <c r="O769" s="55" t="s">
        <v>167</v>
      </c>
      <c r="P769" s="58">
        <v>6160.0</v>
      </c>
      <c r="Q769" s="56"/>
      <c r="R769" s="56" t="s">
        <v>45</v>
      </c>
      <c r="S769" s="56" t="s">
        <v>64</v>
      </c>
      <c r="T769" s="39"/>
      <c r="U769" s="39"/>
      <c r="V769" s="39"/>
      <c r="W769" s="58">
        <v>2021.0</v>
      </c>
      <c r="X769" s="58">
        <v>2.0</v>
      </c>
      <c r="Y769" s="58"/>
      <c r="Z769" s="57"/>
      <c r="AA769" s="57" t="s">
        <v>4723</v>
      </c>
      <c r="AB769" s="57" t="s">
        <v>4724</v>
      </c>
      <c r="AC769" s="56"/>
      <c r="AD769" s="57" t="s">
        <v>4723</v>
      </c>
      <c r="AE769" s="56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</row>
    <row r="770">
      <c r="A770" s="22"/>
      <c r="B770" s="22"/>
      <c r="C770" s="22"/>
      <c r="D770" s="25" t="b">
        <v>1</v>
      </c>
      <c r="E770" s="23" t="s">
        <v>4725</v>
      </c>
      <c r="F770" s="22"/>
      <c r="G770" s="22"/>
      <c r="H770" s="22"/>
      <c r="I770" s="23" t="s">
        <v>4726</v>
      </c>
      <c r="J770" s="24" t="s">
        <v>4727</v>
      </c>
      <c r="K770" s="23" t="s">
        <v>3491</v>
      </c>
      <c r="L770" s="24" t="s">
        <v>200</v>
      </c>
      <c r="M770" s="24" t="s">
        <v>301</v>
      </c>
      <c r="N770" s="24" t="s">
        <v>76</v>
      </c>
      <c r="O770" s="23" t="s">
        <v>77</v>
      </c>
      <c r="P770" s="29">
        <v>4981.0</v>
      </c>
      <c r="Q770" s="24"/>
      <c r="R770" s="24" t="s">
        <v>37</v>
      </c>
      <c r="S770" s="24" t="s">
        <v>3090</v>
      </c>
      <c r="T770" s="23"/>
      <c r="U770" s="23"/>
      <c r="V770" s="23"/>
      <c r="W770" s="29">
        <v>2022.0</v>
      </c>
      <c r="X770" s="29">
        <v>2.0</v>
      </c>
      <c r="Y770" s="29"/>
      <c r="Z770" s="30"/>
      <c r="AA770" s="30" t="s">
        <v>4728</v>
      </c>
      <c r="AB770" s="30" t="s">
        <v>4729</v>
      </c>
      <c r="AC770" s="24"/>
      <c r="AD770" s="30" t="s">
        <v>4730</v>
      </c>
      <c r="AE770" s="24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</row>
    <row r="771">
      <c r="D771" s="4" t="b">
        <v>1</v>
      </c>
      <c r="E771" s="2" t="s">
        <v>4731</v>
      </c>
      <c r="J771" s="16" t="s">
        <v>4732</v>
      </c>
      <c r="K771" s="2" t="s">
        <v>3491</v>
      </c>
      <c r="L771" s="16" t="s">
        <v>4549</v>
      </c>
      <c r="M771" s="16" t="s">
        <v>4576</v>
      </c>
      <c r="N771" s="16" t="s">
        <v>4733</v>
      </c>
      <c r="O771" s="16"/>
      <c r="P771" s="16" t="s">
        <v>4734</v>
      </c>
      <c r="Q771" s="16"/>
      <c r="R771" s="16" t="s">
        <v>4735</v>
      </c>
      <c r="S771" s="16" t="s">
        <v>4736</v>
      </c>
      <c r="T771" s="2"/>
      <c r="U771" s="2"/>
      <c r="V771" s="2"/>
      <c r="W771" s="31">
        <v>2022.0</v>
      </c>
      <c r="X771" s="31">
        <v>2.0</v>
      </c>
      <c r="Y771" s="31"/>
      <c r="Z771" s="32"/>
      <c r="AA771" s="32" t="s">
        <v>4737</v>
      </c>
      <c r="AB771" s="32" t="s">
        <v>4738</v>
      </c>
      <c r="AC771" s="16"/>
      <c r="AD771" s="32" t="s">
        <v>4739</v>
      </c>
      <c r="AE771" s="16"/>
    </row>
    <row r="772">
      <c r="D772" s="4" t="b">
        <v>1</v>
      </c>
      <c r="E772" s="2" t="s">
        <v>4740</v>
      </c>
      <c r="J772" s="16" t="s">
        <v>4741</v>
      </c>
      <c r="K772" s="2" t="s">
        <v>3491</v>
      </c>
      <c r="L772" s="16" t="s">
        <v>4742</v>
      </c>
      <c r="M772" s="16" t="s">
        <v>200</v>
      </c>
      <c r="N772" s="16" t="s">
        <v>4743</v>
      </c>
      <c r="O772" s="4" t="s">
        <v>167</v>
      </c>
      <c r="P772" s="16" t="s">
        <v>4744</v>
      </c>
      <c r="Q772" s="16"/>
      <c r="R772" s="16" t="s">
        <v>4745</v>
      </c>
      <c r="S772" s="16" t="s">
        <v>4746</v>
      </c>
      <c r="T772" s="2"/>
      <c r="U772" s="2"/>
      <c r="V772" s="2"/>
      <c r="W772" s="31">
        <v>2022.0</v>
      </c>
      <c r="X772" s="31">
        <v>2.0</v>
      </c>
      <c r="Y772" s="31"/>
      <c r="Z772" s="32"/>
      <c r="AA772" s="32" t="s">
        <v>4747</v>
      </c>
      <c r="AB772" s="32" t="s">
        <v>4748</v>
      </c>
      <c r="AC772" s="16"/>
      <c r="AD772" s="32" t="s">
        <v>4749</v>
      </c>
      <c r="AE772" s="16"/>
    </row>
    <row r="773">
      <c r="D773" s="4" t="b">
        <v>1</v>
      </c>
      <c r="E773" s="2" t="s">
        <v>4750</v>
      </c>
      <c r="J773" s="16" t="s">
        <v>4751</v>
      </c>
      <c r="K773" s="2" t="s">
        <v>3491</v>
      </c>
      <c r="L773" s="16" t="s">
        <v>312</v>
      </c>
      <c r="M773" s="16" t="s">
        <v>200</v>
      </c>
      <c r="N773" s="16" t="s">
        <v>4752</v>
      </c>
      <c r="O773" s="16"/>
      <c r="P773" s="31">
        <v>4870.0</v>
      </c>
      <c r="Q773" s="16"/>
      <c r="R773" s="16" t="s">
        <v>37</v>
      </c>
      <c r="S773" s="16" t="s">
        <v>38</v>
      </c>
      <c r="T773" s="2"/>
      <c r="U773" s="2"/>
      <c r="V773" s="2"/>
      <c r="W773" s="31">
        <v>2023.0</v>
      </c>
      <c r="X773" s="31">
        <v>2.0</v>
      </c>
      <c r="Y773" s="31"/>
      <c r="Z773" s="32"/>
      <c r="AA773" s="32" t="s">
        <v>4753</v>
      </c>
      <c r="AB773" s="32" t="s">
        <v>4754</v>
      </c>
      <c r="AC773" s="16"/>
      <c r="AD773" s="32" t="s">
        <v>4753</v>
      </c>
      <c r="AE773" s="16"/>
    </row>
    <row r="774">
      <c r="D774" s="4" t="b">
        <v>1</v>
      </c>
      <c r="E774" s="2" t="s">
        <v>4755</v>
      </c>
      <c r="J774" s="16" t="s">
        <v>4756</v>
      </c>
      <c r="K774" s="2" t="s">
        <v>3491</v>
      </c>
      <c r="L774" s="16" t="s">
        <v>4757</v>
      </c>
      <c r="M774" s="16" t="s">
        <v>200</v>
      </c>
      <c r="N774" s="16" t="s">
        <v>34</v>
      </c>
      <c r="O774" s="4" t="s">
        <v>167</v>
      </c>
      <c r="P774" s="31">
        <v>22688.0</v>
      </c>
      <c r="Q774" s="16"/>
      <c r="R774" s="16" t="s">
        <v>37</v>
      </c>
      <c r="S774" s="16" t="s">
        <v>88</v>
      </c>
      <c r="T774" s="2"/>
      <c r="U774" s="2"/>
      <c r="V774" s="2"/>
      <c r="W774" s="31">
        <v>2023.0</v>
      </c>
      <c r="X774" s="31">
        <v>2.0</v>
      </c>
      <c r="Y774" s="31"/>
      <c r="Z774" s="32"/>
      <c r="AA774" s="32" t="s">
        <v>4758</v>
      </c>
      <c r="AB774" s="32" t="s">
        <v>4759</v>
      </c>
      <c r="AC774" s="16"/>
      <c r="AD774" s="32" t="s">
        <v>4758</v>
      </c>
      <c r="AE774" s="16"/>
    </row>
    <row r="775">
      <c r="D775" s="4" t="b">
        <v>1</v>
      </c>
      <c r="E775" s="2" t="s">
        <v>4760</v>
      </c>
      <c r="J775" s="16" t="s">
        <v>4761</v>
      </c>
      <c r="K775" s="2" t="s">
        <v>3491</v>
      </c>
      <c r="L775" s="16"/>
      <c r="M775" s="16" t="s">
        <v>200</v>
      </c>
      <c r="N775" s="16" t="s">
        <v>76</v>
      </c>
      <c r="O775" s="2" t="s">
        <v>77</v>
      </c>
      <c r="P775" s="31">
        <v>100960.0</v>
      </c>
      <c r="Q775" s="16"/>
      <c r="R775" s="16" t="s">
        <v>173</v>
      </c>
      <c r="S775" s="16" t="s">
        <v>38</v>
      </c>
      <c r="T775" s="2"/>
      <c r="U775" s="2"/>
      <c r="V775" s="2"/>
      <c r="W775" s="31">
        <v>2023.0</v>
      </c>
      <c r="X775" s="31">
        <v>2.0</v>
      </c>
      <c r="Y775" s="31"/>
      <c r="Z775" s="32"/>
      <c r="AA775" s="32" t="s">
        <v>4762</v>
      </c>
      <c r="AB775" s="32" t="s">
        <v>4762</v>
      </c>
      <c r="AC775" s="16"/>
      <c r="AD775" s="32" t="s">
        <v>4763</v>
      </c>
      <c r="AE775" s="16"/>
    </row>
    <row r="776">
      <c r="D776" s="4" t="b">
        <v>1</v>
      </c>
      <c r="E776" s="2" t="s">
        <v>4764</v>
      </c>
      <c r="J776" s="4" t="s">
        <v>4765</v>
      </c>
      <c r="K776" s="2" t="s">
        <v>3491</v>
      </c>
      <c r="L776" s="16"/>
      <c r="M776" s="16" t="s">
        <v>200</v>
      </c>
      <c r="N776" s="16" t="s">
        <v>4766</v>
      </c>
      <c r="O776" s="16"/>
      <c r="P776" s="31">
        <v>22688.0</v>
      </c>
      <c r="Q776" s="16"/>
      <c r="R776" s="16" t="s">
        <v>45</v>
      </c>
      <c r="S776" s="16" t="s">
        <v>38</v>
      </c>
      <c r="T776" s="2"/>
      <c r="U776" s="2"/>
      <c r="V776" s="2"/>
      <c r="W776" s="31">
        <v>2023.0</v>
      </c>
      <c r="X776" s="31">
        <v>2.0</v>
      </c>
      <c r="Y776" s="31"/>
      <c r="Z776" s="32"/>
      <c r="AA776" s="32" t="s">
        <v>4767</v>
      </c>
      <c r="AB776" s="32" t="s">
        <v>4767</v>
      </c>
      <c r="AC776" s="16"/>
      <c r="AD776" s="32" t="s">
        <v>4768</v>
      </c>
      <c r="AE776" s="16"/>
    </row>
    <row r="777">
      <c r="D777" s="4" t="b">
        <v>1</v>
      </c>
      <c r="E777" s="2" t="s">
        <v>4769</v>
      </c>
      <c r="J777" s="16" t="s">
        <v>4770</v>
      </c>
      <c r="K777" s="2" t="s">
        <v>3491</v>
      </c>
      <c r="L777" s="16" t="s">
        <v>819</v>
      </c>
      <c r="M777" s="16" t="s">
        <v>469</v>
      </c>
      <c r="N777" s="16" t="s">
        <v>76</v>
      </c>
      <c r="O777" s="2" t="s">
        <v>77</v>
      </c>
      <c r="P777" s="16" t="s">
        <v>4771</v>
      </c>
      <c r="Q777" s="16"/>
      <c r="R777" s="16" t="s">
        <v>4772</v>
      </c>
      <c r="S777" s="16" t="s">
        <v>4773</v>
      </c>
      <c r="T777" s="2"/>
      <c r="U777" s="2"/>
      <c r="V777" s="2"/>
      <c r="W777" s="31">
        <v>2024.0</v>
      </c>
      <c r="X777" s="31">
        <v>2.0</v>
      </c>
      <c r="Y777" s="31"/>
      <c r="Z777" s="32"/>
      <c r="AA777" s="32" t="s">
        <v>4774</v>
      </c>
      <c r="AB777" s="16" t="s">
        <v>275</v>
      </c>
      <c r="AC777" s="16"/>
      <c r="AD777" s="32" t="s">
        <v>4775</v>
      </c>
      <c r="AE777" s="16"/>
    </row>
    <row r="778">
      <c r="A778" s="74"/>
      <c r="B778" s="74"/>
      <c r="C778" s="74"/>
      <c r="D778" s="73" t="b">
        <v>0</v>
      </c>
      <c r="E778" s="73"/>
      <c r="F778" s="73"/>
      <c r="G778" s="73"/>
      <c r="H778" s="73"/>
      <c r="I778" s="76" t="s">
        <v>4049</v>
      </c>
      <c r="J778" s="75" t="s">
        <v>4776</v>
      </c>
      <c r="K778" s="75" t="s">
        <v>4777</v>
      </c>
      <c r="L778" s="73"/>
      <c r="M778" s="73" t="s">
        <v>4778</v>
      </c>
      <c r="N778" s="73" t="s">
        <v>34</v>
      </c>
      <c r="O778" s="75" t="s">
        <v>167</v>
      </c>
      <c r="P778" s="77">
        <v>174.0</v>
      </c>
      <c r="Q778" s="73"/>
      <c r="R778" s="73" t="s">
        <v>37</v>
      </c>
      <c r="S778" s="73" t="s">
        <v>4779</v>
      </c>
      <c r="T778" s="74"/>
      <c r="U778" s="74"/>
      <c r="V778" s="76" t="s">
        <v>3682</v>
      </c>
      <c r="W778" s="77">
        <v>2016.0</v>
      </c>
      <c r="X778" s="77">
        <v>2.0</v>
      </c>
      <c r="Y778" s="77"/>
      <c r="Z778" s="78"/>
      <c r="AA778" s="78" t="s">
        <v>4780</v>
      </c>
      <c r="AB778" s="78" t="s">
        <v>4781</v>
      </c>
      <c r="AC778" s="75" t="s">
        <v>1147</v>
      </c>
      <c r="AD778" s="78" t="s">
        <v>4782</v>
      </c>
      <c r="AE778" s="73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</row>
    <row r="779">
      <c r="D779" s="4" t="b">
        <v>1</v>
      </c>
      <c r="E779" s="4" t="s">
        <v>4783</v>
      </c>
      <c r="F779" s="16"/>
      <c r="G779" s="16"/>
      <c r="H779" s="16"/>
      <c r="I779" s="16"/>
      <c r="J779" s="16" t="s">
        <v>4784</v>
      </c>
      <c r="K779" s="4" t="s">
        <v>4777</v>
      </c>
      <c r="L779" s="16" t="s">
        <v>4785</v>
      </c>
      <c r="M779" s="16" t="s">
        <v>33</v>
      </c>
      <c r="N779" s="16" t="s">
        <v>34</v>
      </c>
      <c r="O779" s="4" t="s">
        <v>167</v>
      </c>
      <c r="P779" s="31">
        <v>40561.0</v>
      </c>
      <c r="Q779" s="16"/>
      <c r="R779" s="16" t="s">
        <v>37</v>
      </c>
      <c r="S779" s="16" t="s">
        <v>4786</v>
      </c>
      <c r="T779" s="2">
        <v>3.38</v>
      </c>
      <c r="U779" s="2" t="s">
        <v>1151</v>
      </c>
      <c r="V779" s="2" t="s">
        <v>3682</v>
      </c>
      <c r="W779" s="31">
        <v>2018.0</v>
      </c>
      <c r="X779" s="31">
        <v>2.0</v>
      </c>
      <c r="Y779" s="31"/>
      <c r="Z779" s="32"/>
      <c r="AA779" s="32" t="s">
        <v>4787</v>
      </c>
      <c r="AB779" s="32" t="s">
        <v>4788</v>
      </c>
      <c r="AC779" s="4" t="s">
        <v>666</v>
      </c>
      <c r="AD779" s="65" t="s">
        <v>4789</v>
      </c>
      <c r="AE779" s="16"/>
    </row>
    <row r="780">
      <c r="A780" s="74"/>
      <c r="B780" s="74"/>
      <c r="C780" s="74"/>
      <c r="D780" s="73" t="b">
        <v>0</v>
      </c>
      <c r="E780" s="73"/>
      <c r="F780" s="73"/>
      <c r="G780" s="73"/>
      <c r="H780" s="73"/>
      <c r="I780" s="76" t="s">
        <v>4049</v>
      </c>
      <c r="J780" s="73" t="s">
        <v>4790</v>
      </c>
      <c r="K780" s="75" t="s">
        <v>4777</v>
      </c>
      <c r="L780" s="73" t="s">
        <v>4791</v>
      </c>
      <c r="M780" s="73" t="s">
        <v>235</v>
      </c>
      <c r="N780" s="73" t="s">
        <v>76</v>
      </c>
      <c r="O780" s="76" t="s">
        <v>77</v>
      </c>
      <c r="P780" s="77">
        <v>16.0</v>
      </c>
      <c r="Q780" s="73"/>
      <c r="R780" s="73" t="s">
        <v>138</v>
      </c>
      <c r="S780" s="73" t="s">
        <v>4792</v>
      </c>
      <c r="T780" s="74"/>
      <c r="U780" s="76"/>
      <c r="V780" s="76" t="s">
        <v>3682</v>
      </c>
      <c r="W780" s="77">
        <v>2018.0</v>
      </c>
      <c r="X780" s="77">
        <v>3.0</v>
      </c>
      <c r="Y780" s="77"/>
      <c r="Z780" s="78"/>
      <c r="AA780" s="78" t="s">
        <v>4793</v>
      </c>
      <c r="AB780" s="73"/>
      <c r="AC780" s="73"/>
      <c r="AD780" s="78" t="s">
        <v>4794</v>
      </c>
      <c r="AE780" s="73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</row>
    <row r="781">
      <c r="D781" s="4" t="b">
        <v>1</v>
      </c>
      <c r="E781" s="4" t="s">
        <v>4795</v>
      </c>
      <c r="F781" s="16"/>
      <c r="G781" s="16"/>
      <c r="H781" s="16"/>
      <c r="I781" s="16"/>
      <c r="J781" s="16" t="s">
        <v>4796</v>
      </c>
      <c r="K781" s="4" t="s">
        <v>4777</v>
      </c>
      <c r="L781" s="16"/>
      <c r="M781" s="16" t="s">
        <v>200</v>
      </c>
      <c r="N781" s="16" t="s">
        <v>34</v>
      </c>
      <c r="O781" s="4" t="s">
        <v>167</v>
      </c>
      <c r="P781" s="31">
        <v>1144.0</v>
      </c>
      <c r="Q781" s="16"/>
      <c r="R781" s="16" t="s">
        <v>37</v>
      </c>
      <c r="S781" s="16" t="s">
        <v>38</v>
      </c>
      <c r="T781" s="2">
        <v>0.197</v>
      </c>
      <c r="U781" s="2" t="s">
        <v>1226</v>
      </c>
      <c r="V781" s="2" t="s">
        <v>1151</v>
      </c>
      <c r="W781" s="31">
        <v>2019.0</v>
      </c>
      <c r="X781" s="31">
        <v>2.0</v>
      </c>
      <c r="Y781" s="31"/>
      <c r="Z781" s="32"/>
      <c r="AA781" s="32" t="s">
        <v>4797</v>
      </c>
      <c r="AB781" s="32" t="s">
        <v>4798</v>
      </c>
      <c r="AC781" s="4" t="s">
        <v>66</v>
      </c>
      <c r="AD781" s="32" t="s">
        <v>4797</v>
      </c>
      <c r="AE781" s="16"/>
    </row>
    <row r="782">
      <c r="D782" s="4" t="b">
        <v>1</v>
      </c>
      <c r="E782" s="4" t="s">
        <v>4799</v>
      </c>
      <c r="F782" s="16"/>
      <c r="G782" s="16"/>
      <c r="H782" s="16"/>
      <c r="I782" s="16"/>
      <c r="J782" s="16" t="s">
        <v>4800</v>
      </c>
      <c r="K782" s="4" t="s">
        <v>4777</v>
      </c>
      <c r="L782" s="16" t="s">
        <v>4801</v>
      </c>
      <c r="M782" s="16" t="s">
        <v>60</v>
      </c>
      <c r="N782" s="16" t="s">
        <v>76</v>
      </c>
      <c r="O782" s="2" t="s">
        <v>77</v>
      </c>
      <c r="P782" s="16" t="s">
        <v>4802</v>
      </c>
      <c r="Q782" s="16"/>
      <c r="R782" s="16" t="s">
        <v>138</v>
      </c>
      <c r="S782" s="16" t="s">
        <v>4803</v>
      </c>
      <c r="T782" s="2">
        <f>6.99+2.16+3.1+11.51+13.15+14.02</f>
        <v>50.93</v>
      </c>
      <c r="U782" s="2" t="s">
        <v>1151</v>
      </c>
      <c r="V782" s="2" t="s">
        <v>1151</v>
      </c>
      <c r="W782" s="31">
        <v>2020.0</v>
      </c>
      <c r="X782" s="31">
        <v>3.0</v>
      </c>
      <c r="Y782" s="31"/>
      <c r="Z782" s="32"/>
      <c r="AA782" s="32" t="s">
        <v>4804</v>
      </c>
      <c r="AB782" s="16" t="s">
        <v>4805</v>
      </c>
      <c r="AC782" s="4" t="s">
        <v>1147</v>
      </c>
      <c r="AD782" s="32" t="s">
        <v>4804</v>
      </c>
      <c r="AE782" s="16"/>
    </row>
    <row r="783">
      <c r="D783" s="4" t="b">
        <v>1</v>
      </c>
      <c r="E783" s="4" t="s">
        <v>4806</v>
      </c>
      <c r="F783" s="16"/>
      <c r="G783" s="16"/>
      <c r="H783" s="16"/>
      <c r="I783" s="16"/>
      <c r="J783" s="16" t="s">
        <v>4807</v>
      </c>
      <c r="K783" s="4" t="s">
        <v>4777</v>
      </c>
      <c r="L783" s="16" t="s">
        <v>32</v>
      </c>
      <c r="M783" s="16" t="s">
        <v>60</v>
      </c>
      <c r="N783" s="16" t="s">
        <v>4808</v>
      </c>
      <c r="O783" s="4" t="s">
        <v>649</v>
      </c>
      <c r="P783" s="31">
        <v>660.0</v>
      </c>
      <c r="Q783" s="16"/>
      <c r="R783" s="16" t="s">
        <v>138</v>
      </c>
      <c r="S783" s="16" t="s">
        <v>4809</v>
      </c>
      <c r="T783" s="2">
        <f>36.6+14.6+8.7+17.9</f>
        <v>77.8</v>
      </c>
      <c r="U783" s="2" t="s">
        <v>1151</v>
      </c>
      <c r="V783" s="2" t="s">
        <v>1151</v>
      </c>
      <c r="W783" s="31">
        <v>2020.0</v>
      </c>
      <c r="X783" s="31">
        <v>3.0</v>
      </c>
      <c r="Y783" s="31"/>
      <c r="Z783" s="32"/>
      <c r="AA783" s="32" t="s">
        <v>4810</v>
      </c>
      <c r="AB783" s="32" t="s">
        <v>4811</v>
      </c>
      <c r="AC783" s="4" t="s">
        <v>72</v>
      </c>
      <c r="AD783" s="32" t="s">
        <v>4812</v>
      </c>
      <c r="AE783" s="16"/>
    </row>
    <row r="784">
      <c r="D784" s="4" t="b">
        <v>1</v>
      </c>
      <c r="E784" s="4" t="s">
        <v>4813</v>
      </c>
      <c r="F784" s="4"/>
      <c r="G784" s="4"/>
      <c r="H784" s="4"/>
      <c r="I784" s="4"/>
      <c r="J784" s="16" t="s">
        <v>4814</v>
      </c>
      <c r="K784" s="4" t="s">
        <v>4777</v>
      </c>
      <c r="L784" s="16"/>
      <c r="M784" s="16" t="s">
        <v>33</v>
      </c>
      <c r="N784" s="16" t="s">
        <v>34</v>
      </c>
      <c r="O784" s="4" t="s">
        <v>167</v>
      </c>
      <c r="P784" s="31">
        <v>1650.0</v>
      </c>
      <c r="Q784" s="16"/>
      <c r="R784" s="16" t="s">
        <v>37</v>
      </c>
      <c r="S784" s="16" t="s">
        <v>4815</v>
      </c>
      <c r="T784" s="2">
        <v>0.12</v>
      </c>
      <c r="U784" s="2" t="s">
        <v>1151</v>
      </c>
      <c r="V784" s="2" t="s">
        <v>1151</v>
      </c>
      <c r="W784" s="31">
        <v>2020.0</v>
      </c>
      <c r="X784" s="31">
        <v>2.0</v>
      </c>
      <c r="Y784" s="31"/>
      <c r="Z784" s="32"/>
      <c r="AA784" s="32" t="s">
        <v>4816</v>
      </c>
      <c r="AB784" s="32" t="s">
        <v>4816</v>
      </c>
      <c r="AC784" s="4" t="s">
        <v>1147</v>
      </c>
      <c r="AD784" s="32" t="s">
        <v>4816</v>
      </c>
      <c r="AE784" s="16"/>
    </row>
    <row r="785">
      <c r="D785" s="4" t="b">
        <v>1</v>
      </c>
      <c r="E785" s="4" t="s">
        <v>4817</v>
      </c>
      <c r="F785" s="16"/>
      <c r="G785" s="16"/>
      <c r="H785" s="16"/>
      <c r="I785" s="16"/>
      <c r="J785" s="16" t="s">
        <v>4818</v>
      </c>
      <c r="K785" s="4" t="s">
        <v>4777</v>
      </c>
      <c r="L785" s="16"/>
      <c r="M785" s="16" t="s">
        <v>33</v>
      </c>
      <c r="N785" s="16" t="s">
        <v>34</v>
      </c>
      <c r="O785" s="4" t="s">
        <v>167</v>
      </c>
      <c r="P785" s="31">
        <v>9786.0</v>
      </c>
      <c r="Q785" s="16"/>
      <c r="R785" s="16" t="s">
        <v>37</v>
      </c>
      <c r="S785" s="16" t="s">
        <v>2889</v>
      </c>
      <c r="T785" s="2">
        <v>6.68</v>
      </c>
      <c r="U785" s="2" t="s">
        <v>1151</v>
      </c>
      <c r="V785" s="2" t="s">
        <v>1151</v>
      </c>
      <c r="W785" s="31">
        <v>2020.0</v>
      </c>
      <c r="X785" s="31">
        <v>2.0</v>
      </c>
      <c r="Y785" s="31"/>
      <c r="Z785" s="32"/>
      <c r="AA785" s="32" t="s">
        <v>4819</v>
      </c>
      <c r="AB785" s="32" t="s">
        <v>4820</v>
      </c>
      <c r="AC785" s="4" t="s">
        <v>1147</v>
      </c>
      <c r="AD785" s="32" t="s">
        <v>4819</v>
      </c>
      <c r="AE785" s="16"/>
    </row>
    <row r="786">
      <c r="D786" s="4" t="b">
        <v>1</v>
      </c>
      <c r="E786" s="4" t="s">
        <v>4821</v>
      </c>
      <c r="F786" s="16"/>
      <c r="G786" s="16"/>
      <c r="H786" s="16"/>
      <c r="I786" s="16"/>
      <c r="J786" s="16" t="s">
        <v>4822</v>
      </c>
      <c r="K786" s="4" t="s">
        <v>4777</v>
      </c>
      <c r="L786" s="16" t="s">
        <v>4596</v>
      </c>
      <c r="M786" s="16" t="s">
        <v>60</v>
      </c>
      <c r="N786" s="16" t="s">
        <v>76</v>
      </c>
      <c r="O786" s="2" t="s">
        <v>77</v>
      </c>
      <c r="P786" s="31">
        <v>1184.0</v>
      </c>
      <c r="Q786" s="16"/>
      <c r="R786" s="16" t="s">
        <v>138</v>
      </c>
      <c r="S786" s="16" t="s">
        <v>4823</v>
      </c>
      <c r="T786" s="2">
        <v>17.0</v>
      </c>
      <c r="U786" s="2" t="s">
        <v>1151</v>
      </c>
      <c r="V786" s="2" t="s">
        <v>1151</v>
      </c>
      <c r="W786" s="31">
        <v>2020.0</v>
      </c>
      <c r="X786" s="31">
        <v>3.0</v>
      </c>
      <c r="Y786" s="31"/>
      <c r="Z786" s="32"/>
      <c r="AA786" s="32" t="s">
        <v>4824</v>
      </c>
      <c r="AB786" s="32" t="s">
        <v>4825</v>
      </c>
      <c r="AC786" s="4" t="s">
        <v>72</v>
      </c>
      <c r="AD786" s="32" t="s">
        <v>4826</v>
      </c>
      <c r="AE786" s="16"/>
    </row>
    <row r="787">
      <c r="D787" s="4" t="b">
        <v>1</v>
      </c>
      <c r="E787" s="4" t="s">
        <v>4827</v>
      </c>
      <c r="F787" s="16"/>
      <c r="G787" s="16"/>
      <c r="H787" s="16"/>
      <c r="I787" s="16"/>
      <c r="J787" s="16" t="s">
        <v>4828</v>
      </c>
      <c r="K787" s="4" t="s">
        <v>4777</v>
      </c>
      <c r="L787" s="16" t="s">
        <v>4801</v>
      </c>
      <c r="M787" s="16" t="s">
        <v>60</v>
      </c>
      <c r="N787" s="16" t="s">
        <v>76</v>
      </c>
      <c r="O787" s="2" t="s">
        <v>77</v>
      </c>
      <c r="P787" s="16" t="s">
        <v>4829</v>
      </c>
      <c r="Q787" s="16"/>
      <c r="R787" s="16" t="s">
        <v>138</v>
      </c>
      <c r="S787" s="16" t="s">
        <v>4830</v>
      </c>
      <c r="T787" s="2">
        <v>150.0</v>
      </c>
      <c r="U787" s="2" t="s">
        <v>1151</v>
      </c>
      <c r="V787" s="2" t="s">
        <v>1151</v>
      </c>
      <c r="W787" s="31">
        <v>2021.0</v>
      </c>
      <c r="X787" s="31">
        <v>3.0</v>
      </c>
      <c r="Y787" s="31"/>
      <c r="Z787" s="32"/>
      <c r="AA787" s="32" t="s">
        <v>4831</v>
      </c>
      <c r="AB787" s="32" t="s">
        <v>4832</v>
      </c>
      <c r="AC787" s="4" t="s">
        <v>1156</v>
      </c>
      <c r="AD787" s="32" t="s">
        <v>4831</v>
      </c>
      <c r="AE787" s="67" t="s">
        <v>4833</v>
      </c>
    </row>
    <row r="788">
      <c r="A788" s="38"/>
      <c r="B788" s="38"/>
      <c r="C788" s="38"/>
      <c r="D788" s="55" t="b">
        <v>1</v>
      </c>
      <c r="E788" s="39" t="s">
        <v>4834</v>
      </c>
      <c r="F788" s="39"/>
      <c r="G788" s="39"/>
      <c r="H788" s="39"/>
      <c r="I788" s="39"/>
      <c r="J788" s="56" t="s">
        <v>4835</v>
      </c>
      <c r="K788" s="55" t="s">
        <v>4777</v>
      </c>
      <c r="L788" s="56" t="s">
        <v>4777</v>
      </c>
      <c r="M788" s="56" t="s">
        <v>33</v>
      </c>
      <c r="N788" s="56" t="s">
        <v>34</v>
      </c>
      <c r="O788" s="55" t="s">
        <v>167</v>
      </c>
      <c r="P788" s="58">
        <v>8210.0</v>
      </c>
      <c r="Q788" s="56"/>
      <c r="R788" s="56" t="s">
        <v>37</v>
      </c>
      <c r="S788" s="56" t="s">
        <v>4836</v>
      </c>
      <c r="T788" s="39">
        <v>0.15</v>
      </c>
      <c r="U788" s="39" t="s">
        <v>1151</v>
      </c>
      <c r="V788" s="39" t="s">
        <v>1151</v>
      </c>
      <c r="W788" s="58">
        <v>2021.0</v>
      </c>
      <c r="X788" s="58">
        <v>2.0</v>
      </c>
      <c r="Y788" s="58"/>
      <c r="Z788" s="57"/>
      <c r="AA788" s="57" t="s">
        <v>4837</v>
      </c>
      <c r="AB788" s="56" t="s">
        <v>275</v>
      </c>
      <c r="AC788" s="55" t="s">
        <v>1147</v>
      </c>
      <c r="AD788" s="57" t="s">
        <v>4837</v>
      </c>
      <c r="AE788" s="56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</row>
    <row r="789">
      <c r="D789" s="4" t="b">
        <v>1</v>
      </c>
      <c r="E789" s="2" t="s">
        <v>4838</v>
      </c>
      <c r="F789" s="2"/>
      <c r="G789" s="2"/>
      <c r="H789" s="2"/>
      <c r="I789" s="2"/>
      <c r="J789" s="16" t="s">
        <v>4839</v>
      </c>
      <c r="K789" s="4" t="s">
        <v>4777</v>
      </c>
      <c r="L789" s="16" t="s">
        <v>4801</v>
      </c>
      <c r="M789" s="16" t="s">
        <v>60</v>
      </c>
      <c r="N789" s="16" t="s">
        <v>76</v>
      </c>
      <c r="O789" s="2" t="s">
        <v>77</v>
      </c>
      <c r="P789" s="31">
        <v>554.0</v>
      </c>
      <c r="Q789" s="16"/>
      <c r="R789" s="16" t="s">
        <v>1107</v>
      </c>
      <c r="S789" s="16" t="s">
        <v>4840</v>
      </c>
      <c r="T789" s="2">
        <v>3.8</v>
      </c>
      <c r="U789" s="2" t="s">
        <v>1151</v>
      </c>
      <c r="V789" s="2" t="s">
        <v>1151</v>
      </c>
      <c r="W789" s="31">
        <v>2023.0</v>
      </c>
      <c r="X789" s="31">
        <v>3.0</v>
      </c>
      <c r="Y789" s="31"/>
      <c r="Z789" s="32"/>
      <c r="AA789" s="32" t="s">
        <v>4841</v>
      </c>
      <c r="AB789" s="32" t="s">
        <v>4842</v>
      </c>
      <c r="AC789" s="4" t="s">
        <v>72</v>
      </c>
      <c r="AD789" s="32" t="s">
        <v>4843</v>
      </c>
      <c r="AE789" s="67" t="s">
        <v>4844</v>
      </c>
    </row>
    <row r="790">
      <c r="A790" s="74"/>
      <c r="B790" s="74"/>
      <c r="C790" s="74"/>
      <c r="D790" s="73" t="b">
        <v>0</v>
      </c>
      <c r="E790" s="76"/>
      <c r="F790" s="76"/>
      <c r="G790" s="76"/>
      <c r="H790" s="76"/>
      <c r="I790" s="76" t="s">
        <v>4049</v>
      </c>
      <c r="J790" s="73" t="s">
        <v>4845</v>
      </c>
      <c r="K790" s="75" t="s">
        <v>4777</v>
      </c>
      <c r="L790" s="73" t="s">
        <v>4791</v>
      </c>
      <c r="M790" s="73" t="s">
        <v>60</v>
      </c>
      <c r="N790" s="73" t="s">
        <v>34</v>
      </c>
      <c r="O790" s="75" t="s">
        <v>167</v>
      </c>
      <c r="P790" s="73" t="s">
        <v>4846</v>
      </c>
      <c r="Q790" s="73"/>
      <c r="R790" s="73" t="s">
        <v>63</v>
      </c>
      <c r="S790" s="73" t="s">
        <v>64</v>
      </c>
      <c r="T790" s="76">
        <v>3.55</v>
      </c>
      <c r="U790" s="76" t="s">
        <v>1151</v>
      </c>
      <c r="V790" s="76" t="s">
        <v>4847</v>
      </c>
      <c r="W790" s="77">
        <v>2023.0</v>
      </c>
      <c r="X790" s="77">
        <v>3.0</v>
      </c>
      <c r="Y790" s="77"/>
      <c r="Z790" s="78"/>
      <c r="AA790" s="78" t="s">
        <v>4848</v>
      </c>
      <c r="AB790" s="73" t="s">
        <v>221</v>
      </c>
      <c r="AC790" s="75" t="s">
        <v>105</v>
      </c>
      <c r="AD790" s="78" t="s">
        <v>4849</v>
      </c>
      <c r="AE790" s="73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</row>
    <row r="791">
      <c r="D791" s="4" t="b">
        <v>1</v>
      </c>
      <c r="E791" s="2" t="s">
        <v>4850</v>
      </c>
      <c r="F791" s="2"/>
      <c r="G791" s="2"/>
      <c r="H791" s="2"/>
      <c r="I791" s="2"/>
      <c r="J791" s="16" t="s">
        <v>4851</v>
      </c>
      <c r="K791" s="4" t="s">
        <v>4777</v>
      </c>
      <c r="L791" s="16"/>
      <c r="M791" s="16" t="s">
        <v>33</v>
      </c>
      <c r="N791" s="16" t="s">
        <v>76</v>
      </c>
      <c r="O791" s="2" t="s">
        <v>77</v>
      </c>
      <c r="P791" s="31">
        <v>8188.0</v>
      </c>
      <c r="Q791" s="16"/>
      <c r="R791" s="16" t="s">
        <v>45</v>
      </c>
      <c r="S791" s="16" t="s">
        <v>4852</v>
      </c>
      <c r="T791" s="2">
        <f>411.85/1024</f>
        <v>0.4021972656</v>
      </c>
      <c r="U791" s="2" t="s">
        <v>1226</v>
      </c>
      <c r="V791" s="2" t="s">
        <v>1151</v>
      </c>
      <c r="W791" s="31">
        <v>2024.0</v>
      </c>
      <c r="X791" s="31">
        <v>2.0</v>
      </c>
      <c r="Y791" s="31"/>
      <c r="Z791" s="32"/>
      <c r="AA791" s="32" t="s">
        <v>4853</v>
      </c>
      <c r="AB791" s="16" t="s">
        <v>275</v>
      </c>
      <c r="AC791" s="4" t="s">
        <v>105</v>
      </c>
      <c r="AD791" s="32" t="s">
        <v>4853</v>
      </c>
      <c r="AE791" s="16"/>
    </row>
    <row r="792">
      <c r="D792" s="4" t="b">
        <v>1</v>
      </c>
      <c r="E792" s="2" t="s">
        <v>4854</v>
      </c>
      <c r="F792" s="2"/>
      <c r="G792" s="2"/>
      <c r="H792" s="2"/>
      <c r="I792" s="2"/>
      <c r="J792" s="16" t="s">
        <v>4855</v>
      </c>
      <c r="K792" s="4" t="s">
        <v>4777</v>
      </c>
      <c r="L792" s="16" t="s">
        <v>4856</v>
      </c>
      <c r="M792" s="16" t="s">
        <v>235</v>
      </c>
      <c r="N792" s="16" t="s">
        <v>61</v>
      </c>
      <c r="O792" s="4" t="s">
        <v>523</v>
      </c>
      <c r="P792" s="31">
        <v>14.0</v>
      </c>
      <c r="Q792" s="16"/>
      <c r="R792" s="16" t="s">
        <v>4857</v>
      </c>
      <c r="S792" s="16" t="s">
        <v>4858</v>
      </c>
      <c r="T792" s="2">
        <v>1.13</v>
      </c>
      <c r="U792" s="2" t="s">
        <v>1151</v>
      </c>
      <c r="V792" s="2" t="s">
        <v>1151</v>
      </c>
      <c r="W792" s="31">
        <v>2024.0</v>
      </c>
      <c r="X792" s="31">
        <v>3.0</v>
      </c>
      <c r="Y792" s="31"/>
      <c r="Z792" s="32"/>
      <c r="AA792" s="32" t="s">
        <v>4859</v>
      </c>
      <c r="AB792" s="32" t="s">
        <v>4859</v>
      </c>
      <c r="AC792" s="4" t="s">
        <v>1147</v>
      </c>
      <c r="AD792" s="32" t="s">
        <v>4860</v>
      </c>
      <c r="AE792" s="16"/>
    </row>
    <row r="793">
      <c r="A793" s="17"/>
      <c r="B793" s="17"/>
      <c r="C793" s="17"/>
      <c r="D793" s="19" t="b">
        <v>1</v>
      </c>
      <c r="E793" s="18" t="s">
        <v>4861</v>
      </c>
      <c r="F793" s="18"/>
      <c r="G793" s="18"/>
      <c r="H793" s="18"/>
      <c r="I793" s="18"/>
      <c r="J793" s="18" t="s">
        <v>4862</v>
      </c>
      <c r="K793" s="19" t="s">
        <v>4777</v>
      </c>
      <c r="L793" s="18" t="s">
        <v>4791</v>
      </c>
      <c r="M793" s="17" t="s">
        <v>4863</v>
      </c>
      <c r="N793" s="17" t="s">
        <v>4864</v>
      </c>
      <c r="O793" s="17" t="s">
        <v>4865</v>
      </c>
      <c r="P793" s="17">
        <v>1.0</v>
      </c>
      <c r="Q793" s="17"/>
      <c r="R793" s="17" t="s">
        <v>63</v>
      </c>
      <c r="S793" s="17"/>
      <c r="T793" s="17"/>
      <c r="U793" s="17"/>
      <c r="V793" s="17"/>
      <c r="W793" s="17"/>
      <c r="X793" s="17" t="s">
        <v>331</v>
      </c>
      <c r="Y793" s="17"/>
      <c r="Z793" s="18"/>
      <c r="AA793" s="20" t="s">
        <v>4866</v>
      </c>
      <c r="AB793" s="17" t="s">
        <v>4867</v>
      </c>
      <c r="AC793" s="17" t="s">
        <v>2114</v>
      </c>
      <c r="AD793" s="17" t="s">
        <v>4868</v>
      </c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>
      <c r="A794" s="74"/>
      <c r="B794" s="74"/>
      <c r="C794" s="74"/>
      <c r="D794" s="73" t="b">
        <v>0</v>
      </c>
      <c r="E794" s="74"/>
      <c r="F794" s="74"/>
      <c r="G794" s="74"/>
      <c r="H794" s="74"/>
      <c r="I794" s="76" t="s">
        <v>4049</v>
      </c>
      <c r="J794" s="76" t="s">
        <v>4869</v>
      </c>
      <c r="K794" s="75" t="s">
        <v>4777</v>
      </c>
      <c r="L794" s="76" t="s">
        <v>4791</v>
      </c>
      <c r="M794" s="74" t="s">
        <v>60</v>
      </c>
      <c r="N794" s="74" t="s">
        <v>4870</v>
      </c>
      <c r="O794" s="74" t="s">
        <v>4871</v>
      </c>
      <c r="P794" s="74">
        <v>24.0</v>
      </c>
      <c r="Q794" s="74">
        <v>5684.0</v>
      </c>
      <c r="R794" s="74" t="s">
        <v>63</v>
      </c>
      <c r="S794" s="74"/>
      <c r="T794" s="74"/>
      <c r="U794" s="74"/>
      <c r="V794" s="74"/>
      <c r="W794" s="74"/>
      <c r="X794" s="74" t="s">
        <v>331</v>
      </c>
      <c r="Y794" s="74"/>
      <c r="Z794" s="76"/>
      <c r="AA794" s="98" t="s">
        <v>4872</v>
      </c>
      <c r="AB794" s="74" t="s">
        <v>4873</v>
      </c>
      <c r="AC794" s="74" t="s">
        <v>372</v>
      </c>
      <c r="AD794" s="74" t="s">
        <v>4872</v>
      </c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</row>
    <row r="795">
      <c r="D795" s="4" t="b">
        <v>1</v>
      </c>
      <c r="E795" s="2" t="s">
        <v>4874</v>
      </c>
      <c r="J795" s="2" t="s">
        <v>4875</v>
      </c>
      <c r="K795" s="4" t="s">
        <v>4777</v>
      </c>
      <c r="L795" s="2" t="s">
        <v>4791</v>
      </c>
      <c r="M795" s="3" t="s">
        <v>60</v>
      </c>
      <c r="N795" s="3" t="s">
        <v>4876</v>
      </c>
      <c r="O795" s="3" t="s">
        <v>1937</v>
      </c>
      <c r="P795" s="3">
        <v>10.0</v>
      </c>
      <c r="R795" s="3" t="s">
        <v>63</v>
      </c>
      <c r="X795" s="3" t="s">
        <v>331</v>
      </c>
      <c r="Z795" s="2"/>
      <c r="AA795" s="15" t="s">
        <v>4877</v>
      </c>
      <c r="AB795" s="3" t="s">
        <v>4878</v>
      </c>
      <c r="AC795" s="3" t="s">
        <v>2114</v>
      </c>
      <c r="AD795" s="3" t="s">
        <v>4879</v>
      </c>
    </row>
    <row r="796">
      <c r="D796" s="4" t="b">
        <v>1</v>
      </c>
      <c r="E796" s="2" t="s">
        <v>4880</v>
      </c>
      <c r="J796" s="2" t="s">
        <v>4881</v>
      </c>
      <c r="K796" s="4" t="s">
        <v>4777</v>
      </c>
      <c r="L796" s="2" t="s">
        <v>4791</v>
      </c>
      <c r="M796" s="3" t="s">
        <v>108</v>
      </c>
      <c r="N796" s="3" t="s">
        <v>4882</v>
      </c>
      <c r="O796" s="3" t="s">
        <v>4883</v>
      </c>
      <c r="P796" s="3">
        <v>44.0</v>
      </c>
      <c r="Q796" s="3">
        <v>44.0</v>
      </c>
      <c r="R796" s="3" t="s">
        <v>1107</v>
      </c>
      <c r="S796" s="3" t="s">
        <v>4884</v>
      </c>
      <c r="W796" s="3">
        <v>2022.0</v>
      </c>
      <c r="X796" s="3" t="s">
        <v>331</v>
      </c>
      <c r="Y796" s="3" t="s">
        <v>2431</v>
      </c>
      <c r="Z796" s="2"/>
      <c r="AA796" s="15" t="s">
        <v>4885</v>
      </c>
      <c r="AB796" s="3" t="s">
        <v>4886</v>
      </c>
      <c r="AC796" s="3" t="s">
        <v>4887</v>
      </c>
      <c r="AD796" s="3" t="s">
        <v>4885</v>
      </c>
    </row>
    <row r="797">
      <c r="A797" s="22"/>
      <c r="B797" s="22"/>
      <c r="C797" s="22"/>
      <c r="D797" s="25" t="b">
        <v>0</v>
      </c>
      <c r="E797" s="23" t="s">
        <v>4806</v>
      </c>
      <c r="F797" s="22"/>
      <c r="G797" s="22"/>
      <c r="H797" s="22"/>
      <c r="I797" s="23" t="s">
        <v>2929</v>
      </c>
      <c r="J797" s="23" t="s">
        <v>4888</v>
      </c>
      <c r="K797" s="25" t="s">
        <v>4777</v>
      </c>
      <c r="L797" s="23" t="s">
        <v>4791</v>
      </c>
      <c r="M797" s="22" t="s">
        <v>60</v>
      </c>
      <c r="N797" s="22" t="s">
        <v>4889</v>
      </c>
      <c r="O797" s="22" t="s">
        <v>4890</v>
      </c>
      <c r="P797" s="22">
        <v>490.0</v>
      </c>
      <c r="Q797" s="22"/>
      <c r="R797" s="22" t="s">
        <v>138</v>
      </c>
      <c r="S797" s="22"/>
      <c r="T797" s="22"/>
      <c r="U797" s="22"/>
      <c r="V797" s="22"/>
      <c r="W797" s="22">
        <v>2021.0</v>
      </c>
      <c r="X797" s="22" t="s">
        <v>331</v>
      </c>
      <c r="Y797" s="22"/>
      <c r="Z797" s="23"/>
      <c r="AA797" s="28" t="s">
        <v>4891</v>
      </c>
      <c r="AB797" s="22" t="s">
        <v>4892</v>
      </c>
      <c r="AC797" s="22" t="s">
        <v>372</v>
      </c>
      <c r="AD797" s="22" t="s">
        <v>4891</v>
      </c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</row>
    <row r="798">
      <c r="D798" s="4" t="b">
        <v>1</v>
      </c>
      <c r="E798" s="2" t="s">
        <v>4893</v>
      </c>
      <c r="J798" s="2" t="s">
        <v>4894</v>
      </c>
      <c r="K798" s="4" t="s">
        <v>4777</v>
      </c>
      <c r="L798" s="2" t="s">
        <v>4791</v>
      </c>
      <c r="M798" s="3" t="s">
        <v>33</v>
      </c>
      <c r="N798" s="3" t="s">
        <v>4895</v>
      </c>
      <c r="O798" s="3" t="s">
        <v>4896</v>
      </c>
      <c r="P798" s="3">
        <v>14236.0</v>
      </c>
      <c r="Q798" s="3">
        <v>14236.0</v>
      </c>
      <c r="R798" s="3" t="s">
        <v>63</v>
      </c>
      <c r="S798" s="3" t="s">
        <v>4897</v>
      </c>
      <c r="W798" s="3">
        <v>2017.0</v>
      </c>
      <c r="X798" s="3" t="s">
        <v>343</v>
      </c>
      <c r="Y798" s="3" t="s">
        <v>332</v>
      </c>
      <c r="Z798" s="2"/>
      <c r="AA798" s="15" t="s">
        <v>4898</v>
      </c>
      <c r="AB798" s="3" t="s">
        <v>4899</v>
      </c>
      <c r="AC798" s="3" t="s">
        <v>105</v>
      </c>
      <c r="AD798" s="3" t="s">
        <v>4898</v>
      </c>
    </row>
    <row r="799">
      <c r="D799" s="4" t="b">
        <v>1</v>
      </c>
      <c r="E799" s="2" t="s">
        <v>4900</v>
      </c>
      <c r="J799" s="2" t="s">
        <v>4901</v>
      </c>
      <c r="K799" s="4" t="s">
        <v>4777</v>
      </c>
      <c r="L799" s="2" t="s">
        <v>4791</v>
      </c>
      <c r="M799" s="3" t="s">
        <v>60</v>
      </c>
      <c r="N799" s="3" t="s">
        <v>4902</v>
      </c>
      <c r="O799" s="3" t="s">
        <v>4903</v>
      </c>
      <c r="W799" s="3">
        <v>2022.0</v>
      </c>
      <c r="X799" s="3" t="s">
        <v>331</v>
      </c>
      <c r="Z799" s="2"/>
      <c r="AA799" s="15" t="s">
        <v>4904</v>
      </c>
      <c r="AB799" s="3" t="s">
        <v>4905</v>
      </c>
      <c r="AC799" s="3" t="s">
        <v>2371</v>
      </c>
      <c r="AD799" s="3" t="s">
        <v>4906</v>
      </c>
    </row>
    <row r="800">
      <c r="A800" s="38"/>
      <c r="B800" s="38"/>
      <c r="C800" s="38"/>
      <c r="D800" s="55" t="b">
        <v>0</v>
      </c>
      <c r="E800" s="39" t="s">
        <v>4907</v>
      </c>
      <c r="F800" s="38"/>
      <c r="G800" s="38"/>
      <c r="H800" s="38"/>
      <c r="I800" s="38"/>
      <c r="J800" s="39" t="s">
        <v>4908</v>
      </c>
      <c r="K800" s="55" t="s">
        <v>4777</v>
      </c>
      <c r="L800" s="39" t="s">
        <v>4791</v>
      </c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115"/>
      <c r="AA800" s="51" t="s">
        <v>4909</v>
      </c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</row>
    <row r="801">
      <c r="A801" s="22"/>
      <c r="B801" s="22"/>
      <c r="C801" s="22"/>
      <c r="D801" s="24" t="b">
        <v>0</v>
      </c>
      <c r="E801" s="22"/>
      <c r="F801" s="22"/>
      <c r="G801" s="25" t="b">
        <v>1</v>
      </c>
      <c r="H801" s="22"/>
      <c r="I801" s="22"/>
      <c r="J801" s="23" t="s">
        <v>4910</v>
      </c>
      <c r="K801" s="25" t="s">
        <v>4777</v>
      </c>
      <c r="L801" s="23" t="s">
        <v>4791</v>
      </c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3"/>
      <c r="AA801" s="28" t="s">
        <v>4911</v>
      </c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</row>
    <row r="802">
      <c r="D802" s="4" t="b">
        <v>1</v>
      </c>
      <c r="E802" s="2" t="s">
        <v>4912</v>
      </c>
      <c r="J802" s="2" t="s">
        <v>4913</v>
      </c>
      <c r="K802" s="4" t="s">
        <v>4777</v>
      </c>
      <c r="L802" s="2" t="s">
        <v>4791</v>
      </c>
      <c r="M802" s="3" t="s">
        <v>60</v>
      </c>
      <c r="N802" s="3" t="s">
        <v>455</v>
      </c>
      <c r="O802" s="3" t="s">
        <v>4914</v>
      </c>
      <c r="T802" s="3" t="s">
        <v>4915</v>
      </c>
      <c r="W802" s="3" t="s">
        <v>1805</v>
      </c>
      <c r="X802" s="3" t="s">
        <v>331</v>
      </c>
      <c r="Z802" s="2"/>
      <c r="AA802" s="15" t="s">
        <v>4916</v>
      </c>
      <c r="AB802" s="3" t="s">
        <v>2114</v>
      </c>
      <c r="AC802" s="3" t="s">
        <v>4917</v>
      </c>
    </row>
    <row r="803">
      <c r="D803" s="4" t="b">
        <v>1</v>
      </c>
      <c r="E803" s="2" t="s">
        <v>4918</v>
      </c>
      <c r="J803" s="2" t="s">
        <v>4919</v>
      </c>
      <c r="K803" s="4" t="s">
        <v>4777</v>
      </c>
      <c r="L803" s="2" t="s">
        <v>4920</v>
      </c>
      <c r="M803" s="3" t="s">
        <v>33</v>
      </c>
      <c r="N803" s="3" t="s">
        <v>34</v>
      </c>
      <c r="O803" s="3" t="s">
        <v>4921</v>
      </c>
      <c r="R803" s="3" t="s">
        <v>195</v>
      </c>
      <c r="S803" s="3" t="s">
        <v>4922</v>
      </c>
      <c r="W803" s="3" t="s">
        <v>1829</v>
      </c>
      <c r="X803" s="3" t="s">
        <v>343</v>
      </c>
      <c r="Y803" s="3" t="s">
        <v>4923</v>
      </c>
      <c r="Z803" s="2"/>
      <c r="AA803" s="15" t="s">
        <v>4924</v>
      </c>
      <c r="AB803" s="3" t="s">
        <v>422</v>
      </c>
      <c r="AC803" s="3" t="s">
        <v>4924</v>
      </c>
      <c r="AE803" s="3">
        <v>354.0</v>
      </c>
    </row>
    <row r="804">
      <c r="A804" s="22"/>
      <c r="B804" s="22"/>
      <c r="C804" s="22"/>
      <c r="D804" s="24" t="b">
        <v>0</v>
      </c>
      <c r="E804" s="22"/>
      <c r="F804" s="22"/>
      <c r="G804" s="25" t="b">
        <v>1</v>
      </c>
      <c r="H804" s="22"/>
      <c r="I804" s="22"/>
      <c r="J804" s="23" t="s">
        <v>4925</v>
      </c>
      <c r="K804" s="25" t="s">
        <v>4777</v>
      </c>
      <c r="L804" s="23" t="s">
        <v>4920</v>
      </c>
      <c r="M804" s="22" t="s">
        <v>235</v>
      </c>
      <c r="N804" s="22" t="s">
        <v>76</v>
      </c>
      <c r="O804" s="22" t="s">
        <v>1937</v>
      </c>
      <c r="P804" s="22"/>
      <c r="Q804" s="22"/>
      <c r="R804" s="22" t="s">
        <v>4926</v>
      </c>
      <c r="S804" s="22" t="s">
        <v>4927</v>
      </c>
      <c r="T804" s="22"/>
      <c r="U804" s="22"/>
      <c r="V804" s="22"/>
      <c r="W804" s="22" t="s">
        <v>1829</v>
      </c>
      <c r="X804" s="22" t="s">
        <v>331</v>
      </c>
      <c r="Y804" s="22"/>
      <c r="Z804" s="23"/>
      <c r="AA804" s="28" t="s">
        <v>4928</v>
      </c>
      <c r="AB804" s="22" t="s">
        <v>346</v>
      </c>
      <c r="AC804" s="22"/>
      <c r="AD804" s="22"/>
      <c r="AE804" s="22" t="s">
        <v>4929</v>
      </c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</row>
    <row r="805">
      <c r="D805" s="4" t="b">
        <v>1</v>
      </c>
      <c r="E805" s="2" t="s">
        <v>4930</v>
      </c>
      <c r="J805" s="2" t="s">
        <v>4931</v>
      </c>
      <c r="K805" s="4" t="s">
        <v>4777</v>
      </c>
      <c r="L805" s="2" t="s">
        <v>4920</v>
      </c>
      <c r="M805" s="3" t="s">
        <v>235</v>
      </c>
      <c r="N805" s="3" t="s">
        <v>485</v>
      </c>
      <c r="O805" s="3" t="s">
        <v>4932</v>
      </c>
      <c r="R805" s="3" t="s">
        <v>4933</v>
      </c>
      <c r="T805" s="3" t="s">
        <v>4934</v>
      </c>
      <c r="W805" s="3" t="s">
        <v>1814</v>
      </c>
      <c r="X805" s="3" t="s">
        <v>331</v>
      </c>
      <c r="Y805" s="3" t="s">
        <v>4935</v>
      </c>
      <c r="Z805" s="2"/>
      <c r="AA805" s="15" t="s">
        <v>4936</v>
      </c>
      <c r="AB805" s="3" t="s">
        <v>105</v>
      </c>
      <c r="AC805" s="3" t="s">
        <v>4936</v>
      </c>
      <c r="AE805" s="3">
        <v>917.0</v>
      </c>
    </row>
    <row r="806">
      <c r="A806" s="22"/>
      <c r="B806" s="22"/>
      <c r="C806" s="22"/>
      <c r="D806" s="24" t="b">
        <v>0</v>
      </c>
      <c r="E806" s="22"/>
      <c r="F806" s="22"/>
      <c r="G806" s="25" t="b">
        <v>1</v>
      </c>
      <c r="H806" s="22"/>
      <c r="I806" s="22"/>
      <c r="J806" s="23" t="s">
        <v>4937</v>
      </c>
      <c r="K806" s="25" t="s">
        <v>4777</v>
      </c>
      <c r="L806" s="23" t="s">
        <v>4920</v>
      </c>
      <c r="M806" s="22" t="s">
        <v>4938</v>
      </c>
      <c r="N806" s="22" t="s">
        <v>4939</v>
      </c>
      <c r="O806" s="22" t="s">
        <v>4940</v>
      </c>
      <c r="P806" s="22"/>
      <c r="Q806" s="22"/>
      <c r="R806" s="22" t="s">
        <v>79</v>
      </c>
      <c r="S806" s="22"/>
      <c r="T806" s="22"/>
      <c r="U806" s="22"/>
      <c r="V806" s="22"/>
      <c r="W806" s="22" t="s">
        <v>1819</v>
      </c>
      <c r="X806" s="22" t="s">
        <v>3553</v>
      </c>
      <c r="Y806" s="22" t="s">
        <v>4941</v>
      </c>
      <c r="Z806" s="23"/>
      <c r="AA806" s="28" t="s">
        <v>4942</v>
      </c>
      <c r="AB806" s="22" t="s">
        <v>346</v>
      </c>
      <c r="AC806" s="22"/>
      <c r="AD806" s="22"/>
      <c r="AE806" s="22" t="s">
        <v>4943</v>
      </c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</row>
    <row r="807">
      <c r="D807" s="4" t="b">
        <v>1</v>
      </c>
      <c r="E807" s="2" t="s">
        <v>4944</v>
      </c>
      <c r="F807" s="4" t="b">
        <v>1</v>
      </c>
      <c r="J807" s="2" t="s">
        <v>4945</v>
      </c>
      <c r="K807" s="4" t="s">
        <v>4777</v>
      </c>
      <c r="L807" s="2" t="s">
        <v>4920</v>
      </c>
      <c r="M807" s="3" t="s">
        <v>33</v>
      </c>
      <c r="N807" s="3" t="s">
        <v>4946</v>
      </c>
      <c r="O807" s="3" t="s">
        <v>4947</v>
      </c>
      <c r="P807" s="3">
        <v>182.0</v>
      </c>
      <c r="Q807" s="3">
        <v>182.0</v>
      </c>
      <c r="R807" s="3" t="s">
        <v>63</v>
      </c>
      <c r="W807" s="3">
        <v>2019.0</v>
      </c>
      <c r="X807" s="3" t="s">
        <v>343</v>
      </c>
      <c r="Y807" s="3" t="s">
        <v>332</v>
      </c>
      <c r="Z807" s="2"/>
      <c r="AA807" s="15" t="s">
        <v>4948</v>
      </c>
      <c r="AB807" s="3" t="s">
        <v>4949</v>
      </c>
      <c r="AC807" s="3" t="s">
        <v>666</v>
      </c>
      <c r="AD807" s="3" t="s">
        <v>4950</v>
      </c>
    </row>
    <row r="808">
      <c r="D808" s="4" t="b">
        <v>1</v>
      </c>
      <c r="E808" s="2" t="s">
        <v>4951</v>
      </c>
      <c r="F808" s="4" t="b">
        <v>1</v>
      </c>
      <c r="J808" s="2" t="s">
        <v>4952</v>
      </c>
      <c r="K808" s="4" t="s">
        <v>4777</v>
      </c>
      <c r="L808" s="2" t="s">
        <v>4920</v>
      </c>
      <c r="M808" s="3" t="s">
        <v>235</v>
      </c>
      <c r="N808" s="3" t="s">
        <v>4953</v>
      </c>
      <c r="O808" s="3" t="s">
        <v>4954</v>
      </c>
      <c r="P808" s="3">
        <v>1370.0</v>
      </c>
      <c r="Q808" s="3">
        <v>1370.0</v>
      </c>
      <c r="R808" s="3" t="s">
        <v>63</v>
      </c>
      <c r="W808" s="3">
        <v>2018.0</v>
      </c>
      <c r="X808" s="3" t="s">
        <v>331</v>
      </c>
      <c r="Y808" s="3" t="s">
        <v>332</v>
      </c>
      <c r="Z808" s="2"/>
      <c r="AA808" s="15" t="s">
        <v>4955</v>
      </c>
      <c r="AB808" s="3" t="s">
        <v>4956</v>
      </c>
      <c r="AC808" s="3" t="s">
        <v>4957</v>
      </c>
      <c r="AD808" s="3" t="s">
        <v>4958</v>
      </c>
      <c r="AE808" s="15" t="s">
        <v>4959</v>
      </c>
    </row>
    <row r="809">
      <c r="A809" s="22"/>
      <c r="B809" s="22"/>
      <c r="C809" s="22"/>
      <c r="D809" s="24" t="b">
        <v>0</v>
      </c>
      <c r="E809" s="22"/>
      <c r="F809" s="22"/>
      <c r="G809" s="25" t="b">
        <v>1</v>
      </c>
      <c r="H809" s="22"/>
      <c r="I809" s="22"/>
      <c r="J809" s="23" t="s">
        <v>4960</v>
      </c>
      <c r="K809" s="25" t="s">
        <v>4777</v>
      </c>
      <c r="L809" s="23" t="s">
        <v>4920</v>
      </c>
      <c r="M809" s="22" t="s">
        <v>4938</v>
      </c>
      <c r="N809" s="22" t="s">
        <v>4961</v>
      </c>
      <c r="O809" s="22" t="s">
        <v>4962</v>
      </c>
      <c r="P809" s="22">
        <v>4796.0</v>
      </c>
      <c r="Q809" s="22">
        <v>2.6626E7</v>
      </c>
      <c r="R809" s="22" t="s">
        <v>63</v>
      </c>
      <c r="S809" s="22"/>
      <c r="T809" s="22"/>
      <c r="U809" s="22"/>
      <c r="V809" s="22"/>
      <c r="W809" s="22">
        <v>2004.0</v>
      </c>
      <c r="X809" s="22" t="s">
        <v>540</v>
      </c>
      <c r="Y809" s="22" t="s">
        <v>332</v>
      </c>
      <c r="Z809" s="23"/>
      <c r="AA809" s="28" t="s">
        <v>4963</v>
      </c>
      <c r="AB809" s="22" t="s">
        <v>4964</v>
      </c>
      <c r="AC809" s="22" t="s">
        <v>4965</v>
      </c>
      <c r="AD809" s="22" t="s">
        <v>4963</v>
      </c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</row>
    <row r="810">
      <c r="D810" s="4" t="b">
        <v>1</v>
      </c>
      <c r="E810" s="2" t="s">
        <v>4966</v>
      </c>
      <c r="J810" s="2" t="s">
        <v>4967</v>
      </c>
      <c r="K810" s="4" t="s">
        <v>4777</v>
      </c>
      <c r="L810" s="2" t="s">
        <v>4920</v>
      </c>
      <c r="M810" s="3" t="s">
        <v>235</v>
      </c>
      <c r="N810" s="3" t="s">
        <v>4968</v>
      </c>
      <c r="O810" s="3" t="s">
        <v>4969</v>
      </c>
      <c r="P810" s="3">
        <v>155.0</v>
      </c>
      <c r="Q810" s="3">
        <v>155.0</v>
      </c>
      <c r="R810" s="3" t="s">
        <v>4970</v>
      </c>
      <c r="W810" s="3">
        <v>2021.0</v>
      </c>
      <c r="X810" s="3" t="s">
        <v>331</v>
      </c>
      <c r="Y810" s="3" t="s">
        <v>332</v>
      </c>
      <c r="Z810" s="2"/>
      <c r="AA810" s="15" t="s">
        <v>4971</v>
      </c>
      <c r="AB810" s="3" t="s">
        <v>4972</v>
      </c>
      <c r="AC810" s="3" t="s">
        <v>4973</v>
      </c>
      <c r="AD810" s="3" t="s">
        <v>4971</v>
      </c>
    </row>
    <row r="811">
      <c r="D811" s="4" t="b">
        <v>1</v>
      </c>
      <c r="E811" s="2" t="s">
        <v>4974</v>
      </c>
      <c r="J811" s="2" t="s">
        <v>4975</v>
      </c>
      <c r="K811" s="4" t="s">
        <v>4777</v>
      </c>
      <c r="L811" s="2" t="s">
        <v>4920</v>
      </c>
      <c r="M811" s="3" t="s">
        <v>33</v>
      </c>
      <c r="N811" s="3" t="s">
        <v>76</v>
      </c>
      <c r="O811" s="3" t="s">
        <v>4976</v>
      </c>
      <c r="W811" s="3" t="s">
        <v>1824</v>
      </c>
      <c r="X811" s="3" t="s">
        <v>343</v>
      </c>
      <c r="Z811" s="2"/>
      <c r="AA811" s="15" t="s">
        <v>4977</v>
      </c>
      <c r="AB811" s="3" t="s">
        <v>422</v>
      </c>
      <c r="AC811" s="3" t="s">
        <v>4977</v>
      </c>
      <c r="AE811" s="3">
        <v>140.0</v>
      </c>
    </row>
    <row r="812">
      <c r="D812" s="4" t="b">
        <v>1</v>
      </c>
      <c r="E812" s="4" t="s">
        <v>4978</v>
      </c>
      <c r="F812" s="16"/>
      <c r="G812" s="16"/>
      <c r="H812" s="16"/>
      <c r="I812" s="16"/>
      <c r="J812" s="16" t="s">
        <v>4979</v>
      </c>
      <c r="K812" s="4" t="s">
        <v>4980</v>
      </c>
      <c r="L812" s="4" t="s">
        <v>4980</v>
      </c>
      <c r="M812" s="16" t="s">
        <v>60</v>
      </c>
      <c r="N812" s="16" t="s">
        <v>76</v>
      </c>
      <c r="O812" s="2" t="s">
        <v>77</v>
      </c>
      <c r="P812" s="16" t="s">
        <v>4981</v>
      </c>
      <c r="Q812" s="16"/>
      <c r="R812" s="16" t="s">
        <v>138</v>
      </c>
      <c r="S812" s="16" t="s">
        <v>2920</v>
      </c>
      <c r="T812" s="2">
        <v>16.9</v>
      </c>
      <c r="U812" s="2" t="s">
        <v>1151</v>
      </c>
      <c r="V812" s="2" t="s">
        <v>1151</v>
      </c>
      <c r="W812" s="31">
        <v>2020.0</v>
      </c>
      <c r="X812" s="31">
        <v>3.0</v>
      </c>
      <c r="Y812" s="64" t="s">
        <v>682</v>
      </c>
      <c r="Z812" s="32"/>
      <c r="AA812" s="32" t="s">
        <v>4982</v>
      </c>
      <c r="AB812" s="32" t="s">
        <v>4983</v>
      </c>
      <c r="AC812" s="4" t="s">
        <v>66</v>
      </c>
      <c r="AD812" s="32" t="s">
        <v>4984</v>
      </c>
      <c r="AE812" s="16"/>
    </row>
    <row r="813">
      <c r="A813" s="22"/>
      <c r="B813" s="22"/>
      <c r="C813" s="22"/>
      <c r="D813" s="25" t="b">
        <v>1</v>
      </c>
      <c r="E813" s="25" t="s">
        <v>4985</v>
      </c>
      <c r="F813" s="24"/>
      <c r="G813" s="24"/>
      <c r="H813" s="24"/>
      <c r="I813" s="25" t="s">
        <v>4986</v>
      </c>
      <c r="J813" s="24" t="s">
        <v>4987</v>
      </c>
      <c r="K813" s="25" t="s">
        <v>4980</v>
      </c>
      <c r="L813" s="25" t="s">
        <v>4980</v>
      </c>
      <c r="M813" s="24" t="s">
        <v>2655</v>
      </c>
      <c r="N813" s="24" t="s">
        <v>76</v>
      </c>
      <c r="O813" s="23" t="s">
        <v>77</v>
      </c>
      <c r="P813" s="25">
        <v>1169.0</v>
      </c>
      <c r="Q813" s="24"/>
      <c r="R813" s="24" t="s">
        <v>138</v>
      </c>
      <c r="S813" s="24" t="s">
        <v>4988</v>
      </c>
      <c r="T813" s="23">
        <v>418.9</v>
      </c>
      <c r="U813" s="22"/>
      <c r="V813" s="22"/>
      <c r="W813" s="29">
        <v>2022.0</v>
      </c>
      <c r="X813" s="29">
        <v>3.0</v>
      </c>
      <c r="Y813" s="62" t="s">
        <v>2431</v>
      </c>
      <c r="Z813" s="25"/>
      <c r="AA813" s="25" t="s">
        <v>4989</v>
      </c>
      <c r="AB813" s="24" t="s">
        <v>4990</v>
      </c>
      <c r="AC813" s="25" t="s">
        <v>66</v>
      </c>
      <c r="AD813" s="30" t="s">
        <v>4991</v>
      </c>
      <c r="AE813" s="24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</row>
    <row r="814">
      <c r="D814" s="4" t="b">
        <v>1</v>
      </c>
      <c r="E814" s="4" t="s">
        <v>4992</v>
      </c>
      <c r="F814" s="16"/>
      <c r="G814" s="16"/>
      <c r="H814" s="16"/>
      <c r="I814" s="16"/>
      <c r="J814" s="16" t="s">
        <v>74</v>
      </c>
      <c r="K814" s="4" t="s">
        <v>4980</v>
      </c>
      <c r="L814" s="4" t="s">
        <v>4980</v>
      </c>
      <c r="M814" s="16" t="s">
        <v>60</v>
      </c>
      <c r="N814" s="16" t="s">
        <v>76</v>
      </c>
      <c r="O814" s="2" t="s">
        <v>77</v>
      </c>
      <c r="P814" s="31">
        <v>1204.0</v>
      </c>
      <c r="Q814" s="16"/>
      <c r="R814" s="16" t="s">
        <v>138</v>
      </c>
      <c r="S814" s="16" t="s">
        <v>4993</v>
      </c>
      <c r="T814" s="2">
        <v>22.4</v>
      </c>
      <c r="U814" s="2" t="s">
        <v>1151</v>
      </c>
      <c r="V814" s="2" t="s">
        <v>1151</v>
      </c>
      <c r="W814" s="31">
        <v>2022.0</v>
      </c>
      <c r="X814" s="31">
        <v>3.0</v>
      </c>
      <c r="Y814" s="64" t="s">
        <v>1251</v>
      </c>
      <c r="Z814" s="32"/>
      <c r="AA814" s="32" t="s">
        <v>4994</v>
      </c>
      <c r="AB814" s="32" t="s">
        <v>4995</v>
      </c>
      <c r="AC814" s="4" t="s">
        <v>72</v>
      </c>
      <c r="AD814" s="32" t="s">
        <v>4996</v>
      </c>
      <c r="AE814" s="16"/>
    </row>
    <row r="815">
      <c r="D815" s="4" t="b">
        <v>1</v>
      </c>
      <c r="E815" s="4" t="s">
        <v>4997</v>
      </c>
      <c r="F815" s="16"/>
      <c r="G815" s="16"/>
      <c r="H815" s="16"/>
      <c r="I815" s="4" t="s">
        <v>4998</v>
      </c>
      <c r="J815" s="16" t="s">
        <v>4999</v>
      </c>
      <c r="K815" s="4" t="s">
        <v>4980</v>
      </c>
      <c r="L815" s="4" t="s">
        <v>4980</v>
      </c>
      <c r="M815" s="16" t="s">
        <v>200</v>
      </c>
      <c r="N815" s="16" t="s">
        <v>34</v>
      </c>
      <c r="O815" s="4" t="s">
        <v>167</v>
      </c>
      <c r="P815" s="31">
        <v>119828.0</v>
      </c>
      <c r="Q815" s="16"/>
      <c r="R815" s="16" t="s">
        <v>37</v>
      </c>
      <c r="S815" s="16" t="s">
        <v>3090</v>
      </c>
      <c r="T815" s="2">
        <v>15.3</v>
      </c>
      <c r="U815" s="2" t="s">
        <v>1151</v>
      </c>
      <c r="V815" s="2" t="s">
        <v>1151</v>
      </c>
      <c r="W815" s="31">
        <v>2022.0</v>
      </c>
      <c r="X815" s="31">
        <v>2.0</v>
      </c>
      <c r="Y815" s="64" t="s">
        <v>682</v>
      </c>
      <c r="Z815" s="32"/>
      <c r="AA815" s="32" t="s">
        <v>5000</v>
      </c>
      <c r="AB815" s="32" t="s">
        <v>5001</v>
      </c>
      <c r="AC815" s="4" t="s">
        <v>1198</v>
      </c>
      <c r="AD815" s="32" t="s">
        <v>5000</v>
      </c>
      <c r="AE815" s="16"/>
    </row>
    <row r="816">
      <c r="A816" s="17"/>
      <c r="B816" s="17"/>
      <c r="C816" s="17"/>
      <c r="D816" s="19" t="b">
        <v>1</v>
      </c>
      <c r="E816" s="19" t="s">
        <v>4992</v>
      </c>
      <c r="F816" s="52"/>
      <c r="G816" s="52"/>
      <c r="H816" s="52"/>
      <c r="I816" s="52"/>
      <c r="J816" s="52" t="s">
        <v>5002</v>
      </c>
      <c r="K816" s="19" t="s">
        <v>4980</v>
      </c>
      <c r="L816" s="19" t="s">
        <v>4980</v>
      </c>
      <c r="M816" s="19" t="s">
        <v>75</v>
      </c>
      <c r="N816" s="52" t="s">
        <v>76</v>
      </c>
      <c r="O816" s="18" t="s">
        <v>77</v>
      </c>
      <c r="P816" s="54">
        <v>1228.0</v>
      </c>
      <c r="Q816" s="52"/>
      <c r="R816" s="52" t="s">
        <v>138</v>
      </c>
      <c r="S816" s="52" t="s">
        <v>5003</v>
      </c>
      <c r="T816" s="18">
        <v>23.59</v>
      </c>
      <c r="U816" s="18" t="s">
        <v>1151</v>
      </c>
      <c r="V816" s="18" t="s">
        <v>1151</v>
      </c>
      <c r="W816" s="54">
        <v>2023.0</v>
      </c>
      <c r="X816" s="54">
        <v>3.0</v>
      </c>
      <c r="Y816" s="70" t="s">
        <v>1261</v>
      </c>
      <c r="Z816" s="53"/>
      <c r="AA816" s="53" t="s">
        <v>4994</v>
      </c>
      <c r="AB816" s="53" t="s">
        <v>4995</v>
      </c>
      <c r="AC816" s="19" t="s">
        <v>72</v>
      </c>
      <c r="AD816" s="116" t="s">
        <v>80</v>
      </c>
      <c r="AE816" s="117" t="s">
        <v>5004</v>
      </c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>
      <c r="D817" s="4" t="b">
        <v>1</v>
      </c>
      <c r="E817" s="4" t="s">
        <v>5005</v>
      </c>
      <c r="F817" s="16"/>
      <c r="G817" s="16"/>
      <c r="H817" s="16"/>
      <c r="I817" s="16"/>
      <c r="J817" s="16" t="s">
        <v>5006</v>
      </c>
      <c r="K817" s="4" t="s">
        <v>4980</v>
      </c>
      <c r="L817" s="4" t="s">
        <v>4980</v>
      </c>
      <c r="M817" s="4" t="s">
        <v>60</v>
      </c>
      <c r="N817" s="16" t="s">
        <v>76</v>
      </c>
      <c r="O817" s="2" t="s">
        <v>77</v>
      </c>
      <c r="P817" s="31">
        <v>2.0</v>
      </c>
      <c r="Q817" s="16"/>
      <c r="R817" s="16" t="s">
        <v>5007</v>
      </c>
      <c r="S817" s="16"/>
      <c r="T817" s="2">
        <v>31.2</v>
      </c>
      <c r="U817" s="2" t="s">
        <v>1151</v>
      </c>
      <c r="V817" s="2" t="s">
        <v>1151</v>
      </c>
      <c r="W817" s="31">
        <v>2023.0</v>
      </c>
      <c r="X817" s="31">
        <v>3.0</v>
      </c>
      <c r="Y817" s="64" t="s">
        <v>682</v>
      </c>
      <c r="Z817" s="32"/>
      <c r="AA817" s="32" t="s">
        <v>5008</v>
      </c>
      <c r="AB817" s="32" t="s">
        <v>5008</v>
      </c>
      <c r="AC817" s="4" t="s">
        <v>1147</v>
      </c>
      <c r="AD817" s="32" t="s">
        <v>5009</v>
      </c>
      <c r="AE817" s="16"/>
    </row>
    <row r="818">
      <c r="A818" s="17"/>
      <c r="B818" s="17"/>
      <c r="C818" s="17"/>
      <c r="D818" s="19" t="b">
        <v>1</v>
      </c>
      <c r="E818" s="19" t="s">
        <v>5010</v>
      </c>
      <c r="F818" s="19"/>
      <c r="G818" s="19"/>
      <c r="H818" s="19"/>
      <c r="I818" s="19"/>
      <c r="J818" s="19" t="s">
        <v>5011</v>
      </c>
      <c r="K818" s="19" t="s">
        <v>4980</v>
      </c>
      <c r="L818" s="19" t="s">
        <v>4980</v>
      </c>
      <c r="M818" s="52" t="s">
        <v>5012</v>
      </c>
      <c r="N818" s="52" t="s">
        <v>34</v>
      </c>
      <c r="O818" s="19" t="s">
        <v>167</v>
      </c>
      <c r="P818" s="54">
        <v>22349.0</v>
      </c>
      <c r="Q818" s="52"/>
      <c r="R818" s="52" t="s">
        <v>37</v>
      </c>
      <c r="S818" s="52" t="s">
        <v>5013</v>
      </c>
      <c r="T818" s="17">
        <f>14.31+16.29+6.58+439.49/1024+830.64/1024</f>
        <v>38.42036133</v>
      </c>
      <c r="U818" s="18" t="s">
        <v>1151</v>
      </c>
      <c r="V818" s="18" t="s">
        <v>3682</v>
      </c>
      <c r="W818" s="54">
        <v>2023.0</v>
      </c>
      <c r="X818" s="19">
        <v>2.0</v>
      </c>
      <c r="Y818" s="19" t="s">
        <v>2431</v>
      </c>
      <c r="Z818" s="116"/>
      <c r="AA818" s="116" t="s">
        <v>5014</v>
      </c>
      <c r="AB818" s="53" t="s">
        <v>5015</v>
      </c>
      <c r="AC818" s="19" t="s">
        <v>5016</v>
      </c>
      <c r="AD818" s="116" t="s">
        <v>5017</v>
      </c>
      <c r="AE818" s="52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>
      <c r="A819" s="11"/>
      <c r="B819" s="11"/>
      <c r="C819" s="11"/>
      <c r="D819" s="13" t="b">
        <v>1</v>
      </c>
      <c r="E819" s="13" t="s">
        <v>5018</v>
      </c>
      <c r="F819" s="35"/>
      <c r="G819" s="35"/>
      <c r="H819" s="35"/>
      <c r="I819" s="35"/>
      <c r="J819" s="35" t="s">
        <v>5019</v>
      </c>
      <c r="K819" s="13" t="s">
        <v>4980</v>
      </c>
      <c r="L819" s="13" t="s">
        <v>4980</v>
      </c>
      <c r="M819" s="35" t="s">
        <v>60</v>
      </c>
      <c r="N819" s="35" t="s">
        <v>76</v>
      </c>
      <c r="O819" s="12" t="s">
        <v>77</v>
      </c>
      <c r="P819" s="35" t="s">
        <v>5020</v>
      </c>
      <c r="Q819" s="35"/>
      <c r="R819" s="35" t="s">
        <v>138</v>
      </c>
      <c r="S819" s="35"/>
      <c r="T819" s="12">
        <f>15.9+44.3+41.2+48.3+48.3+39.9</f>
        <v>237.9</v>
      </c>
      <c r="U819" s="12" t="s">
        <v>1151</v>
      </c>
      <c r="V819" s="12" t="s">
        <v>1151</v>
      </c>
      <c r="W819" s="36">
        <v>2023.0</v>
      </c>
      <c r="X819" s="36">
        <v>3.0</v>
      </c>
      <c r="Y819" s="118"/>
      <c r="Z819" s="37"/>
      <c r="AA819" s="37" t="s">
        <v>5021</v>
      </c>
      <c r="AB819" s="35" t="s">
        <v>275</v>
      </c>
      <c r="AC819" s="13" t="s">
        <v>72</v>
      </c>
      <c r="AD819" s="37" t="s">
        <v>5022</v>
      </c>
      <c r="AE819" s="35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</row>
    <row r="820">
      <c r="D820" s="4" t="b">
        <v>1</v>
      </c>
      <c r="E820" s="4" t="s">
        <v>4992</v>
      </c>
      <c r="F820" s="16"/>
      <c r="G820" s="16"/>
      <c r="H820" s="16"/>
      <c r="I820" s="16"/>
      <c r="J820" s="16" t="s">
        <v>5023</v>
      </c>
      <c r="K820" s="4" t="s">
        <v>4980</v>
      </c>
      <c r="L820" s="4" t="s">
        <v>4980</v>
      </c>
      <c r="M820" s="16" t="s">
        <v>235</v>
      </c>
      <c r="N820" s="16" t="s">
        <v>76</v>
      </c>
      <c r="O820" s="2" t="s">
        <v>77</v>
      </c>
      <c r="P820" s="31">
        <v>298.0</v>
      </c>
      <c r="Q820" s="16"/>
      <c r="R820" s="16" t="s">
        <v>138</v>
      </c>
      <c r="S820" s="16" t="s">
        <v>5024</v>
      </c>
      <c r="T820" s="2">
        <v>2.4</v>
      </c>
      <c r="U820" s="2" t="s">
        <v>1151</v>
      </c>
      <c r="V820" s="2" t="s">
        <v>1151</v>
      </c>
      <c r="W820" s="31">
        <v>2024.0</v>
      </c>
      <c r="X820" s="31">
        <v>3.0</v>
      </c>
      <c r="Y820" s="64" t="s">
        <v>1261</v>
      </c>
      <c r="Z820" s="32"/>
      <c r="AA820" s="32" t="s">
        <v>4994</v>
      </c>
      <c r="AB820" s="32" t="s">
        <v>5025</v>
      </c>
      <c r="AC820" s="4" t="s">
        <v>72</v>
      </c>
      <c r="AD820" s="32" t="s">
        <v>81</v>
      </c>
      <c r="AE820" s="16"/>
    </row>
    <row r="821">
      <c r="D821" s="4" t="b">
        <v>1</v>
      </c>
      <c r="E821" s="4" t="s">
        <v>4985</v>
      </c>
      <c r="F821" s="16"/>
      <c r="G821" s="16"/>
      <c r="H821" s="16"/>
      <c r="I821" s="16"/>
      <c r="J821" s="16" t="s">
        <v>5026</v>
      </c>
      <c r="K821" s="4" t="s">
        <v>4980</v>
      </c>
      <c r="L821" s="4" t="s">
        <v>4980</v>
      </c>
      <c r="M821" s="16" t="s">
        <v>2655</v>
      </c>
      <c r="N821" s="16" t="s">
        <v>76</v>
      </c>
      <c r="O821" s="2" t="s">
        <v>77</v>
      </c>
      <c r="P821" s="64">
        <v>1816.0</v>
      </c>
      <c r="Q821" s="16"/>
      <c r="R821" s="16" t="s">
        <v>138</v>
      </c>
      <c r="S821" s="16" t="s">
        <v>5027</v>
      </c>
      <c r="T821" s="2">
        <v>120.74</v>
      </c>
      <c r="V821" s="2"/>
      <c r="W821" s="31">
        <v>2024.0</v>
      </c>
      <c r="X821" s="31">
        <v>3.0</v>
      </c>
      <c r="Y821" s="64" t="s">
        <v>5028</v>
      </c>
      <c r="Z821" s="32"/>
      <c r="AA821" s="32" t="s">
        <v>5029</v>
      </c>
      <c r="AB821" s="32" t="s">
        <v>5030</v>
      </c>
      <c r="AC821" s="16"/>
      <c r="AD821" s="32" t="s">
        <v>5031</v>
      </c>
      <c r="AE821" s="16"/>
    </row>
    <row r="822">
      <c r="A822" s="22"/>
      <c r="B822" s="22"/>
      <c r="C822" s="22"/>
      <c r="D822" s="24" t="b">
        <v>0</v>
      </c>
      <c r="E822" s="23"/>
      <c r="F822" s="23"/>
      <c r="G822" s="25" t="b">
        <v>1</v>
      </c>
      <c r="H822" s="23"/>
      <c r="I822" s="23"/>
      <c r="J822" s="23" t="s">
        <v>5032</v>
      </c>
      <c r="K822" s="25" t="s">
        <v>4980</v>
      </c>
      <c r="L822" s="23" t="s">
        <v>5033</v>
      </c>
      <c r="M822" s="22" t="s">
        <v>5034</v>
      </c>
      <c r="N822" s="22" t="s">
        <v>5035</v>
      </c>
      <c r="O822" s="22"/>
      <c r="P822" s="23">
        <v>610.0</v>
      </c>
      <c r="Q822" s="22"/>
      <c r="R822" s="22" t="s">
        <v>63</v>
      </c>
      <c r="S822" s="22"/>
      <c r="T822" s="23">
        <v>138.84</v>
      </c>
      <c r="U822" s="22"/>
      <c r="V822" s="22"/>
      <c r="W822" s="22" t="s">
        <v>2833</v>
      </c>
      <c r="X822" s="22" t="s">
        <v>331</v>
      </c>
      <c r="Y822" s="62" t="s">
        <v>682</v>
      </c>
      <c r="Z822" s="23"/>
      <c r="AA822" s="28" t="s">
        <v>5036</v>
      </c>
      <c r="AB822" s="22"/>
      <c r="AC822" s="22" t="s">
        <v>334</v>
      </c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</row>
    <row r="823">
      <c r="D823" s="4" t="b">
        <v>1</v>
      </c>
      <c r="E823" s="2" t="s">
        <v>5037</v>
      </c>
      <c r="F823" s="2"/>
      <c r="G823" s="2"/>
      <c r="H823" s="2"/>
      <c r="I823" s="2"/>
      <c r="J823" s="2" t="s">
        <v>5038</v>
      </c>
      <c r="K823" s="4" t="s">
        <v>4980</v>
      </c>
      <c r="L823" s="2" t="s">
        <v>5033</v>
      </c>
      <c r="M823" s="3" t="s">
        <v>469</v>
      </c>
      <c r="N823" s="3" t="s">
        <v>5039</v>
      </c>
      <c r="O823" s="3" t="s">
        <v>5040</v>
      </c>
      <c r="R823" s="3" t="s">
        <v>5041</v>
      </c>
      <c r="T823" s="2">
        <v>710.1</v>
      </c>
      <c r="W823" s="3" t="s">
        <v>1783</v>
      </c>
      <c r="X823" s="3" t="s">
        <v>343</v>
      </c>
      <c r="Y823" s="2" t="s">
        <v>1033</v>
      </c>
      <c r="Z823" s="2"/>
      <c r="AA823" s="15" t="s">
        <v>5042</v>
      </c>
      <c r="AC823" s="3" t="s">
        <v>346</v>
      </c>
      <c r="AD823" s="3" t="s">
        <v>5042</v>
      </c>
    </row>
    <row r="824">
      <c r="D824" s="4" t="b">
        <v>1</v>
      </c>
      <c r="E824" s="2" t="s">
        <v>5037</v>
      </c>
      <c r="F824" s="2"/>
      <c r="G824" s="2"/>
      <c r="H824" s="2"/>
      <c r="I824" s="2"/>
      <c r="J824" s="2" t="s">
        <v>5043</v>
      </c>
      <c r="K824" s="4" t="s">
        <v>4980</v>
      </c>
      <c r="L824" s="2" t="s">
        <v>5033</v>
      </c>
      <c r="M824" s="3" t="s">
        <v>469</v>
      </c>
      <c r="N824" s="3" t="s">
        <v>5044</v>
      </c>
      <c r="O824" s="3" t="s">
        <v>5045</v>
      </c>
      <c r="R824" s="3" t="s">
        <v>341</v>
      </c>
      <c r="T824" s="2">
        <f>2.7*1024</f>
        <v>2764.8</v>
      </c>
      <c r="W824" s="3" t="s">
        <v>1809</v>
      </c>
      <c r="X824" s="3" t="s">
        <v>343</v>
      </c>
      <c r="Y824" s="2" t="s">
        <v>1033</v>
      </c>
      <c r="Z824" s="2"/>
      <c r="AA824" s="15" t="s">
        <v>5046</v>
      </c>
      <c r="AC824" s="2" t="s">
        <v>1208</v>
      </c>
      <c r="AD824" s="15" t="s">
        <v>5047</v>
      </c>
    </row>
    <row r="825">
      <c r="D825" s="4" t="b">
        <v>1</v>
      </c>
      <c r="E825" s="2" t="s">
        <v>5048</v>
      </c>
      <c r="F825" s="2"/>
      <c r="G825" s="2"/>
      <c r="H825" s="2"/>
      <c r="I825" s="2"/>
      <c r="J825" s="2" t="s">
        <v>5049</v>
      </c>
      <c r="K825" s="4" t="s">
        <v>4980</v>
      </c>
      <c r="L825" s="2" t="s">
        <v>5033</v>
      </c>
      <c r="M825" s="3" t="s">
        <v>60</v>
      </c>
      <c r="N825" s="3" t="s">
        <v>5050</v>
      </c>
      <c r="O825" s="3" t="s">
        <v>5051</v>
      </c>
      <c r="R825" s="3" t="s">
        <v>63</v>
      </c>
      <c r="T825" s="2">
        <v>58.42</v>
      </c>
      <c r="W825" s="3" t="s">
        <v>1835</v>
      </c>
      <c r="X825" s="3" t="s">
        <v>331</v>
      </c>
      <c r="Y825" s="64" t="s">
        <v>682</v>
      </c>
      <c r="Z825" s="2"/>
      <c r="AA825" s="15" t="s">
        <v>5052</v>
      </c>
      <c r="AC825" s="3" t="s">
        <v>334</v>
      </c>
    </row>
    <row r="826">
      <c r="D826" s="4" t="b">
        <v>1</v>
      </c>
      <c r="E826" s="2" t="s">
        <v>5053</v>
      </c>
      <c r="F826" s="2"/>
      <c r="G826" s="2"/>
      <c r="H826" s="2"/>
      <c r="I826" s="2"/>
      <c r="J826" s="2" t="s">
        <v>5054</v>
      </c>
      <c r="K826" s="4" t="s">
        <v>4980</v>
      </c>
      <c r="L826" s="2" t="s">
        <v>5033</v>
      </c>
      <c r="M826" s="3" t="s">
        <v>60</v>
      </c>
      <c r="N826" s="3" t="s">
        <v>76</v>
      </c>
      <c r="O826" s="3" t="s">
        <v>5055</v>
      </c>
      <c r="R826" s="3" t="s">
        <v>79</v>
      </c>
      <c r="W826" s="3" t="s">
        <v>1824</v>
      </c>
      <c r="X826" s="3" t="s">
        <v>331</v>
      </c>
      <c r="Y826" s="2" t="s">
        <v>1290</v>
      </c>
      <c r="Z826" s="2"/>
      <c r="AA826" s="15" t="s">
        <v>5056</v>
      </c>
      <c r="AC826" s="2" t="s">
        <v>2955</v>
      </c>
      <c r="AD826" s="15" t="s">
        <v>5056</v>
      </c>
    </row>
    <row r="827">
      <c r="A827" s="17"/>
      <c r="B827" s="17"/>
      <c r="C827" s="17"/>
      <c r="D827" s="19" t="b">
        <v>1</v>
      </c>
      <c r="E827" s="18" t="s">
        <v>5057</v>
      </c>
      <c r="F827" s="18"/>
      <c r="G827" s="18"/>
      <c r="H827" s="18"/>
      <c r="I827" s="18"/>
      <c r="J827" s="18" t="s">
        <v>5058</v>
      </c>
      <c r="K827" s="19" t="s">
        <v>4980</v>
      </c>
      <c r="L827" s="18" t="s">
        <v>5033</v>
      </c>
      <c r="M827" s="18" t="s">
        <v>5059</v>
      </c>
      <c r="N827" s="17" t="s">
        <v>76</v>
      </c>
      <c r="O827" s="17" t="s">
        <v>5060</v>
      </c>
      <c r="P827" s="17"/>
      <c r="Q827" s="17"/>
      <c r="R827" s="17" t="s">
        <v>63</v>
      </c>
      <c r="S827" s="17"/>
      <c r="T827" s="18">
        <v>35.27</v>
      </c>
      <c r="U827" s="17"/>
      <c r="V827" s="17"/>
      <c r="W827" s="17" t="s">
        <v>1839</v>
      </c>
      <c r="X827" s="17" t="s">
        <v>331</v>
      </c>
      <c r="Y827" s="18" t="s">
        <v>682</v>
      </c>
      <c r="Z827" s="18"/>
      <c r="AA827" s="20" t="s">
        <v>5061</v>
      </c>
      <c r="AB827" s="17"/>
      <c r="AC827" s="17" t="s">
        <v>334</v>
      </c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>
      <c r="A828" s="38"/>
      <c r="B828" s="38"/>
      <c r="C828" s="38"/>
      <c r="D828" s="55" t="b">
        <v>1</v>
      </c>
      <c r="E828" s="39" t="s">
        <v>5062</v>
      </c>
      <c r="F828" s="38"/>
      <c r="G828" s="38"/>
      <c r="H828" s="38"/>
      <c r="I828" s="38"/>
      <c r="J828" s="39" t="s">
        <v>5063</v>
      </c>
      <c r="K828" s="39" t="s">
        <v>32</v>
      </c>
      <c r="L828" s="39" t="s">
        <v>572</v>
      </c>
      <c r="M828" s="39" t="s">
        <v>60</v>
      </c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40" t="s">
        <v>5064</v>
      </c>
      <c r="AB828" s="38"/>
      <c r="AC828" s="38" t="s">
        <v>334</v>
      </c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</row>
    <row r="829">
      <c r="D829" s="4" t="b">
        <v>0</v>
      </c>
      <c r="I829" s="2" t="s">
        <v>4049</v>
      </c>
      <c r="J829" s="2" t="s">
        <v>5065</v>
      </c>
      <c r="K829" s="2" t="s">
        <v>32</v>
      </c>
      <c r="L829" s="2" t="s">
        <v>4201</v>
      </c>
      <c r="M829" s="2" t="s">
        <v>4352</v>
      </c>
      <c r="AA829" s="15" t="s">
        <v>5066</v>
      </c>
    </row>
    <row r="830">
      <c r="D830" s="2" t="b">
        <v>1</v>
      </c>
      <c r="E830" s="2" t="s">
        <v>5067</v>
      </c>
      <c r="J830" s="2" t="s">
        <v>5068</v>
      </c>
      <c r="K830" s="2"/>
      <c r="N830" s="4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15" t="s">
        <v>5069</v>
      </c>
      <c r="AD830" s="21"/>
    </row>
    <row r="831">
      <c r="A831" s="17"/>
      <c r="B831" s="17"/>
      <c r="C831" s="17"/>
      <c r="D831" s="18" t="b">
        <v>0</v>
      </c>
      <c r="E831" s="18"/>
      <c r="F831" s="17"/>
      <c r="G831" s="17"/>
      <c r="H831" s="17"/>
      <c r="I831" s="18" t="s">
        <v>4049</v>
      </c>
      <c r="J831" s="18" t="s">
        <v>5070</v>
      </c>
      <c r="K831" s="18" t="s">
        <v>32</v>
      </c>
      <c r="L831" s="18" t="s">
        <v>32</v>
      </c>
      <c r="M831" s="18" t="s">
        <v>779</v>
      </c>
      <c r="N831" s="19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20" t="s">
        <v>5071</v>
      </c>
      <c r="AB831" s="17"/>
      <c r="AC831" s="17"/>
      <c r="AD831" s="44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>
      <c r="D832" s="2" t="b">
        <v>1</v>
      </c>
      <c r="E832" s="2" t="s">
        <v>5072</v>
      </c>
      <c r="I832" s="2"/>
      <c r="J832" s="2" t="s">
        <v>5073</v>
      </c>
      <c r="K832" s="2" t="s">
        <v>32</v>
      </c>
      <c r="L832" s="2" t="s">
        <v>312</v>
      </c>
      <c r="M832" s="2" t="s">
        <v>108</v>
      </c>
      <c r="N832" s="4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15" t="s">
        <v>5074</v>
      </c>
      <c r="AD832" s="21"/>
    </row>
    <row r="833">
      <c r="N833" s="4"/>
      <c r="AD833" s="21"/>
    </row>
    <row r="834">
      <c r="D834" s="3">
        <f>COUNTIF(D3:D828,TRUE)</f>
        <v>561</v>
      </c>
      <c r="G834" s="3">
        <f t="shared" ref="G834:H834" si="1">COUNTIF(G3:G828,TRUE)</f>
        <v>135</v>
      </c>
      <c r="H834" s="3">
        <f t="shared" si="1"/>
        <v>25</v>
      </c>
      <c r="I834" s="3">
        <f>COUNTIF(I3:I828,"*pending*")</f>
        <v>56</v>
      </c>
      <c r="L834" s="2" t="s">
        <v>235</v>
      </c>
      <c r="M834" s="3">
        <f>COUNTIF(M3:M828,"*MR*")</f>
        <v>294</v>
      </c>
    </row>
    <row r="835">
      <c r="D835" s="3">
        <f>SUM(D834,G834,H834,I834:I836)</f>
        <v>793</v>
      </c>
      <c r="I835" s="3">
        <f>COUNTIF(I3:I828,"*mail*")</f>
        <v>7</v>
      </c>
    </row>
    <row r="836">
      <c r="I836" s="3">
        <f>COUNTIF(I3:I828,"*need*")</f>
        <v>9</v>
      </c>
    </row>
    <row r="838">
      <c r="D838" s="2" t="s">
        <v>5075</v>
      </c>
    </row>
    <row r="839">
      <c r="D839" s="3">
        <f>COUNTIF(D3:D112,TRUE)</f>
        <v>81</v>
      </c>
      <c r="F839" s="3">
        <f t="shared" ref="F839:H839" si="2">COUNTIF(F3:F112,TRUE)</f>
        <v>3</v>
      </c>
      <c r="G839" s="3">
        <f t="shared" si="2"/>
        <v>4</v>
      </c>
      <c r="H839" s="3">
        <f t="shared" si="2"/>
        <v>4</v>
      </c>
      <c r="I839" s="3">
        <f>COUNTIF(I3:I112,"*pending*")</f>
        <v>0</v>
      </c>
    </row>
    <row r="840">
      <c r="D840" s="119">
        <f>SUM(D839,G839,H839,I839:I841)</f>
        <v>95</v>
      </c>
      <c r="I840" s="3">
        <f>COUNTIF(I3:I112,"*mail*")</f>
        <v>1</v>
      </c>
    </row>
    <row r="841">
      <c r="I841" s="3">
        <f>COUNTIF(I3:I112,"*need*")</f>
        <v>5</v>
      </c>
    </row>
    <row r="843">
      <c r="D843" s="2" t="s">
        <v>5076</v>
      </c>
    </row>
    <row r="844">
      <c r="D844" s="3">
        <f>COUNTIF(D113:D222,TRUE)</f>
        <v>74</v>
      </c>
      <c r="G844" s="3">
        <f t="shared" ref="G844:H844" si="3">COUNTIF(G113:G222,TRUE)</f>
        <v>18</v>
      </c>
      <c r="H844" s="3">
        <f t="shared" si="3"/>
        <v>0</v>
      </c>
      <c r="I844" s="3">
        <f>COUNTIF(I113:I222,"*pending*")</f>
        <v>0</v>
      </c>
    </row>
    <row r="845">
      <c r="D845" s="119">
        <f>SUM(D844,G844,H844,I844:I846)</f>
        <v>92</v>
      </c>
      <c r="I845" s="3">
        <f>COUNTIF(I113:I222,"*mail*")</f>
        <v>0</v>
      </c>
    </row>
    <row r="846">
      <c r="I846" s="3">
        <f>COUNTIF(I113:I222,"*need*")</f>
        <v>0</v>
      </c>
    </row>
    <row r="848">
      <c r="D848" s="2" t="s">
        <v>5077</v>
      </c>
    </row>
    <row r="849">
      <c r="D849" s="3">
        <f>COUNTIF(D223:D332,TRUE)</f>
        <v>74</v>
      </c>
      <c r="G849" s="3">
        <f t="shared" ref="G849:H849" si="4">COUNTIF(G223:G332,TRUE)</f>
        <v>26</v>
      </c>
      <c r="H849" s="3">
        <f t="shared" si="4"/>
        <v>9</v>
      </c>
      <c r="I849" s="3">
        <f>COUNTIF(I223:I332,"*pending*")</f>
        <v>0</v>
      </c>
    </row>
    <row r="850">
      <c r="D850" s="119">
        <f>SUM(D849,G849,H849,I849:I851)</f>
        <v>112</v>
      </c>
      <c r="I850" s="3">
        <f>COUNTIF(I223:I332,"*mail*")</f>
        <v>1</v>
      </c>
    </row>
    <row r="851">
      <c r="I851" s="3">
        <f>COUNTIF(I223:I332,"*need*")</f>
        <v>2</v>
      </c>
    </row>
    <row r="853">
      <c r="D853" s="2" t="s">
        <v>5078</v>
      </c>
    </row>
    <row r="854">
      <c r="D854" s="3">
        <f>COUNTIF(D333:D442,TRUE)</f>
        <v>77</v>
      </c>
      <c r="G854" s="3">
        <f t="shared" ref="G854:H854" si="5">COUNTIF(G333:G442,TRUE)</f>
        <v>20</v>
      </c>
      <c r="H854" s="3">
        <f t="shared" si="5"/>
        <v>0</v>
      </c>
      <c r="I854" s="3">
        <f>COUNTIF(I333:I442,"*pending*")</f>
        <v>8</v>
      </c>
    </row>
    <row r="855">
      <c r="D855" s="119">
        <f>SUM(D854,G854,H854,I854:I856)</f>
        <v>111</v>
      </c>
      <c r="I855" s="3">
        <f>COUNTIF(I333:I442,"*mail*")</f>
        <v>4</v>
      </c>
    </row>
    <row r="856">
      <c r="I856" s="3">
        <f>COUNTIF(I333:I442,"*need*")</f>
        <v>2</v>
      </c>
    </row>
    <row r="858">
      <c r="D858" s="2" t="s">
        <v>5079</v>
      </c>
    </row>
    <row r="859">
      <c r="D859" s="3">
        <f>COUNTIF(D443:D552,TRUE)</f>
        <v>73</v>
      </c>
      <c r="G859" s="3">
        <f t="shared" ref="G859:H859" si="6">COUNTIF(G443:G552,TRUE)</f>
        <v>12</v>
      </c>
      <c r="H859" s="3">
        <f t="shared" si="6"/>
        <v>12</v>
      </c>
      <c r="I859" s="3">
        <f>COUNTIF(I443:I552,"*pending*")</f>
        <v>15</v>
      </c>
    </row>
    <row r="860">
      <c r="D860" s="119">
        <f>SUM(D859,G859,H859,I859:I861)</f>
        <v>113</v>
      </c>
      <c r="I860" s="3">
        <f>COUNTIF(I443:I552,"*mail*")</f>
        <v>1</v>
      </c>
    </row>
    <row r="861">
      <c r="I861" s="3">
        <f>COUNTIF(I443:I552,"*need*")</f>
        <v>0</v>
      </c>
    </row>
    <row r="863">
      <c r="D863" s="2" t="s">
        <v>5080</v>
      </c>
    </row>
    <row r="864">
      <c r="D864" s="3">
        <f>COUNTIF(D553:D662,TRUE)</f>
        <v>71</v>
      </c>
      <c r="G864" s="3">
        <f t="shared" ref="G864:H864" si="7">COUNTIF(G553:G662,TRUE)</f>
        <v>37</v>
      </c>
      <c r="H864" s="3">
        <f t="shared" si="7"/>
        <v>0</v>
      </c>
      <c r="I864" s="3">
        <f>COUNTIF(I553:I662,"*pending*")</f>
        <v>0</v>
      </c>
    </row>
    <row r="865">
      <c r="D865" s="119">
        <f>SUM(D864,G864,H864,I864:I866)</f>
        <v>108</v>
      </c>
      <c r="I865" s="3">
        <f>COUNTIF(I553:I662,"*mail*")</f>
        <v>0</v>
      </c>
    </row>
    <row r="866">
      <c r="I866" s="3">
        <f>COUNTIF(I553:I662,"*need*")</f>
        <v>0</v>
      </c>
    </row>
    <row r="867">
      <c r="D867" s="2"/>
    </row>
    <row r="868">
      <c r="D868" s="2" t="s">
        <v>5081</v>
      </c>
    </row>
    <row r="869">
      <c r="D869" s="3">
        <f>COUNTIF(D663:D828,TRUE)</f>
        <v>111</v>
      </c>
      <c r="G869" s="3">
        <f t="shared" ref="G869:H869" si="8">COUNTIF(G663:G828,TRUE)</f>
        <v>18</v>
      </c>
      <c r="H869" s="3">
        <f t="shared" si="8"/>
        <v>0</v>
      </c>
      <c r="I869" s="3">
        <f>COUNTIF(I663:I828,"*pending*")</f>
        <v>33</v>
      </c>
    </row>
    <row r="870">
      <c r="D870" s="119">
        <f>SUM(D869,G869,H869,I869:I871)</f>
        <v>162</v>
      </c>
      <c r="I870" s="3">
        <f>COUNTIF(I663:I828,"*mail*")</f>
        <v>0</v>
      </c>
    </row>
    <row r="871">
      <c r="I871" s="3">
        <f>COUNTIF(I663:I828,"*need*")</f>
        <v>0</v>
      </c>
    </row>
  </sheetData>
  <hyperlinks>
    <hyperlink r:id="rId1" ref="AA3"/>
    <hyperlink r:id="rId2" ref="AD3"/>
    <hyperlink r:id="rId3" ref="AA4"/>
    <hyperlink r:id="rId4" ref="AA5"/>
    <hyperlink r:id="rId5" ref="AA6"/>
    <hyperlink r:id="rId6" ref="AD6"/>
    <hyperlink r:id="rId7" ref="AA7"/>
    <hyperlink r:id="rId8" ref="AD7"/>
    <hyperlink r:id="rId9" ref="AA8"/>
    <hyperlink r:id="rId10" ref="AA9"/>
    <hyperlink r:id="rId11" ref="AB9"/>
    <hyperlink r:id="rId12" ref="AA10"/>
    <hyperlink r:id="rId13" ref="AA11"/>
    <hyperlink r:id="rId14" ref="AA12"/>
    <hyperlink r:id="rId15" ref="AA13"/>
    <hyperlink r:id="rId16" ref="AB13"/>
    <hyperlink r:id="rId17" ref="AA14"/>
    <hyperlink r:id="rId18" ref="AB14"/>
    <hyperlink r:id="rId19" ref="AA15"/>
    <hyperlink r:id="rId20" ref="AB15"/>
    <hyperlink r:id="rId21" ref="AD15"/>
    <hyperlink r:id="rId22" ref="AA16"/>
    <hyperlink r:id="rId23" ref="AB16"/>
    <hyperlink r:id="rId24" ref="AD16"/>
    <hyperlink r:id="rId25" ref="AA17"/>
    <hyperlink r:id="rId26" ref="AA18"/>
    <hyperlink r:id="rId27" ref="AD18"/>
    <hyperlink r:id="rId28" ref="AA19"/>
    <hyperlink r:id="rId29" ref="AA20"/>
    <hyperlink r:id="rId30" ref="AB20"/>
    <hyperlink r:id="rId31" ref="AA21"/>
    <hyperlink r:id="rId32" ref="AD21"/>
    <hyperlink r:id="rId33" ref="AA22"/>
    <hyperlink r:id="rId34" ref="AB22"/>
    <hyperlink r:id="rId35" location=".Yz_oVHbMJPZ" ref="AD22"/>
    <hyperlink r:id="rId36" ref="AA23"/>
    <hyperlink r:id="rId37" ref="AB23"/>
    <hyperlink r:id="rId38" ref="AD23"/>
    <hyperlink r:id="rId39" ref="AA24"/>
    <hyperlink r:id="rId40" ref="AB24"/>
    <hyperlink r:id="rId41" ref="AD24"/>
    <hyperlink r:id="rId42" ref="AA25"/>
    <hyperlink r:id="rId43" ref="AB25"/>
    <hyperlink r:id="rId44" ref="AD25"/>
    <hyperlink r:id="rId45" ref="AA26"/>
    <hyperlink r:id="rId46" ref="AB26"/>
    <hyperlink r:id="rId47" ref="AD26"/>
    <hyperlink r:id="rId48" ref="AA27"/>
    <hyperlink r:id="rId49" ref="AB27"/>
    <hyperlink r:id="rId50" ref="AD27"/>
    <hyperlink r:id="rId51" ref="AA28"/>
    <hyperlink r:id="rId52" ref="AB28"/>
    <hyperlink r:id="rId53" ref="AD28"/>
    <hyperlink r:id="rId54" ref="AA29"/>
    <hyperlink r:id="rId55" ref="AB29"/>
    <hyperlink r:id="rId56" ref="AA30"/>
    <hyperlink r:id="rId57" ref="AB30"/>
    <hyperlink r:id="rId58" ref="AD30"/>
    <hyperlink r:id="rId59" ref="AA31"/>
    <hyperlink r:id="rId60" ref="AB31"/>
    <hyperlink r:id="rId61" ref="AD31"/>
    <hyperlink r:id="rId62" ref="AA32"/>
    <hyperlink r:id="rId63" ref="AB32"/>
    <hyperlink r:id="rId64" ref="AD32"/>
    <hyperlink r:id="rId65" ref="AA33"/>
    <hyperlink r:id="rId66" ref="AB33"/>
    <hyperlink r:id="rId67" ref="AD33"/>
    <hyperlink r:id="rId68" ref="AA34"/>
    <hyperlink r:id="rId69" ref="AD34"/>
    <hyperlink r:id="rId70" ref="AA35"/>
    <hyperlink r:id="rId71" ref="AD35"/>
    <hyperlink r:id="rId72" ref="AA36"/>
    <hyperlink r:id="rId73" ref="AB36"/>
    <hyperlink r:id="rId74" ref="AD36"/>
    <hyperlink r:id="rId75" location="tuberculosis-image-data-sets" ref="AA37"/>
    <hyperlink r:id="rId76" ref="AB37"/>
    <hyperlink r:id="rId77" ref="AD37"/>
    <hyperlink r:id="rId78" ref="AA38"/>
    <hyperlink r:id="rId79" ref="AD38"/>
    <hyperlink r:id="rId80" ref="AA39"/>
    <hyperlink r:id="rId81" ref="AD39"/>
    <hyperlink r:id="rId82" ref="AA40"/>
    <hyperlink r:id="rId83" ref="AB40"/>
    <hyperlink r:id="rId84" ref="AD40"/>
    <hyperlink r:id="rId85" ref="AA41"/>
    <hyperlink r:id="rId86" ref="AB41"/>
    <hyperlink r:id="rId87" ref="AD41"/>
    <hyperlink r:id="rId88" ref="AA42"/>
    <hyperlink r:id="rId89" ref="AB42"/>
    <hyperlink r:id="rId90" ref="AD42"/>
    <hyperlink r:id="rId91" location="!Synapse:syn51186045/wiki/621356" ref="AA43"/>
    <hyperlink r:id="rId92" ref="AB43"/>
    <hyperlink r:id="rId93" location="!Synapse:syn51186045/wiki/621356" ref="AD43"/>
    <hyperlink r:id="rId94" ref="AA44"/>
    <hyperlink r:id="rId95" ref="AD44"/>
    <hyperlink r:id="rId96" ref="AA45"/>
    <hyperlink r:id="rId97" location="learn_the_details-dataset" ref="AD45"/>
    <hyperlink r:id="rId98" ref="AA46"/>
    <hyperlink r:id="rId99" ref="AB46"/>
    <hyperlink r:id="rId100" ref="AD46"/>
    <hyperlink r:id="rId101" ref="AA47"/>
    <hyperlink r:id="rId102" ref="AD47"/>
    <hyperlink r:id="rId103" ref="AA48"/>
    <hyperlink r:id="rId104" ref="AD48"/>
    <hyperlink r:id="rId105" ref="AA49"/>
    <hyperlink r:id="rId106" ref="AB49"/>
    <hyperlink r:id="rId107" ref="AD49"/>
    <hyperlink r:id="rId108" ref="AA50"/>
    <hyperlink r:id="rId109" ref="AB50"/>
    <hyperlink r:id="rId110" ref="AD50"/>
    <hyperlink r:id="rId111" ref="AA51"/>
    <hyperlink r:id="rId112" ref="AA52"/>
    <hyperlink r:id="rId113" ref="AB52"/>
    <hyperlink r:id="rId114" ref="AD52"/>
    <hyperlink r:id="rId115" ref="AA53"/>
    <hyperlink r:id="rId116" ref="AA54"/>
    <hyperlink r:id="rId117" ref="AA55"/>
    <hyperlink r:id="rId118" ref="AA56"/>
    <hyperlink r:id="rId119" ref="AA57"/>
    <hyperlink r:id="rId120" ref="AD57"/>
    <hyperlink r:id="rId121" ref="AE57"/>
    <hyperlink r:id="rId122" ref="AA58"/>
    <hyperlink r:id="rId123" ref="AA59"/>
    <hyperlink r:id="rId124" ref="AD59"/>
    <hyperlink r:id="rId125" ref="AA60"/>
    <hyperlink r:id="rId126" ref="AA61"/>
    <hyperlink r:id="rId127" ref="AA62"/>
    <hyperlink r:id="rId128" ref="AA63"/>
    <hyperlink r:id="rId129" ref="AA64"/>
    <hyperlink r:id="rId130" ref="AA65"/>
    <hyperlink r:id="rId131" ref="AA66"/>
    <hyperlink r:id="rId132" ref="AA67"/>
    <hyperlink r:id="rId133" ref="AA68"/>
    <hyperlink r:id="rId134" ref="AD68"/>
    <hyperlink r:id="rId135" ref="AA69"/>
    <hyperlink r:id="rId136" ref="AA70"/>
    <hyperlink r:id="rId137" ref="AB70"/>
    <hyperlink r:id="rId138" ref="AD70"/>
    <hyperlink r:id="rId139" ref="AA71"/>
    <hyperlink r:id="rId140" ref="AB71"/>
    <hyperlink r:id="rId141" ref="AD71"/>
    <hyperlink r:id="rId142" ref="AA72"/>
    <hyperlink r:id="rId143" ref="AB72"/>
    <hyperlink r:id="rId144" ref="AD72"/>
    <hyperlink r:id="rId145" ref="AA73"/>
    <hyperlink r:id="rId146" ref="AB73"/>
    <hyperlink r:id="rId147" ref="AD73"/>
    <hyperlink r:id="rId148" ref="AA74"/>
    <hyperlink r:id="rId149" ref="AB74"/>
    <hyperlink r:id="rId150" ref="AD74"/>
    <hyperlink r:id="rId151" ref="AA75"/>
    <hyperlink r:id="rId152" ref="AB75"/>
    <hyperlink r:id="rId153" ref="AD75"/>
    <hyperlink r:id="rId154" ref="AA76"/>
    <hyperlink r:id="rId155" ref="AB76"/>
    <hyperlink r:id="rId156" ref="AD76"/>
    <hyperlink r:id="rId157" ref="AA77"/>
    <hyperlink r:id="rId158" ref="AB77"/>
    <hyperlink r:id="rId159" ref="AD77"/>
    <hyperlink r:id="rId160" ref="AA78"/>
    <hyperlink r:id="rId161" ref="AB78"/>
    <hyperlink r:id="rId162" ref="AD78"/>
    <hyperlink r:id="rId163" ref="AA79"/>
    <hyperlink r:id="rId164" ref="AB79"/>
    <hyperlink r:id="rId165" ref="AD79"/>
    <hyperlink r:id="rId166" ref="AA80"/>
    <hyperlink r:id="rId167" ref="AB80"/>
    <hyperlink r:id="rId168" ref="AD80"/>
    <hyperlink r:id="rId169" ref="AA81"/>
    <hyperlink r:id="rId170" ref="AB81"/>
    <hyperlink r:id="rId171" ref="AD81"/>
    <hyperlink r:id="rId172" ref="AA82"/>
    <hyperlink r:id="rId173" ref="AB82"/>
    <hyperlink r:id="rId174" ref="AD82"/>
    <hyperlink r:id="rId175" ref="AA83"/>
    <hyperlink r:id="rId176" ref="AB83"/>
    <hyperlink r:id="rId177" ref="AD83"/>
    <hyperlink r:id="rId178" ref="AA84"/>
    <hyperlink r:id="rId179" ref="AD84"/>
    <hyperlink r:id="rId180" ref="AA85"/>
    <hyperlink r:id="rId181" ref="AD85"/>
    <hyperlink r:id="rId182" ref="AA86"/>
    <hyperlink r:id="rId183" ref="AA87"/>
    <hyperlink r:id="rId184" ref="AA88"/>
    <hyperlink r:id="rId185" ref="AA89"/>
    <hyperlink r:id="rId186" ref="AA90"/>
    <hyperlink r:id="rId187" ref="AA91"/>
    <hyperlink r:id="rId188" ref="AA92"/>
    <hyperlink r:id="rId189" ref="AA93"/>
    <hyperlink r:id="rId190" ref="AA94"/>
    <hyperlink r:id="rId191" ref="AA95"/>
    <hyperlink r:id="rId192" ref="AA96"/>
    <hyperlink r:id="rId193" ref="AA97"/>
    <hyperlink r:id="rId194" ref="AA98"/>
    <hyperlink r:id="rId195" ref="AA99"/>
    <hyperlink r:id="rId196" ref="AA100"/>
    <hyperlink r:id="rId197" ref="AA101"/>
    <hyperlink r:id="rId198" ref="AA102"/>
    <hyperlink r:id="rId199" ref="AA103"/>
    <hyperlink r:id="rId200" ref="AA104"/>
    <hyperlink r:id="rId201" ref="AA105"/>
    <hyperlink r:id="rId202" ref="AA106"/>
    <hyperlink r:id="rId203" ref="AA107"/>
    <hyperlink r:id="rId204" ref="AA108"/>
    <hyperlink r:id="rId205" ref="AA109"/>
    <hyperlink r:id="rId206" ref="AA110"/>
    <hyperlink r:id="rId207" ref="AA111"/>
    <hyperlink r:id="rId208" ref="AA112"/>
    <hyperlink r:id="rId209" ref="AA113"/>
    <hyperlink r:id="rId210" ref="AA114"/>
    <hyperlink r:id="rId211" ref="AA115"/>
    <hyperlink r:id="rId212" ref="AA116"/>
    <hyperlink r:id="rId213" ref="AA117"/>
    <hyperlink r:id="rId214" ref="AA118"/>
    <hyperlink r:id="rId215" ref="AA119"/>
    <hyperlink r:id="rId216" ref="AA120"/>
    <hyperlink r:id="rId217" ref="AA121"/>
    <hyperlink r:id="rId218" ref="AA122"/>
    <hyperlink r:id="rId219" ref="AA123"/>
    <hyperlink r:id="rId220" ref="AA124"/>
    <hyperlink r:id="rId221" ref="AA125"/>
    <hyperlink r:id="rId222" ref="AA126"/>
    <hyperlink r:id="rId223" ref="AD126"/>
    <hyperlink r:id="rId224" ref="AA127"/>
    <hyperlink r:id="rId225" ref="AD127"/>
    <hyperlink r:id="rId226" ref="AA128"/>
    <hyperlink r:id="rId227" ref="AD128"/>
    <hyperlink r:id="rId228" ref="AA129"/>
    <hyperlink r:id="rId229" ref="AD129"/>
    <hyperlink r:id="rId230" ref="AA130"/>
    <hyperlink r:id="rId231" ref="AD130"/>
    <hyperlink r:id="rId232" ref="AA131"/>
    <hyperlink r:id="rId233" ref="AA132"/>
    <hyperlink r:id="rId234" ref="AA133"/>
    <hyperlink r:id="rId235" ref="AA134"/>
    <hyperlink r:id="rId236" ref="AA135"/>
    <hyperlink r:id="rId237" ref="AA136"/>
    <hyperlink r:id="rId238" ref="AA137"/>
    <hyperlink r:id="rId239" ref="AA138"/>
    <hyperlink r:id="rId240" ref="AA139"/>
    <hyperlink r:id="rId241" ref="AA140"/>
    <hyperlink r:id="rId242" ref="AA141"/>
    <hyperlink r:id="rId243" ref="AA142"/>
    <hyperlink r:id="rId244" ref="AA143"/>
    <hyperlink r:id="rId245" ref="AA144"/>
    <hyperlink r:id="rId246" ref="AA145"/>
    <hyperlink r:id="rId247" ref="AA146"/>
    <hyperlink r:id="rId248" ref="AA147"/>
    <hyperlink r:id="rId249" ref="AA148"/>
    <hyperlink r:id="rId250" ref="AA149"/>
    <hyperlink r:id="rId251" ref="AA150"/>
    <hyperlink r:id="rId252" ref="AA151"/>
    <hyperlink r:id="rId253" ref="AA152"/>
    <hyperlink r:id="rId254" ref="AA153"/>
    <hyperlink r:id="rId255" ref="AA154"/>
    <hyperlink r:id="rId256" ref="AA155"/>
    <hyperlink r:id="rId257" ref="AA156"/>
    <hyperlink r:id="rId258" ref="AA157"/>
    <hyperlink r:id="rId259" ref="AA158"/>
    <hyperlink r:id="rId260" ref="AA159"/>
    <hyperlink r:id="rId261" ref="AA160"/>
    <hyperlink r:id="rId262" ref="AA161"/>
    <hyperlink r:id="rId263" ref="AA162"/>
    <hyperlink r:id="rId264" ref="AA163"/>
    <hyperlink r:id="rId265" ref="AA164"/>
    <hyperlink r:id="rId266" ref="AA165"/>
    <hyperlink r:id="rId267" ref="X166"/>
    <hyperlink r:id="rId268" ref="AA166"/>
    <hyperlink r:id="rId269" ref="X167"/>
    <hyperlink r:id="rId270" ref="Y167"/>
    <hyperlink r:id="rId271" ref="AA167"/>
    <hyperlink r:id="rId272" ref="X169"/>
    <hyperlink r:id="rId273" ref="AA169"/>
    <hyperlink r:id="rId274" ref="AC169"/>
    <hyperlink r:id="rId275" ref="X170"/>
    <hyperlink r:id="rId276" ref="Y170"/>
    <hyperlink r:id="rId277" ref="AA170"/>
    <hyperlink r:id="rId278" ref="AC170"/>
    <hyperlink r:id="rId279" ref="X171"/>
    <hyperlink r:id="rId280" ref="Y171"/>
    <hyperlink r:id="rId281" ref="AA171"/>
    <hyperlink r:id="rId282" ref="AC171"/>
    <hyperlink r:id="rId283" ref="X172"/>
    <hyperlink r:id="rId284" ref="Y172"/>
    <hyperlink r:id="rId285" ref="AA172"/>
    <hyperlink r:id="rId286" ref="AC172"/>
    <hyperlink r:id="rId287" ref="X173"/>
    <hyperlink r:id="rId288" ref="AA173"/>
    <hyperlink r:id="rId289" ref="AC173"/>
    <hyperlink r:id="rId290" ref="X174"/>
    <hyperlink r:id="rId291" ref="Y174"/>
    <hyperlink r:id="rId292" ref="AA174"/>
    <hyperlink r:id="rId293" ref="AC174"/>
    <hyperlink r:id="rId294" ref="X175"/>
    <hyperlink r:id="rId295" ref="Y175"/>
    <hyperlink r:id="rId296" ref="AA175"/>
    <hyperlink r:id="rId297" ref="AC175"/>
    <hyperlink r:id="rId298" ref="X176"/>
    <hyperlink r:id="rId299" ref="Y176"/>
    <hyperlink r:id="rId300" ref="AA176"/>
    <hyperlink r:id="rId301" ref="AC176"/>
    <hyperlink r:id="rId302" ref="X177"/>
    <hyperlink r:id="rId303" ref="Y177"/>
    <hyperlink r:id="rId304" ref="AA177"/>
    <hyperlink r:id="rId305" ref="AC177"/>
    <hyperlink r:id="rId306" ref="X178"/>
    <hyperlink r:id="rId307" ref="Y178"/>
    <hyperlink r:id="rId308" ref="AA178"/>
    <hyperlink r:id="rId309" ref="AC178"/>
    <hyperlink r:id="rId310" ref="X179"/>
    <hyperlink r:id="rId311" ref="AA179"/>
    <hyperlink r:id="rId312" ref="AC179"/>
    <hyperlink r:id="rId313" ref="X180"/>
    <hyperlink r:id="rId314" ref="AA180"/>
    <hyperlink r:id="rId315" ref="AC180"/>
    <hyperlink r:id="rId316" ref="X181"/>
    <hyperlink r:id="rId317" ref="AA181"/>
    <hyperlink r:id="rId318" ref="AC181"/>
    <hyperlink r:id="rId319" ref="X182"/>
    <hyperlink r:id="rId320" ref="AA182"/>
    <hyperlink r:id="rId321" ref="AC182"/>
    <hyperlink r:id="rId322" ref="X183"/>
    <hyperlink r:id="rId323" ref="Y183"/>
    <hyperlink r:id="rId324" ref="AA183"/>
    <hyperlink r:id="rId325" ref="AC183"/>
    <hyperlink r:id="rId326" ref="X184"/>
    <hyperlink r:id="rId327" ref="Y184"/>
    <hyperlink r:id="rId328" ref="AA184"/>
    <hyperlink r:id="rId329" ref="AC184"/>
    <hyperlink r:id="rId330" ref="X185"/>
    <hyperlink r:id="rId331" location=".XvBr7GgzaUk" ref="Y185"/>
    <hyperlink r:id="rId332" ref="AA185"/>
    <hyperlink r:id="rId333" ref="AC185"/>
    <hyperlink r:id="rId334" ref="X186"/>
    <hyperlink r:id="rId335" ref="Y186"/>
    <hyperlink r:id="rId336" ref="AA186"/>
    <hyperlink r:id="rId337" ref="AC186"/>
    <hyperlink r:id="rId338" ref="X187"/>
    <hyperlink r:id="rId339" ref="Y187"/>
    <hyperlink r:id="rId340" ref="AA187"/>
    <hyperlink r:id="rId341" ref="AC187"/>
    <hyperlink r:id="rId342" ref="AD187"/>
    <hyperlink r:id="rId343" location="!Synapse:syn25829067/wiki/610863" ref="X188"/>
    <hyperlink r:id="rId344" location="!Synapse:syn25829067/wiki/610863" ref="AA188"/>
    <hyperlink r:id="rId345" location="!Synapse:syn51514105" ref="AC188"/>
    <hyperlink r:id="rId346" ref="X189"/>
    <hyperlink r:id="rId347" ref="Y189"/>
    <hyperlink r:id="rId348" ref="AA189"/>
    <hyperlink r:id="rId349" ref="AC189"/>
    <hyperlink r:id="rId350" ref="X190"/>
    <hyperlink r:id="rId351" ref="AA190"/>
    <hyperlink r:id="rId352" ref="AC190"/>
    <hyperlink r:id="rId353" ref="X191"/>
    <hyperlink r:id="rId354" ref="Y191"/>
    <hyperlink r:id="rId355" ref="AC191"/>
    <hyperlink r:id="rId356" ref="X192"/>
    <hyperlink r:id="rId357" ref="Y192"/>
    <hyperlink r:id="rId358" ref="AA192"/>
    <hyperlink r:id="rId359" ref="AC192"/>
    <hyperlink r:id="rId360" ref="X193"/>
    <hyperlink r:id="rId361" ref="AA193"/>
    <hyperlink r:id="rId362" ref="AC193"/>
    <hyperlink r:id="rId363" ref="X194"/>
    <hyperlink r:id="rId364" ref="Y194"/>
    <hyperlink r:id="rId365" ref="AA194"/>
    <hyperlink r:id="rId366" ref="AC194"/>
    <hyperlink r:id="rId367" ref="X195"/>
    <hyperlink r:id="rId368" ref="Y195"/>
    <hyperlink r:id="rId369" ref="AC195"/>
    <hyperlink r:id="rId370" ref="X196"/>
    <hyperlink r:id="rId371" ref="AA196"/>
    <hyperlink r:id="rId372" ref="AC196"/>
    <hyperlink r:id="rId373" ref="X197"/>
    <hyperlink r:id="rId374" ref="Y197"/>
    <hyperlink r:id="rId375" ref="AA197"/>
    <hyperlink r:id="rId376" location=".ZK5or-xBzmE" ref="AC197"/>
    <hyperlink r:id="rId377" ref="X198"/>
    <hyperlink r:id="rId378" ref="AA198"/>
    <hyperlink r:id="rId379" ref="AC198"/>
    <hyperlink r:id="rId380" ref="X199"/>
    <hyperlink r:id="rId381" ref="Y199"/>
    <hyperlink r:id="rId382" ref="AA199"/>
    <hyperlink r:id="rId383" ref="AC199"/>
    <hyperlink r:id="rId384" ref="X200"/>
    <hyperlink r:id="rId385" ref="Y200"/>
    <hyperlink r:id="rId386" ref="AA200"/>
    <hyperlink r:id="rId387" ref="AC200"/>
    <hyperlink r:id="rId388" ref="X201"/>
    <hyperlink r:id="rId389" ref="AA201"/>
    <hyperlink r:id="rId390" ref="AC201"/>
    <hyperlink r:id="rId391" ref="X202"/>
    <hyperlink r:id="rId392" ref="AA202"/>
    <hyperlink r:id="rId393" ref="AC202"/>
    <hyperlink r:id="rId394" ref="X203"/>
    <hyperlink r:id="rId395" ref="Y203"/>
    <hyperlink r:id="rId396" ref="AA203"/>
    <hyperlink r:id="rId397" location=".ZBtfBHbMJaQ" ref="AC203"/>
    <hyperlink r:id="rId398" ref="X204"/>
    <hyperlink r:id="rId399" ref="Y204"/>
    <hyperlink r:id="rId400" ref="AA204"/>
    <hyperlink r:id="rId401" ref="AC204"/>
    <hyperlink r:id="rId402" ref="X205"/>
    <hyperlink r:id="rId403" ref="Y205"/>
    <hyperlink r:id="rId404" ref="AA205"/>
    <hyperlink r:id="rId405" ref="AC205"/>
    <hyperlink r:id="rId406" ref="X206"/>
    <hyperlink r:id="rId407" ref="Y206"/>
    <hyperlink r:id="rId408" ref="AA206"/>
    <hyperlink r:id="rId409" ref="AC206"/>
    <hyperlink r:id="rId410" ref="X207"/>
    <hyperlink r:id="rId411" ref="AA207"/>
    <hyperlink r:id="rId412" location="participate-get_starting_kit" ref="AC207"/>
    <hyperlink r:id="rId413" ref="X208"/>
    <hyperlink r:id="rId414" ref="Y208"/>
    <hyperlink r:id="rId415" ref="AA208"/>
    <hyperlink r:id="rId416" ref="AC208"/>
    <hyperlink r:id="rId417" ref="X209"/>
    <hyperlink r:id="rId418" ref="Y209"/>
    <hyperlink r:id="rId419" ref="AA209"/>
    <hyperlink r:id="rId420" ref="AC209"/>
    <hyperlink r:id="rId421" location="!Synapse:syn51156910/wiki/622556" ref="X210"/>
    <hyperlink r:id="rId422" ref="Y210"/>
    <hyperlink r:id="rId423" location="!Synapse:syn51156910/wiki/622556" ref="AA210"/>
    <hyperlink r:id="rId424" location="!Synapse:syn51514109" ref="AC210"/>
    <hyperlink r:id="rId425" location="!Synapse:syn51156910/wiki/622353" ref="X211"/>
    <hyperlink r:id="rId426" ref="Y211"/>
    <hyperlink r:id="rId427" location="!Synapse:syn51156910/wiki/622353" ref="AA211"/>
    <hyperlink r:id="rId428" location="!Synapse:syn51514106" ref="AC211"/>
    <hyperlink r:id="rId429" location="!Synapse:syn51156910/wiki/622461" ref="X212"/>
    <hyperlink r:id="rId430" ref="Y212"/>
    <hyperlink r:id="rId431" location="!Synapse:syn51156910/wiki/622461" ref="AA212"/>
    <hyperlink r:id="rId432" location="!Synapse:syn51514108" ref="AC212"/>
    <hyperlink r:id="rId433" location="!Synapse:syn51156910/wiki/622553" ref="X213"/>
    <hyperlink r:id="rId434" ref="Y213"/>
    <hyperlink r:id="rId435" location="!Synapse:syn51156910/wiki/622553" ref="AA213"/>
    <hyperlink r:id="rId436" location="!Synapse:syn51514107" ref="AC213"/>
    <hyperlink r:id="rId437" ref="X214"/>
    <hyperlink r:id="rId438" ref="Y214"/>
    <hyperlink r:id="rId439" ref="AA214"/>
    <hyperlink r:id="rId440" ref="AC214"/>
    <hyperlink r:id="rId441" location="/pages-tab" ref="X215"/>
    <hyperlink r:id="rId442" location="/pages-tab" ref="AA215"/>
    <hyperlink r:id="rId443" location="/pages-tab" ref="AC215"/>
    <hyperlink r:id="rId444" ref="X216"/>
    <hyperlink r:id="rId445" ref="AA216"/>
    <hyperlink r:id="rId446" ref="AC216"/>
    <hyperlink r:id="rId447" ref="X217"/>
    <hyperlink r:id="rId448" ref="AA217"/>
    <hyperlink r:id="rId449" ref="AC217"/>
    <hyperlink r:id="rId450" ref="X218"/>
    <hyperlink r:id="rId451" ref="AA218"/>
    <hyperlink r:id="rId452" ref="AC218"/>
    <hyperlink r:id="rId453" ref="X219"/>
    <hyperlink r:id="rId454" ref="AA219"/>
    <hyperlink r:id="rId455" ref="AC219"/>
    <hyperlink r:id="rId456" ref="X220"/>
    <hyperlink r:id="rId457" ref="AA220"/>
    <hyperlink r:id="rId458" ref="AC220"/>
    <hyperlink r:id="rId459" ref="X221"/>
    <hyperlink r:id="rId460" ref="Y221"/>
    <hyperlink r:id="rId461" ref="AA221"/>
    <hyperlink r:id="rId462" ref="AC221"/>
    <hyperlink r:id="rId463" ref="X222"/>
    <hyperlink r:id="rId464" ref="Y222"/>
    <hyperlink r:id="rId465" ref="AA222"/>
    <hyperlink r:id="rId466" ref="AC222"/>
    <hyperlink r:id="rId467" ref="X223"/>
    <hyperlink r:id="rId468" ref="Y223"/>
    <hyperlink r:id="rId469" ref="AA223"/>
    <hyperlink r:id="rId470" ref="AC223"/>
    <hyperlink r:id="rId471" ref="X224"/>
    <hyperlink r:id="rId472" ref="Y224"/>
    <hyperlink r:id="rId473" ref="AA224"/>
    <hyperlink r:id="rId474" ref="AC224"/>
    <hyperlink r:id="rId475" ref="AE224"/>
    <hyperlink r:id="rId476" ref="X225"/>
    <hyperlink r:id="rId477" ref="Y225"/>
    <hyperlink r:id="rId478" ref="AA225"/>
    <hyperlink r:id="rId479" ref="AC225"/>
    <hyperlink r:id="rId480" ref="X226"/>
    <hyperlink r:id="rId481" ref="Y226"/>
    <hyperlink r:id="rId482" ref="AA226"/>
    <hyperlink r:id="rId483" ref="AC226"/>
    <hyperlink r:id="rId484" ref="X227"/>
    <hyperlink r:id="rId485" ref="Y227"/>
    <hyperlink r:id="rId486" ref="AA227"/>
    <hyperlink r:id="rId487" ref="AC227"/>
    <hyperlink r:id="rId488" ref="X228"/>
    <hyperlink r:id="rId489" ref="Y228"/>
    <hyperlink r:id="rId490" ref="AA228"/>
    <hyperlink r:id="rId491" ref="AC228"/>
    <hyperlink r:id="rId492" ref="AE228"/>
    <hyperlink r:id="rId493" ref="X229"/>
    <hyperlink r:id="rId494" ref="Y229"/>
    <hyperlink r:id="rId495" ref="AA229"/>
    <hyperlink r:id="rId496" ref="AC229"/>
    <hyperlink r:id="rId497" ref="X230"/>
    <hyperlink r:id="rId498" ref="Y230"/>
    <hyperlink r:id="rId499" ref="AA230"/>
    <hyperlink r:id="rId500" ref="AC230"/>
    <hyperlink r:id="rId501" ref="X231"/>
    <hyperlink r:id="rId502" ref="Y231"/>
    <hyperlink r:id="rId503" ref="AA231"/>
    <hyperlink r:id="rId504" ref="X233"/>
    <hyperlink r:id="rId505" ref="Y233"/>
    <hyperlink r:id="rId506" ref="AA233"/>
    <hyperlink r:id="rId507" ref="AC233"/>
    <hyperlink r:id="rId508" ref="X234"/>
    <hyperlink r:id="rId509" ref="Y234"/>
    <hyperlink r:id="rId510" ref="AA234"/>
    <hyperlink r:id="rId511" ref="AC234"/>
    <hyperlink r:id="rId512" ref="X235"/>
    <hyperlink r:id="rId513" ref="Y235"/>
    <hyperlink r:id="rId514" ref="AA235"/>
    <hyperlink r:id="rId515" ref="AC235"/>
    <hyperlink r:id="rId516" ref="X236"/>
    <hyperlink r:id="rId517" ref="Y236"/>
    <hyperlink r:id="rId518" ref="AA236"/>
    <hyperlink r:id="rId519" ref="AC236"/>
    <hyperlink r:id="rId520" ref="X237"/>
    <hyperlink r:id="rId521" ref="AA237"/>
    <hyperlink r:id="rId522" ref="AC237"/>
    <hyperlink r:id="rId523" ref="X238"/>
    <hyperlink r:id="rId524" ref="Y238"/>
    <hyperlink r:id="rId525" ref="AA238"/>
    <hyperlink r:id="rId526" ref="AC238"/>
    <hyperlink r:id="rId527" ref="X239"/>
    <hyperlink r:id="rId528" ref="Y239"/>
    <hyperlink r:id="rId529" ref="AA239"/>
    <hyperlink r:id="rId530" ref="AC239"/>
    <hyperlink r:id="rId531" ref="X240"/>
    <hyperlink r:id="rId532" ref="Y240"/>
    <hyperlink r:id="rId533" ref="AA240"/>
    <hyperlink r:id="rId534" ref="AC240"/>
    <hyperlink r:id="rId535" ref="X241"/>
    <hyperlink r:id="rId536" ref="Y241"/>
    <hyperlink r:id="rId537" ref="AA241"/>
    <hyperlink r:id="rId538" ref="AC241"/>
    <hyperlink r:id="rId539" ref="X242"/>
    <hyperlink r:id="rId540" ref="Y242"/>
    <hyperlink r:id="rId541" ref="AA242"/>
    <hyperlink r:id="rId542" ref="AC242"/>
    <hyperlink r:id="rId543" ref="X243"/>
    <hyperlink r:id="rId544" ref="Y243"/>
    <hyperlink r:id="rId545" ref="AA243"/>
    <hyperlink r:id="rId546" ref="AC243"/>
    <hyperlink r:id="rId547" ref="X244"/>
    <hyperlink r:id="rId548" ref="Y244"/>
    <hyperlink r:id="rId549" ref="AA244"/>
    <hyperlink r:id="rId550" ref="AC244"/>
    <hyperlink r:id="rId551" ref="X245"/>
    <hyperlink r:id="rId552" ref="Y245"/>
    <hyperlink r:id="rId553" ref="AA245"/>
    <hyperlink r:id="rId554" ref="AC245"/>
    <hyperlink r:id="rId555" ref="X246"/>
    <hyperlink r:id="rId556" location="citeas" ref="Y246"/>
    <hyperlink r:id="rId557" ref="AA246"/>
    <hyperlink r:id="rId558" ref="AC246"/>
    <hyperlink r:id="rId559" ref="X247"/>
    <hyperlink r:id="rId560" ref="AA247"/>
    <hyperlink r:id="rId561" ref="AC247"/>
    <hyperlink r:id="rId562" ref="X248"/>
    <hyperlink r:id="rId563" ref="AA248"/>
    <hyperlink r:id="rId564" ref="AC248"/>
    <hyperlink r:id="rId565" ref="X249"/>
    <hyperlink r:id="rId566" ref="AA249"/>
    <hyperlink r:id="rId567" ref="AC249"/>
    <hyperlink r:id="rId568" ref="X250"/>
    <hyperlink r:id="rId569" ref="Y250"/>
    <hyperlink r:id="rId570" ref="AA250"/>
    <hyperlink r:id="rId571" ref="AC250"/>
    <hyperlink r:id="rId572" ref="X251"/>
    <hyperlink r:id="rId573" ref="Y251"/>
    <hyperlink r:id="rId574" ref="AA251"/>
    <hyperlink r:id="rId575" ref="AC251"/>
    <hyperlink r:id="rId576" ref="X252"/>
    <hyperlink r:id="rId577" ref="Y252"/>
    <hyperlink r:id="rId578" ref="AA252"/>
    <hyperlink r:id="rId579" ref="AC252"/>
    <hyperlink r:id="rId580" ref="X253"/>
    <hyperlink r:id="rId581" ref="Y253"/>
    <hyperlink r:id="rId582" ref="AA253"/>
    <hyperlink r:id="rId583" ref="AC253"/>
    <hyperlink r:id="rId584" ref="X254"/>
    <hyperlink r:id="rId585" ref="Y254"/>
    <hyperlink r:id="rId586" ref="AA254"/>
    <hyperlink r:id="rId587" ref="AC254"/>
    <hyperlink r:id="rId588" ref="X255"/>
    <hyperlink r:id="rId589" ref="Y255"/>
    <hyperlink r:id="rId590" ref="AA255"/>
    <hyperlink r:id="rId591" ref="AC255"/>
    <hyperlink r:id="rId592" ref="X256"/>
    <hyperlink r:id="rId593" ref="Y256"/>
    <hyperlink r:id="rId594" ref="AA256"/>
    <hyperlink r:id="rId595" ref="AC256"/>
    <hyperlink r:id="rId596" ref="X257"/>
    <hyperlink r:id="rId597" ref="Y257"/>
    <hyperlink r:id="rId598" ref="AA257"/>
    <hyperlink r:id="rId599" ref="AC257"/>
    <hyperlink r:id="rId600" ref="X258"/>
    <hyperlink r:id="rId601" ref="AA258"/>
    <hyperlink r:id="rId602" ref="AC258"/>
    <hyperlink r:id="rId603" ref="X259"/>
    <hyperlink r:id="rId604" ref="Y259"/>
    <hyperlink r:id="rId605" ref="AA259"/>
    <hyperlink r:id="rId606" ref="AC259"/>
    <hyperlink r:id="rId607" ref="X260"/>
    <hyperlink r:id="rId608" ref="Y260"/>
    <hyperlink r:id="rId609" ref="AA260"/>
    <hyperlink r:id="rId610" ref="AC260"/>
    <hyperlink r:id="rId611" ref="X261"/>
    <hyperlink r:id="rId612" ref="Y261"/>
    <hyperlink r:id="rId613" ref="AA261"/>
    <hyperlink r:id="rId614" ref="AC261"/>
    <hyperlink r:id="rId615" ref="X262"/>
    <hyperlink r:id="rId616" ref="Y262"/>
    <hyperlink r:id="rId617" ref="AA262"/>
    <hyperlink r:id="rId618" ref="AC262"/>
    <hyperlink r:id="rId619" ref="X263"/>
    <hyperlink r:id="rId620" ref="Y263"/>
    <hyperlink r:id="rId621" ref="AA263"/>
    <hyperlink r:id="rId622" ref="AC263"/>
    <hyperlink r:id="rId623" ref="X264"/>
    <hyperlink r:id="rId624" ref="Y264"/>
    <hyperlink r:id="rId625" ref="AA264"/>
    <hyperlink r:id="rId626" ref="AC264"/>
    <hyperlink r:id="rId627" ref="X265"/>
    <hyperlink r:id="rId628" ref="Y265"/>
    <hyperlink r:id="rId629" ref="AA265"/>
    <hyperlink r:id="rId630" ref="AC265"/>
    <hyperlink r:id="rId631" ref="X266"/>
    <hyperlink r:id="rId632" ref="Y266"/>
    <hyperlink r:id="rId633" ref="AA266"/>
    <hyperlink r:id="rId634" location="!Synapse:syn53404507" ref="AC266"/>
    <hyperlink r:id="rId635" ref="X267"/>
    <hyperlink r:id="rId636" ref="Y267"/>
    <hyperlink r:id="rId637" ref="AA267"/>
    <hyperlink r:id="rId638" ref="AC267"/>
    <hyperlink r:id="rId639" ref="X268"/>
    <hyperlink r:id="rId640" ref="Y268"/>
    <hyperlink r:id="rId641" ref="AA268"/>
    <hyperlink r:id="rId642" ref="X269"/>
    <hyperlink r:id="rId643" ref="Y269"/>
    <hyperlink r:id="rId644" ref="AA269"/>
    <hyperlink r:id="rId645" ref="AC269"/>
    <hyperlink r:id="rId646" ref="X270"/>
    <hyperlink r:id="rId647" ref="Y270"/>
    <hyperlink r:id="rId648" ref="AA270"/>
    <hyperlink r:id="rId649" ref="AC270"/>
    <hyperlink r:id="rId650" ref="X271"/>
    <hyperlink r:id="rId651" ref="AA271"/>
    <hyperlink r:id="rId652" ref="AC271"/>
    <hyperlink r:id="rId653" ref="X272"/>
    <hyperlink r:id="rId654" ref="AA272"/>
    <hyperlink r:id="rId655" ref="X273"/>
    <hyperlink r:id="rId656" ref="AA273"/>
    <hyperlink r:id="rId657" ref="AC273"/>
    <hyperlink r:id="rId658" ref="X274"/>
    <hyperlink r:id="rId659" ref="AA274"/>
    <hyperlink r:id="rId660" ref="AC274"/>
    <hyperlink r:id="rId661" ref="X275"/>
    <hyperlink r:id="rId662" ref="AA275"/>
    <hyperlink r:id="rId663" ref="AC275"/>
    <hyperlink r:id="rId664" ref="X276"/>
    <hyperlink r:id="rId665" ref="AA276"/>
    <hyperlink r:id="rId666" ref="AC276"/>
    <hyperlink r:id="rId667" ref="X277"/>
    <hyperlink r:id="rId668" ref="AA277"/>
    <hyperlink r:id="rId669" ref="AC277"/>
    <hyperlink r:id="rId670" ref="X278"/>
    <hyperlink r:id="rId671" ref="AA278"/>
    <hyperlink r:id="rId672" ref="AC278"/>
    <hyperlink r:id="rId673" ref="X279"/>
    <hyperlink r:id="rId674" ref="AA279"/>
    <hyperlink r:id="rId675" ref="AC279"/>
    <hyperlink r:id="rId676" ref="X280"/>
    <hyperlink r:id="rId677" ref="AA280"/>
    <hyperlink r:id="rId678" ref="AC280"/>
    <hyperlink r:id="rId679" ref="X281"/>
    <hyperlink r:id="rId680" ref="AA281"/>
    <hyperlink r:id="rId681" ref="AC281"/>
    <hyperlink r:id="rId682" ref="X282"/>
    <hyperlink r:id="rId683" ref="AA282"/>
    <hyperlink r:id="rId684" ref="AC282"/>
    <hyperlink r:id="rId685" ref="X283"/>
    <hyperlink r:id="rId686" ref="AA283"/>
    <hyperlink r:id="rId687" ref="AC283"/>
    <hyperlink r:id="rId688" ref="X284"/>
    <hyperlink r:id="rId689" ref="AA284"/>
    <hyperlink r:id="rId690" ref="X285"/>
    <hyperlink r:id="rId691" ref="AA285"/>
    <hyperlink r:id="rId692" ref="X286"/>
    <hyperlink r:id="rId693" ref="AA286"/>
    <hyperlink r:id="rId694" ref="X287"/>
    <hyperlink r:id="rId695" ref="AA287"/>
    <hyperlink r:id="rId696" ref="AC287"/>
    <hyperlink r:id="rId697" ref="X288"/>
    <hyperlink r:id="rId698" ref="AA288"/>
    <hyperlink r:id="rId699" ref="AC288"/>
    <hyperlink r:id="rId700" ref="X289"/>
    <hyperlink r:id="rId701" ref="AA289"/>
    <hyperlink r:id="rId702" ref="AC289"/>
    <hyperlink r:id="rId703" ref="X290"/>
    <hyperlink r:id="rId704" ref="AA290"/>
    <hyperlink r:id="rId705" ref="AC290"/>
    <hyperlink r:id="rId706" ref="X291"/>
    <hyperlink r:id="rId707" ref="AA291"/>
    <hyperlink r:id="rId708" ref="AC291"/>
    <hyperlink r:id="rId709" ref="X292"/>
    <hyperlink r:id="rId710" ref="AA292"/>
    <hyperlink r:id="rId711" ref="X293"/>
    <hyperlink r:id="rId712" ref="AA293"/>
    <hyperlink r:id="rId713" ref="X294"/>
    <hyperlink r:id="rId714" ref="AA294"/>
    <hyperlink r:id="rId715" ref="X295"/>
    <hyperlink r:id="rId716" ref="AA295"/>
    <hyperlink r:id="rId717" ref="X296"/>
    <hyperlink r:id="rId718" ref="AA296"/>
    <hyperlink r:id="rId719" ref="AC296"/>
    <hyperlink r:id="rId720" ref="X297"/>
    <hyperlink r:id="rId721" ref="AA297"/>
    <hyperlink r:id="rId722" ref="AC297"/>
    <hyperlink r:id="rId723" ref="X298"/>
    <hyperlink r:id="rId724" ref="AA298"/>
    <hyperlink r:id="rId725" ref="AC298"/>
    <hyperlink r:id="rId726" ref="X299"/>
    <hyperlink r:id="rId727" ref="AA299"/>
    <hyperlink r:id="rId728" ref="X300"/>
    <hyperlink r:id="rId729" ref="AA300"/>
    <hyperlink r:id="rId730" ref="X301"/>
    <hyperlink r:id="rId731" ref="AA301"/>
    <hyperlink r:id="rId732" ref="X302"/>
    <hyperlink r:id="rId733" ref="AA302"/>
    <hyperlink r:id="rId734" ref="X303"/>
    <hyperlink r:id="rId735" ref="AA303"/>
    <hyperlink r:id="rId736" ref="X304"/>
    <hyperlink r:id="rId737" ref="AA304"/>
    <hyperlink r:id="rId738" ref="AC304"/>
    <hyperlink r:id="rId739" ref="X305"/>
    <hyperlink r:id="rId740" ref="AA305"/>
    <hyperlink r:id="rId741" ref="AC305"/>
    <hyperlink r:id="rId742" ref="X306"/>
    <hyperlink r:id="rId743" ref="AA306"/>
    <hyperlink r:id="rId744" ref="AC306"/>
    <hyperlink r:id="rId745" ref="X307"/>
    <hyperlink r:id="rId746" ref="AA307"/>
    <hyperlink r:id="rId747" ref="AC307"/>
    <hyperlink r:id="rId748" ref="X308"/>
    <hyperlink r:id="rId749" ref="AA308"/>
    <hyperlink r:id="rId750" ref="AC308"/>
    <hyperlink r:id="rId751" ref="X309"/>
    <hyperlink r:id="rId752" ref="AA309"/>
    <hyperlink r:id="rId753" ref="AC309"/>
    <hyperlink r:id="rId754" ref="X310"/>
    <hyperlink r:id="rId755" ref="AA310"/>
    <hyperlink r:id="rId756" ref="AC310"/>
    <hyperlink r:id="rId757" ref="X311"/>
    <hyperlink r:id="rId758" ref="AA311"/>
    <hyperlink r:id="rId759" location="!Synapse:syn53708126" ref="AC311"/>
    <hyperlink r:id="rId760" ref="X312"/>
    <hyperlink r:id="rId761" ref="AA312"/>
    <hyperlink r:id="rId762" ref="X313"/>
    <hyperlink r:id="rId763" ref="AA313"/>
    <hyperlink r:id="rId764" ref="X314"/>
    <hyperlink r:id="rId765" ref="AA314"/>
    <hyperlink r:id="rId766" ref="X315"/>
    <hyperlink r:id="rId767" ref="AA315"/>
    <hyperlink r:id="rId768" ref="X316"/>
    <hyperlink r:id="rId769" ref="AA316"/>
    <hyperlink r:id="rId770" ref="X317"/>
    <hyperlink r:id="rId771" ref="AA317"/>
    <hyperlink r:id="rId772" ref="X318"/>
    <hyperlink r:id="rId773" ref="AA318"/>
    <hyperlink r:id="rId774" ref="X319"/>
    <hyperlink r:id="rId775" ref="AA319"/>
    <hyperlink r:id="rId776" ref="X320"/>
    <hyperlink r:id="rId777" ref="AA320"/>
    <hyperlink r:id="rId778" ref="X321"/>
    <hyperlink r:id="rId779" ref="AA321"/>
    <hyperlink r:id="rId780" ref="X322"/>
    <hyperlink r:id="rId781" ref="AA322"/>
    <hyperlink r:id="rId782" ref="X323"/>
    <hyperlink r:id="rId783" ref="AA323"/>
    <hyperlink r:id="rId784" ref="X324"/>
    <hyperlink r:id="rId785" ref="AA324"/>
    <hyperlink r:id="rId786" ref="X325"/>
    <hyperlink r:id="rId787" ref="AA325"/>
    <hyperlink r:id="rId788" ref="X326"/>
    <hyperlink r:id="rId789" ref="AA326"/>
    <hyperlink r:id="rId790" ref="X327"/>
    <hyperlink r:id="rId791" ref="AA327"/>
    <hyperlink r:id="rId792" location="!Synapse:syn51236108/wiki/621615" ref="X328"/>
    <hyperlink r:id="rId793" location="!Synapse:syn51236108/wiki/621615" ref="AA328"/>
    <hyperlink r:id="rId794" ref="X329"/>
    <hyperlink r:id="rId795" ref="AA329"/>
    <hyperlink r:id="rId796" ref="X330"/>
    <hyperlink r:id="rId797" ref="AA330"/>
    <hyperlink r:id="rId798" ref="X331"/>
    <hyperlink r:id="rId799" ref="AA331"/>
    <hyperlink r:id="rId800" ref="I332"/>
    <hyperlink r:id="rId801" ref="X332"/>
    <hyperlink r:id="rId802" ref="AA332"/>
    <hyperlink r:id="rId803" ref="I333"/>
    <hyperlink r:id="rId804" ref="X333"/>
    <hyperlink r:id="rId805" ref="AA333"/>
    <hyperlink r:id="rId806" ref="I334"/>
    <hyperlink r:id="rId807" ref="X334"/>
    <hyperlink r:id="rId808" ref="AA334"/>
    <hyperlink r:id="rId809" ref="X335"/>
    <hyperlink r:id="rId810" ref="AA335"/>
    <hyperlink r:id="rId811" ref="X336"/>
    <hyperlink r:id="rId812" ref="AA336"/>
    <hyperlink r:id="rId813" ref="I337"/>
    <hyperlink r:id="rId814" ref="X337"/>
    <hyperlink r:id="rId815" ref="AA337"/>
    <hyperlink r:id="rId816" ref="X338"/>
    <hyperlink r:id="rId817" ref="AA338"/>
    <hyperlink r:id="rId818" ref="X339"/>
    <hyperlink r:id="rId819" ref="AA339"/>
    <hyperlink r:id="rId820" ref="X340"/>
    <hyperlink r:id="rId821" ref="AA340"/>
    <hyperlink r:id="rId822" ref="X341"/>
    <hyperlink r:id="rId823" ref="AA341"/>
    <hyperlink r:id="rId824" ref="I342"/>
    <hyperlink r:id="rId825" ref="X342"/>
    <hyperlink r:id="rId826" ref="AA342"/>
    <hyperlink r:id="rId827" ref="X343"/>
    <hyperlink r:id="rId828" ref="AA343"/>
    <hyperlink r:id="rId829" ref="X344"/>
    <hyperlink r:id="rId830" ref="AA344"/>
    <hyperlink r:id="rId831" ref="X345"/>
    <hyperlink r:id="rId832" ref="AA345"/>
    <hyperlink r:id="rId833" ref="X346"/>
    <hyperlink r:id="rId834" ref="AA346"/>
    <hyperlink r:id="rId835" ref="X347"/>
    <hyperlink r:id="rId836" ref="AA347"/>
    <hyperlink r:id="rId837" ref="X348"/>
    <hyperlink r:id="rId838" ref="AA348"/>
    <hyperlink r:id="rId839" ref="X349"/>
    <hyperlink r:id="rId840" ref="AA349"/>
    <hyperlink r:id="rId841" ref="X350"/>
    <hyperlink r:id="rId842" ref="AA350"/>
    <hyperlink r:id="rId843" ref="X351"/>
    <hyperlink r:id="rId844" ref="AA351"/>
    <hyperlink r:id="rId845" ref="X352"/>
    <hyperlink r:id="rId846" ref="AA352"/>
    <hyperlink r:id="rId847" ref="X353"/>
    <hyperlink r:id="rId848" ref="AA353"/>
    <hyperlink r:id="rId849" ref="X354"/>
    <hyperlink r:id="rId850" ref="AA354"/>
    <hyperlink r:id="rId851" ref="X355"/>
    <hyperlink r:id="rId852" ref="AA355"/>
    <hyperlink r:id="rId853" ref="X356"/>
    <hyperlink r:id="rId854" ref="AA356"/>
    <hyperlink r:id="rId855" ref="I357"/>
    <hyperlink r:id="rId856" ref="X357"/>
    <hyperlink r:id="rId857" ref="AA357"/>
    <hyperlink r:id="rId858" ref="X358"/>
    <hyperlink r:id="rId859" ref="AA358"/>
    <hyperlink r:id="rId860" ref="X359"/>
    <hyperlink r:id="rId861" ref="AA359"/>
    <hyperlink r:id="rId862" ref="X360"/>
    <hyperlink r:id="rId863" ref="AA360"/>
    <hyperlink r:id="rId864" ref="X361"/>
    <hyperlink r:id="rId865" ref="AA361"/>
    <hyperlink r:id="rId866" ref="AC361"/>
    <hyperlink r:id="rId867" ref="X362"/>
    <hyperlink r:id="rId868" ref="AA362"/>
    <hyperlink r:id="rId869" ref="X363"/>
    <hyperlink r:id="rId870" ref="AA363"/>
    <hyperlink r:id="rId871" ref="X364"/>
    <hyperlink r:id="rId872" ref="AA364"/>
    <hyperlink r:id="rId873" ref="X365"/>
    <hyperlink r:id="rId874" ref="AA365"/>
    <hyperlink r:id="rId875" ref="I366"/>
    <hyperlink r:id="rId876" ref="X366"/>
    <hyperlink r:id="rId877" ref="AA366"/>
    <hyperlink r:id="rId878" ref="X367"/>
    <hyperlink r:id="rId879" ref="AA367"/>
    <hyperlink r:id="rId880" ref="X368"/>
    <hyperlink r:id="rId881" ref="AA368"/>
    <hyperlink r:id="rId882" ref="X369"/>
    <hyperlink r:id="rId883" ref="AA369"/>
    <hyperlink r:id="rId884" ref="X370"/>
    <hyperlink r:id="rId885" ref="AA370"/>
    <hyperlink r:id="rId886" ref="X371"/>
    <hyperlink r:id="rId887" ref="AA371"/>
    <hyperlink r:id="rId888" ref="X372"/>
    <hyperlink r:id="rId889" ref="AA372"/>
    <hyperlink r:id="rId890" ref="X373"/>
    <hyperlink r:id="rId891" ref="AA373"/>
    <hyperlink r:id="rId892" ref="X374"/>
    <hyperlink r:id="rId893" ref="AA374"/>
    <hyperlink r:id="rId894" ref="X375"/>
    <hyperlink r:id="rId895" ref="AA375"/>
    <hyperlink r:id="rId896" ref="X376"/>
    <hyperlink r:id="rId897" ref="AA376"/>
    <hyperlink r:id="rId898" ref="X377"/>
    <hyperlink r:id="rId899" ref="AA377"/>
    <hyperlink r:id="rId900" ref="X378"/>
    <hyperlink r:id="rId901" ref="AA378"/>
    <hyperlink r:id="rId902" ref="X379"/>
    <hyperlink r:id="rId903" ref="AA379"/>
    <hyperlink r:id="rId904" ref="X380"/>
    <hyperlink r:id="rId905" ref="AA380"/>
    <hyperlink r:id="rId906" ref="X381"/>
    <hyperlink r:id="rId907" ref="AA381"/>
    <hyperlink r:id="rId908" ref="X382"/>
    <hyperlink r:id="rId909" ref="AA382"/>
    <hyperlink r:id="rId910" location="dataladInstructions" ref="I383"/>
    <hyperlink r:id="rId911" ref="X383"/>
    <hyperlink r:id="rId912" ref="AA383"/>
    <hyperlink r:id="rId913" ref="I384"/>
    <hyperlink r:id="rId914" ref="X384"/>
    <hyperlink r:id="rId915" ref="AA384"/>
    <hyperlink r:id="rId916" ref="X385"/>
    <hyperlink r:id="rId917" ref="AA385"/>
    <hyperlink r:id="rId918" ref="X386"/>
    <hyperlink r:id="rId919" ref="AA386"/>
    <hyperlink r:id="rId920" ref="X387"/>
    <hyperlink r:id="rId921" ref="AA387"/>
    <hyperlink r:id="rId922" ref="X388"/>
    <hyperlink r:id="rId923" ref="AA388"/>
    <hyperlink r:id="rId924" ref="X389"/>
    <hyperlink r:id="rId925" ref="AA389"/>
    <hyperlink r:id="rId926" ref="X390"/>
    <hyperlink r:id="rId927" ref="AA390"/>
    <hyperlink r:id="rId928" ref="X391"/>
    <hyperlink r:id="rId929" ref="AA391"/>
    <hyperlink r:id="rId930" ref="X392"/>
    <hyperlink r:id="rId931" ref="AA392"/>
    <hyperlink r:id="rId932" ref="X393"/>
    <hyperlink r:id="rId933" ref="AA393"/>
    <hyperlink r:id="rId934" ref="X394"/>
    <hyperlink r:id="rId935" ref="AA394"/>
    <hyperlink r:id="rId936" ref="X395"/>
    <hyperlink r:id="rId937" ref="AA395"/>
    <hyperlink r:id="rId938" ref="X396"/>
    <hyperlink r:id="rId939" ref="AA396"/>
    <hyperlink r:id="rId940" ref="X397"/>
    <hyperlink r:id="rId941" ref="AA397"/>
    <hyperlink r:id="rId942" ref="X398"/>
    <hyperlink r:id="rId943" ref="AA398"/>
    <hyperlink r:id="rId944" ref="X399"/>
    <hyperlink r:id="rId945" ref="AA399"/>
    <hyperlink r:id="rId946" ref="X400"/>
    <hyperlink r:id="rId947" ref="AA400"/>
    <hyperlink r:id="rId948" ref="X401"/>
    <hyperlink r:id="rId949" ref="AA401"/>
    <hyperlink r:id="rId950" ref="X402"/>
    <hyperlink r:id="rId951" ref="AA402"/>
    <hyperlink r:id="rId952" ref="X403"/>
    <hyperlink r:id="rId953" ref="AA403"/>
    <hyperlink r:id="rId954" ref="X404"/>
    <hyperlink r:id="rId955" ref="AA404"/>
    <hyperlink r:id="rId956" ref="X405"/>
    <hyperlink r:id="rId957" ref="AA405"/>
    <hyperlink r:id="rId958" ref="X406"/>
    <hyperlink r:id="rId959" ref="AA406"/>
    <hyperlink r:id="rId960" ref="X407"/>
    <hyperlink r:id="rId961" ref="AA407"/>
    <hyperlink r:id="rId962" ref="X408"/>
    <hyperlink r:id="rId963" ref="AA408"/>
    <hyperlink r:id="rId964" ref="X409"/>
    <hyperlink r:id="rId965" ref="AA409"/>
    <hyperlink r:id="rId966" ref="X410"/>
    <hyperlink r:id="rId967" ref="AA410"/>
    <hyperlink r:id="rId968" ref="X411"/>
    <hyperlink r:id="rId969" ref="AA411"/>
    <hyperlink r:id="rId970" ref="X412"/>
    <hyperlink r:id="rId971" ref="AA412"/>
    <hyperlink r:id="rId972" ref="I413"/>
    <hyperlink r:id="rId973" ref="X413"/>
    <hyperlink r:id="rId974" ref="AA413"/>
    <hyperlink r:id="rId975" ref="X414"/>
    <hyperlink r:id="rId976" ref="AA414"/>
    <hyperlink r:id="rId977" ref="X415"/>
    <hyperlink r:id="rId978" ref="AA415"/>
    <hyperlink r:id="rId979" ref="X416"/>
    <hyperlink r:id="rId980" ref="AA416"/>
    <hyperlink r:id="rId981" ref="X417"/>
    <hyperlink r:id="rId982" ref="AA417"/>
    <hyperlink r:id="rId983" ref="X418"/>
    <hyperlink r:id="rId984" ref="AA418"/>
    <hyperlink r:id="rId985" ref="X419"/>
    <hyperlink r:id="rId986" ref="AA419"/>
    <hyperlink r:id="rId987" ref="X420"/>
    <hyperlink r:id="rId988" ref="AA420"/>
    <hyperlink r:id="rId989" ref="X421"/>
    <hyperlink r:id="rId990" ref="AA421"/>
    <hyperlink r:id="rId991" ref="X422"/>
    <hyperlink r:id="rId992" ref="AA422"/>
    <hyperlink r:id="rId993" ref="X423"/>
    <hyperlink r:id="rId994" ref="AA423"/>
    <hyperlink r:id="rId995" ref="X424"/>
    <hyperlink r:id="rId996" ref="AA424"/>
    <hyperlink r:id="rId997" ref="X425"/>
    <hyperlink r:id="rId998" ref="AA425"/>
    <hyperlink r:id="rId999" ref="X426"/>
    <hyperlink r:id="rId1000" ref="AA426"/>
    <hyperlink r:id="rId1001" ref="X427"/>
    <hyperlink r:id="rId1002" ref="AA427"/>
    <hyperlink r:id="rId1003" ref="X428"/>
    <hyperlink r:id="rId1004" ref="AA428"/>
    <hyperlink r:id="rId1005" location=".ZDAKbexByWA" ref="X429"/>
    <hyperlink r:id="rId1006" location=".ZDAKbexByWA" ref="AA429"/>
    <hyperlink r:id="rId1007" ref="X430"/>
    <hyperlink r:id="rId1008" ref="AA430"/>
    <hyperlink r:id="rId1009" ref="X431"/>
    <hyperlink r:id="rId1010" ref="AA431"/>
    <hyperlink r:id="rId1011" ref="X432"/>
    <hyperlink r:id="rId1012" ref="AA432"/>
    <hyperlink r:id="rId1013" ref="X433"/>
    <hyperlink r:id="rId1014" ref="AA433"/>
    <hyperlink r:id="rId1015" ref="X434"/>
    <hyperlink r:id="rId1016" ref="AA434"/>
    <hyperlink r:id="rId1017" ref="X435"/>
    <hyperlink r:id="rId1018" ref="AA435"/>
    <hyperlink r:id="rId1019" ref="X436"/>
    <hyperlink r:id="rId1020" ref="AA436"/>
    <hyperlink r:id="rId1021" ref="X437"/>
    <hyperlink r:id="rId1022" ref="AA437"/>
    <hyperlink r:id="rId1023" ref="X438"/>
    <hyperlink r:id="rId1024" ref="AA438"/>
    <hyperlink r:id="rId1025" ref="X439"/>
    <hyperlink r:id="rId1026" ref="AA439"/>
    <hyperlink r:id="rId1027" ref="X440"/>
    <hyperlink r:id="rId1028" ref="AA440"/>
    <hyperlink r:id="rId1029" ref="X441"/>
    <hyperlink r:id="rId1030" ref="AA441"/>
    <hyperlink r:id="rId1031" ref="X442"/>
    <hyperlink r:id="rId1032" ref="AA442"/>
    <hyperlink r:id="rId1033" ref="X443"/>
    <hyperlink r:id="rId1034" ref="AA443"/>
    <hyperlink r:id="rId1035" ref="X444"/>
    <hyperlink r:id="rId1036" ref="AA444"/>
    <hyperlink r:id="rId1037" ref="AC444"/>
    <hyperlink r:id="rId1038" ref="X445"/>
    <hyperlink r:id="rId1039" ref="AA445"/>
    <hyperlink r:id="rId1040" ref="AC445"/>
    <hyperlink r:id="rId1041" ref="X446"/>
    <hyperlink r:id="rId1042" ref="AA446"/>
    <hyperlink r:id="rId1043" ref="AC446"/>
    <hyperlink r:id="rId1044" ref="X447"/>
    <hyperlink r:id="rId1045" ref="AA447"/>
    <hyperlink r:id="rId1046" ref="X448"/>
    <hyperlink r:id="rId1047" ref="AA448"/>
    <hyperlink r:id="rId1048" ref="AC448"/>
    <hyperlink r:id="rId1049" ref="X449"/>
    <hyperlink r:id="rId1050" ref="AA449"/>
    <hyperlink r:id="rId1051" ref="AC449"/>
    <hyperlink r:id="rId1052" ref="X450"/>
    <hyperlink r:id="rId1053" ref="AA450"/>
    <hyperlink r:id="rId1054" ref="AC450"/>
    <hyperlink r:id="rId1055" ref="X451"/>
    <hyperlink r:id="rId1056" ref="AA451"/>
    <hyperlink r:id="rId1057" ref="AC451"/>
    <hyperlink r:id="rId1058" ref="X452"/>
    <hyperlink r:id="rId1059" ref="AA452"/>
    <hyperlink r:id="rId1060" ref="AC452"/>
    <hyperlink r:id="rId1061" ref="X453"/>
    <hyperlink r:id="rId1062" ref="AA453"/>
    <hyperlink r:id="rId1063" ref="AC453"/>
    <hyperlink r:id="rId1064" ref="X454"/>
    <hyperlink r:id="rId1065" ref="AA454"/>
    <hyperlink r:id="rId1066" ref="AC454"/>
    <hyperlink r:id="rId1067" ref="X455"/>
    <hyperlink r:id="rId1068" ref="AA455"/>
    <hyperlink r:id="rId1069" ref="AC455"/>
    <hyperlink r:id="rId1070" ref="X456"/>
    <hyperlink r:id="rId1071" ref="AA456"/>
    <hyperlink r:id="rId1072" ref="AC456"/>
    <hyperlink r:id="rId1073" ref="X457"/>
    <hyperlink r:id="rId1074" ref="AA457"/>
    <hyperlink r:id="rId1075" ref="AC457"/>
    <hyperlink r:id="rId1076" ref="X458"/>
    <hyperlink r:id="rId1077" ref="AA458"/>
    <hyperlink r:id="rId1078" ref="AC458"/>
    <hyperlink r:id="rId1079" ref="X459"/>
    <hyperlink r:id="rId1080" ref="AA459"/>
    <hyperlink r:id="rId1081" ref="AC459"/>
    <hyperlink r:id="rId1082" ref="X460"/>
    <hyperlink r:id="rId1083" ref="AA460"/>
    <hyperlink r:id="rId1084" ref="AC460"/>
    <hyperlink r:id="rId1085" ref="X461"/>
    <hyperlink r:id="rId1086" ref="AA461"/>
    <hyperlink r:id="rId1087" ref="AC461"/>
    <hyperlink r:id="rId1088" ref="X462"/>
    <hyperlink r:id="rId1089" ref="AA462"/>
    <hyperlink r:id="rId1090" ref="AC462"/>
    <hyperlink r:id="rId1091" ref="X463"/>
    <hyperlink r:id="rId1092" ref="AA463"/>
    <hyperlink r:id="rId1093" ref="AC463"/>
    <hyperlink r:id="rId1094" ref="X464"/>
    <hyperlink r:id="rId1095" ref="AA464"/>
    <hyperlink r:id="rId1096" ref="AC464"/>
    <hyperlink r:id="rId1097" ref="X465"/>
    <hyperlink r:id="rId1098" ref="AA465"/>
    <hyperlink r:id="rId1099" ref="AC465"/>
    <hyperlink r:id="rId1100" ref="X466"/>
    <hyperlink r:id="rId1101" ref="AA466"/>
    <hyperlink r:id="rId1102" ref="AC466"/>
    <hyperlink r:id="rId1103" ref="X467"/>
    <hyperlink r:id="rId1104" ref="AA467"/>
    <hyperlink r:id="rId1105" ref="AC467"/>
    <hyperlink r:id="rId1106" ref="X468"/>
    <hyperlink r:id="rId1107" ref="AA468"/>
    <hyperlink r:id="rId1108" ref="AC468"/>
    <hyperlink r:id="rId1109" ref="AA469"/>
    <hyperlink r:id="rId1110" ref="AB469"/>
    <hyperlink r:id="rId1111" ref="AD469"/>
    <hyperlink r:id="rId1112" ref="AA470"/>
    <hyperlink r:id="rId1113" ref="AB470"/>
    <hyperlink r:id="rId1114" ref="AD470"/>
    <hyperlink r:id="rId1115" ref="AA471"/>
    <hyperlink r:id="rId1116" ref="AB471"/>
    <hyperlink r:id="rId1117" ref="AD471"/>
    <hyperlink r:id="rId1118" ref="AA472"/>
    <hyperlink r:id="rId1119" ref="AB472"/>
    <hyperlink r:id="rId1120" ref="AD472"/>
    <hyperlink r:id="rId1121" ref="AA473"/>
    <hyperlink r:id="rId1122" ref="AB473"/>
    <hyperlink r:id="rId1123" ref="AD473"/>
    <hyperlink r:id="rId1124" location="!Synapse:syn3193805/wiki/" ref="AA474"/>
    <hyperlink r:id="rId1125" location="!Synapse:syn3193805/files/" ref="AD474"/>
    <hyperlink r:id="rId1126" location="!Synapse:syn3193805/wiki/217790" ref="AA475"/>
    <hyperlink r:id="rId1127" location="!Synapse:syn3378972" ref="AD475"/>
    <hyperlink r:id="rId1128" ref="AA476"/>
    <hyperlink r:id="rId1129" location="participate" ref="AD476"/>
    <hyperlink r:id="rId1130" ref="AA477"/>
    <hyperlink r:id="rId1131" ref="AB477"/>
    <hyperlink r:id="rId1132" ref="AD477"/>
    <hyperlink r:id="rId1133" ref="AA478"/>
    <hyperlink r:id="rId1134" ref="AB478"/>
    <hyperlink r:id="rId1135" ref="AD478"/>
    <hyperlink r:id="rId1136" ref="AA479"/>
    <hyperlink r:id="rId1137" ref="AB479"/>
    <hyperlink r:id="rId1138" ref="AD479"/>
    <hyperlink r:id="rId1139" ref="AA480"/>
    <hyperlink r:id="rId1140" ref="AB480"/>
    <hyperlink r:id="rId1141" ref="AD480"/>
    <hyperlink r:id="rId1142" ref="AA481"/>
    <hyperlink r:id="rId1143" ref="AB481"/>
    <hyperlink r:id="rId1144" location=".Yl_9itpBxaQ" ref="AD481"/>
    <hyperlink r:id="rId1145" ref="AA482"/>
    <hyperlink r:id="rId1146" ref="AA483"/>
    <hyperlink r:id="rId1147" ref="AA484"/>
    <hyperlink r:id="rId1148" ref="AA485"/>
    <hyperlink r:id="rId1149" ref="AA486"/>
    <hyperlink r:id="rId1150" ref="AA487"/>
    <hyperlink r:id="rId1151" ref="AD487"/>
    <hyperlink r:id="rId1152" ref="AA488"/>
    <hyperlink r:id="rId1153" ref="AD488"/>
    <hyperlink r:id="rId1154" ref="AA489"/>
    <hyperlink r:id="rId1155" ref="AB489"/>
    <hyperlink r:id="rId1156" ref="AD489"/>
    <hyperlink r:id="rId1157" ref="AA490"/>
    <hyperlink r:id="rId1158" ref="AB490"/>
    <hyperlink r:id="rId1159" ref="AD490"/>
    <hyperlink r:id="rId1160" ref="AA491"/>
    <hyperlink r:id="rId1161" ref="AB491"/>
    <hyperlink r:id="rId1162" location=".YfDOl-pBybh" ref="AD491"/>
    <hyperlink r:id="rId1163" ref="AA492"/>
    <hyperlink r:id="rId1164" ref="AB492"/>
    <hyperlink r:id="rId1165" ref="AD492"/>
    <hyperlink r:id="rId1166" ref="AA493"/>
    <hyperlink r:id="rId1167" ref="AB493"/>
    <hyperlink r:id="rId1168" ref="AD493"/>
    <hyperlink r:id="rId1169" ref="AA494"/>
    <hyperlink r:id="rId1170" ref="AB494"/>
    <hyperlink r:id="rId1171" ref="AD494"/>
    <hyperlink r:id="rId1172" ref="AA495"/>
    <hyperlink r:id="rId1173" location="learn_the_details-dataset" ref="AD495"/>
    <hyperlink r:id="rId1174" ref="AA496"/>
    <hyperlink r:id="rId1175" ref="AD496"/>
    <hyperlink r:id="rId1176" ref="AA497"/>
    <hyperlink r:id="rId1177" ref="AB497"/>
    <hyperlink r:id="rId1178" ref="AD497"/>
    <hyperlink r:id="rId1179" ref="AA498"/>
    <hyperlink r:id="rId1180" ref="AB498"/>
    <hyperlink r:id="rId1181" ref="AD498"/>
    <hyperlink r:id="rId1182" ref="AA499"/>
    <hyperlink r:id="rId1183" ref="AB499"/>
    <hyperlink r:id="rId1184" ref="AD499"/>
    <hyperlink r:id="rId1185" ref="AA500"/>
    <hyperlink r:id="rId1186" ref="AD500"/>
    <hyperlink r:id="rId1187" ref="AA501"/>
    <hyperlink r:id="rId1188" ref="AD501"/>
    <hyperlink r:id="rId1189" ref="AA502"/>
    <hyperlink r:id="rId1190" ref="AB502"/>
    <hyperlink r:id="rId1191" ref="AD502"/>
    <hyperlink r:id="rId1192" ref="AA503"/>
    <hyperlink r:id="rId1193" ref="AB503"/>
    <hyperlink r:id="rId1194" ref="AD503"/>
    <hyperlink r:id="rId1195" ref="AA504"/>
    <hyperlink r:id="rId1196" ref="AB504"/>
    <hyperlink r:id="rId1197" ref="AD504"/>
    <hyperlink r:id="rId1198" ref="AA505"/>
    <hyperlink r:id="rId1199" ref="AD505"/>
    <hyperlink r:id="rId1200" ref="AA506"/>
    <hyperlink r:id="rId1201" location="learn_the_details-dataset" ref="AD506"/>
    <hyperlink r:id="rId1202" ref="AD507"/>
    <hyperlink r:id="rId1203" ref="AA508"/>
    <hyperlink r:id="rId1204" ref="AB508"/>
    <hyperlink r:id="rId1205" ref="AD508"/>
    <hyperlink r:id="rId1206" ref="AA509"/>
    <hyperlink r:id="rId1207" ref="AD509"/>
    <hyperlink r:id="rId1208" ref="AA510"/>
    <hyperlink r:id="rId1209" ref="AD510"/>
    <hyperlink r:id="rId1210" ref="AA511"/>
    <hyperlink r:id="rId1211" ref="AD511"/>
    <hyperlink r:id="rId1212" ref="AA512"/>
    <hyperlink r:id="rId1213" ref="AB512"/>
    <hyperlink r:id="rId1214" ref="AD512"/>
    <hyperlink r:id="rId1215" ref="AA513"/>
    <hyperlink r:id="rId1216" ref="AB513"/>
    <hyperlink r:id="rId1217" ref="AD513"/>
    <hyperlink r:id="rId1218" ref="AA514"/>
    <hyperlink r:id="rId1219" ref="AB514"/>
    <hyperlink r:id="rId1220" ref="AD514"/>
    <hyperlink r:id="rId1221" ref="AA515"/>
    <hyperlink r:id="rId1222" ref="AD515"/>
    <hyperlink r:id="rId1223" ref="AA516"/>
    <hyperlink r:id="rId1224" ref="AD516"/>
    <hyperlink r:id="rId1225" ref="AA517"/>
    <hyperlink r:id="rId1226" ref="AA518"/>
    <hyperlink r:id="rId1227" ref="AA519"/>
    <hyperlink r:id="rId1228" ref="AD519"/>
    <hyperlink r:id="rId1229" ref="AA520"/>
    <hyperlink r:id="rId1230" ref="AB520"/>
    <hyperlink r:id="rId1231" ref="AD520"/>
    <hyperlink r:id="rId1232" ref="AA521"/>
    <hyperlink r:id="rId1233" ref="AD521"/>
    <hyperlink r:id="rId1234" ref="AA522"/>
    <hyperlink r:id="rId1235" ref="AB522"/>
    <hyperlink r:id="rId1236" ref="AD522"/>
    <hyperlink r:id="rId1237" ref="AA523"/>
    <hyperlink r:id="rId1238" ref="AD523"/>
    <hyperlink r:id="rId1239" ref="AA524"/>
    <hyperlink r:id="rId1240" ref="AB524"/>
    <hyperlink r:id="rId1241" ref="AD524"/>
    <hyperlink r:id="rId1242" ref="AA525"/>
    <hyperlink r:id="rId1243" ref="AD525"/>
    <hyperlink r:id="rId1244" ref="AA526"/>
    <hyperlink r:id="rId1245" ref="AB526"/>
    <hyperlink r:id="rId1246" ref="AD526"/>
    <hyperlink r:id="rId1247" ref="AA527"/>
    <hyperlink r:id="rId1248" ref="AB527"/>
    <hyperlink r:id="rId1249" ref="AD527"/>
    <hyperlink r:id="rId1250" ref="AA528"/>
    <hyperlink r:id="rId1251" ref="AB528"/>
    <hyperlink r:id="rId1252" ref="AA529"/>
    <hyperlink r:id="rId1253" ref="AB529"/>
    <hyperlink r:id="rId1254" ref="AD529"/>
    <hyperlink r:id="rId1255" ref="AB530"/>
    <hyperlink r:id="rId1256" ref="AD530"/>
    <hyperlink r:id="rId1257" ref="AA531"/>
    <hyperlink r:id="rId1258" ref="AB531"/>
    <hyperlink r:id="rId1259" ref="AD531"/>
    <hyperlink r:id="rId1260" ref="AA532"/>
    <hyperlink r:id="rId1261" ref="AB532"/>
    <hyperlink r:id="rId1262" ref="AD532"/>
    <hyperlink r:id="rId1263" ref="AA533"/>
    <hyperlink r:id="rId1264" ref="AB533"/>
    <hyperlink r:id="rId1265" ref="AD533"/>
    <hyperlink r:id="rId1266" ref="AB534"/>
    <hyperlink r:id="rId1267" ref="AD534"/>
    <hyperlink r:id="rId1268" ref="AA535"/>
    <hyperlink r:id="rId1269" ref="AB535"/>
    <hyperlink r:id="rId1270" ref="AD535"/>
    <hyperlink r:id="rId1271" ref="AA536"/>
    <hyperlink r:id="rId1272" ref="AB536"/>
    <hyperlink r:id="rId1273" ref="AD536"/>
    <hyperlink r:id="rId1274" ref="AB537"/>
    <hyperlink r:id="rId1275" ref="AD537"/>
    <hyperlink r:id="rId1276" ref="AA538"/>
    <hyperlink r:id="rId1277" ref="AB538"/>
    <hyperlink r:id="rId1278" ref="AD538"/>
    <hyperlink r:id="rId1279" ref="AA539"/>
    <hyperlink r:id="rId1280" ref="AB539"/>
    <hyperlink r:id="rId1281" ref="AD539"/>
    <hyperlink r:id="rId1282" ref="AA540"/>
    <hyperlink r:id="rId1283" ref="AB540"/>
    <hyperlink r:id="rId1284" ref="AD540"/>
    <hyperlink r:id="rId1285" ref="AA541"/>
    <hyperlink r:id="rId1286" ref="AB541"/>
    <hyperlink r:id="rId1287" ref="AD541"/>
    <hyperlink r:id="rId1288" location="!Synapse:syn25313156" ref="AA542"/>
    <hyperlink r:id="rId1289" ref="AB542"/>
    <hyperlink r:id="rId1290" ref="AD542"/>
    <hyperlink r:id="rId1291" ref="AA543"/>
    <hyperlink r:id="rId1292" ref="AB543"/>
    <hyperlink r:id="rId1293" ref="AD543"/>
    <hyperlink r:id="rId1294" location="!Synapse:syn26707219/wiki/615178" ref="AA544"/>
    <hyperlink r:id="rId1295" ref="AB544"/>
    <hyperlink r:id="rId1296" location="!Synapse:syn26707219/wiki/615178" ref="AD544"/>
    <hyperlink r:id="rId1297" ref="AA545"/>
    <hyperlink r:id="rId1298" ref="AB545"/>
    <hyperlink r:id="rId1299" ref="AD545"/>
    <hyperlink r:id="rId1300" ref="AA546"/>
    <hyperlink r:id="rId1301" ref="AB546"/>
    <hyperlink r:id="rId1302" ref="AD546"/>
    <hyperlink r:id="rId1303" ref="AA547"/>
    <hyperlink r:id="rId1304" ref="AB547"/>
    <hyperlink r:id="rId1305" location=".Yi8GJ3pByUk" ref="AD547"/>
    <hyperlink r:id="rId1306" ref="AA548"/>
    <hyperlink r:id="rId1307" ref="AB548"/>
    <hyperlink r:id="rId1308" ref="AA549"/>
    <hyperlink r:id="rId1309" ref="AB549"/>
    <hyperlink r:id="rId1310" ref="AD549"/>
    <hyperlink r:id="rId1311" ref="AA550"/>
    <hyperlink r:id="rId1312" ref="AB550"/>
    <hyperlink r:id="rId1313" ref="AD550"/>
    <hyperlink r:id="rId1314" ref="AA551"/>
    <hyperlink r:id="rId1315" ref="AB551"/>
    <hyperlink r:id="rId1316" ref="AD551"/>
    <hyperlink r:id="rId1317" ref="AA552"/>
    <hyperlink r:id="rId1318" ref="AD552"/>
    <hyperlink r:id="rId1319" ref="AA553"/>
    <hyperlink r:id="rId1320" ref="AA554"/>
    <hyperlink r:id="rId1321" location=".W6HwwP4zbOQ" ref="AA555"/>
    <hyperlink r:id="rId1322" ref="AA556"/>
    <hyperlink r:id="rId1323" ref="AA557"/>
    <hyperlink r:id="rId1324" ref="AA558"/>
    <hyperlink r:id="rId1325" ref="AA559"/>
    <hyperlink r:id="rId1326" ref="AA560"/>
    <hyperlink r:id="rId1327" ref="AA561"/>
    <hyperlink r:id="rId1328" ref="AA562"/>
    <hyperlink r:id="rId1329" ref="AA563"/>
    <hyperlink r:id="rId1330" ref="AA564"/>
    <hyperlink r:id="rId1331" ref="AA565"/>
    <hyperlink r:id="rId1332" ref="AA566"/>
    <hyperlink r:id="rId1333" ref="AA567"/>
    <hyperlink r:id="rId1334" ref="AA568"/>
    <hyperlink r:id="rId1335" ref="AB568"/>
    <hyperlink r:id="rId1336" ref="AD568"/>
    <hyperlink r:id="rId1337" ref="AA569"/>
    <hyperlink r:id="rId1338" ref="AB569"/>
    <hyperlink r:id="rId1339" ref="AD569"/>
    <hyperlink r:id="rId1340" ref="AA570"/>
    <hyperlink r:id="rId1341" ref="AB570"/>
    <hyperlink r:id="rId1342" ref="AD570"/>
    <hyperlink r:id="rId1343" ref="AA571"/>
    <hyperlink r:id="rId1344" ref="AA572"/>
    <hyperlink r:id="rId1345" ref="AA573"/>
    <hyperlink r:id="rId1346" ref="AA574"/>
    <hyperlink r:id="rId1347" ref="AA575"/>
    <hyperlink r:id="rId1348" ref="AA576"/>
    <hyperlink r:id="rId1349" ref="AA577"/>
    <hyperlink r:id="rId1350" ref="AA578"/>
    <hyperlink r:id="rId1351" ref="AA579"/>
    <hyperlink r:id="rId1352" ref="AA580"/>
    <hyperlink r:id="rId1353" ref="AA581"/>
    <hyperlink r:id="rId1354" ref="AA582"/>
    <hyperlink r:id="rId1355" ref="AA583"/>
    <hyperlink r:id="rId1356" ref="AA584"/>
    <hyperlink r:id="rId1357" ref="AA585"/>
    <hyperlink r:id="rId1358" ref="AA586"/>
    <hyperlink r:id="rId1359" ref="AA587"/>
    <hyperlink r:id="rId1360" ref="AA588"/>
    <hyperlink r:id="rId1361" ref="AA589"/>
    <hyperlink r:id="rId1362" ref="AA590"/>
    <hyperlink r:id="rId1363" ref="AA591"/>
    <hyperlink r:id="rId1364" ref="AA592"/>
    <hyperlink r:id="rId1365" ref="AA593"/>
    <hyperlink r:id="rId1366" ref="AA594"/>
    <hyperlink r:id="rId1367" ref="AA595"/>
    <hyperlink r:id="rId1368" ref="AA596"/>
    <hyperlink r:id="rId1369" ref="AA597"/>
    <hyperlink r:id="rId1370" ref="AA598"/>
    <hyperlink r:id="rId1371" ref="AA599"/>
    <hyperlink r:id="rId1372" ref="AA600"/>
    <hyperlink r:id="rId1373" ref="AA601"/>
    <hyperlink r:id="rId1374" ref="AA602"/>
    <hyperlink r:id="rId1375" ref="AA603"/>
    <hyperlink r:id="rId1376" ref="AA604"/>
    <hyperlink r:id="rId1377" ref="AB604"/>
    <hyperlink r:id="rId1378" ref="AD604"/>
    <hyperlink r:id="rId1379" ref="AA605"/>
    <hyperlink r:id="rId1380" ref="AB605"/>
    <hyperlink r:id="rId1381" ref="AD605"/>
    <hyperlink r:id="rId1382" location="2017" ref="AA606"/>
    <hyperlink r:id="rId1383" ref="AB606"/>
    <hyperlink r:id="rId1384" location="2017" ref="AD606"/>
    <hyperlink r:id="rId1385" ref="AA607"/>
    <hyperlink r:id="rId1386" ref="AB607"/>
    <hyperlink r:id="rId1387" ref="AD607"/>
    <hyperlink r:id="rId1388" ref="AA608"/>
    <hyperlink r:id="rId1389" ref="AB608"/>
    <hyperlink r:id="rId1390" ref="AD608"/>
    <hyperlink r:id="rId1391" ref="AA609"/>
    <hyperlink r:id="rId1392" ref="AB609"/>
    <hyperlink r:id="rId1393" ref="AD609"/>
    <hyperlink r:id="rId1394" ref="AA610"/>
    <hyperlink r:id="rId1395" ref="AB610"/>
    <hyperlink r:id="rId1396" ref="AD610"/>
    <hyperlink r:id="rId1397" ref="AB611"/>
    <hyperlink r:id="rId1398" ref="AD611"/>
    <hyperlink r:id="rId1399" ref="AA612"/>
    <hyperlink r:id="rId1400" ref="AB612"/>
    <hyperlink r:id="rId1401" ref="AD612"/>
    <hyperlink r:id="rId1402" ref="AA613"/>
    <hyperlink r:id="rId1403" ref="AB613"/>
    <hyperlink r:id="rId1404" ref="AD613"/>
    <hyperlink r:id="rId1405" location="ref-CR23" ref="AA614"/>
    <hyperlink r:id="rId1406" location="ref-CR23" ref="AB614"/>
    <hyperlink r:id="rId1407" ref="AD614"/>
    <hyperlink r:id="rId1408" ref="AA615"/>
    <hyperlink r:id="rId1409" ref="AD615"/>
    <hyperlink r:id="rId1410" ref="AA616"/>
    <hyperlink r:id="rId1411" ref="AD616"/>
    <hyperlink r:id="rId1412" ref="AA617"/>
    <hyperlink r:id="rId1413" ref="AD617"/>
    <hyperlink r:id="rId1414" ref="AA618"/>
    <hyperlink r:id="rId1415" ref="AA619"/>
    <hyperlink r:id="rId1416" ref="AA620"/>
    <hyperlink r:id="rId1417" ref="AA621"/>
    <hyperlink r:id="rId1418" ref="AA622"/>
    <hyperlink r:id="rId1419" ref="AA623"/>
    <hyperlink r:id="rId1420" ref="AA624"/>
    <hyperlink r:id="rId1421" ref="AA625"/>
    <hyperlink r:id="rId1422" ref="AA626"/>
    <hyperlink r:id="rId1423" ref="AA627"/>
    <hyperlink r:id="rId1424" ref="AA628"/>
    <hyperlink r:id="rId1425" ref="AA629"/>
    <hyperlink r:id="rId1426" ref="AA630"/>
    <hyperlink r:id="rId1427" ref="AA631"/>
    <hyperlink r:id="rId1428" ref="AA632"/>
    <hyperlink r:id="rId1429" ref="AA633"/>
    <hyperlink r:id="rId1430" ref="AA634"/>
    <hyperlink r:id="rId1431" ref="AA635"/>
    <hyperlink r:id="rId1432" ref="AA636"/>
    <hyperlink r:id="rId1433" ref="AA637"/>
    <hyperlink r:id="rId1434" ref="AA638"/>
    <hyperlink r:id="rId1435" ref="AA639"/>
    <hyperlink r:id="rId1436" ref="AA640"/>
    <hyperlink r:id="rId1437" ref="AA641"/>
    <hyperlink r:id="rId1438" ref="AA642"/>
    <hyperlink r:id="rId1439" ref="AA643"/>
    <hyperlink r:id="rId1440" ref="AA644"/>
    <hyperlink r:id="rId1441" location=".YETa43UzYUE" ref="AA645"/>
    <hyperlink r:id="rId1442" ref="AA646"/>
    <hyperlink r:id="rId1443" ref="AA647"/>
    <hyperlink r:id="rId1444" ref="AA648"/>
    <hyperlink r:id="rId1445" ref="AA649"/>
    <hyperlink r:id="rId1446" ref="AA650"/>
    <hyperlink r:id="rId1447" ref="AA651"/>
    <hyperlink r:id="rId1448" ref="AA652"/>
    <hyperlink r:id="rId1449" ref="AA653"/>
    <hyperlink r:id="rId1450" ref="AA654"/>
    <hyperlink r:id="rId1451" ref="AA655"/>
    <hyperlink r:id="rId1452" ref="AA656"/>
    <hyperlink r:id="rId1453" ref="AA657"/>
    <hyperlink r:id="rId1454" ref="AA658"/>
    <hyperlink r:id="rId1455" ref="AA659"/>
    <hyperlink r:id="rId1456" ref="AA660"/>
    <hyperlink r:id="rId1457" ref="AA661"/>
    <hyperlink r:id="rId1458" ref="AA662"/>
    <hyperlink r:id="rId1459" ref="AA663"/>
    <hyperlink r:id="rId1460" ref="AA664"/>
    <hyperlink r:id="rId1461" ref="AA665"/>
    <hyperlink r:id="rId1462" ref="AA666"/>
    <hyperlink r:id="rId1463" ref="AA667"/>
    <hyperlink r:id="rId1464" ref="AA668"/>
    <hyperlink r:id="rId1465" ref="AA669"/>
    <hyperlink r:id="rId1466" ref="AA670"/>
    <hyperlink r:id="rId1467" ref="AA671"/>
    <hyperlink r:id="rId1468" ref="AA672"/>
    <hyperlink r:id="rId1469" ref="AA673"/>
    <hyperlink r:id="rId1470" ref="AA674"/>
    <hyperlink r:id="rId1471" ref="AA675"/>
    <hyperlink r:id="rId1472" ref="AA676"/>
    <hyperlink r:id="rId1473" ref="AA677"/>
    <hyperlink r:id="rId1474" location="page-1" ref="AB677"/>
    <hyperlink r:id="rId1475" ref="AD677"/>
    <hyperlink r:id="rId1476" ref="AA678"/>
    <hyperlink r:id="rId1477" ref="AB678"/>
    <hyperlink r:id="rId1478" location="collection/637218c173e9f0047faa00fb" ref="AD678"/>
    <hyperlink r:id="rId1479" ref="AA679"/>
    <hyperlink r:id="rId1480" location="1cqJVzo4p_wESv9P_pc8uA" ref="AD679"/>
    <hyperlink r:id="rId1481" ref="AA680"/>
    <hyperlink r:id="rId1482" ref="AD680"/>
    <hyperlink r:id="rId1483" ref="AA681"/>
    <hyperlink r:id="rId1484" ref="AB681"/>
    <hyperlink r:id="rId1485" location="Dwugf8isRSR9CCZ6Qnza4w" ref="AD681"/>
    <hyperlink r:id="rId1486" ref="AA682"/>
    <hyperlink r:id="rId1487" ref="AB682"/>
    <hyperlink r:id="rId1488" ref="AD682"/>
    <hyperlink r:id="rId1489" ref="AA683"/>
    <hyperlink r:id="rId1490" location="FnCg9ykPlTWYe5hrRZxi-w" ref="AD683"/>
    <hyperlink r:id="rId1491" ref="AA684"/>
    <hyperlink r:id="rId1492" ref="AD684"/>
    <hyperlink r:id="rId1493" ref="AB685"/>
    <hyperlink r:id="rId1494" location="!Synapse:syn28503327/files/" ref="AD685"/>
    <hyperlink r:id="rId1495" ref="AA686"/>
    <hyperlink r:id="rId1496" ref="AB686"/>
    <hyperlink r:id="rId1497" ref="AD686"/>
    <hyperlink r:id="rId1498" ref="AA687"/>
    <hyperlink r:id="rId1499" ref="AB687"/>
    <hyperlink r:id="rId1500" ref="AD687"/>
    <hyperlink r:id="rId1501" ref="AA688"/>
    <hyperlink r:id="rId1502" ref="AA689"/>
    <hyperlink r:id="rId1503" ref="AA690"/>
    <hyperlink r:id="rId1504" ref="AA691"/>
    <hyperlink r:id="rId1505" ref="AD691"/>
    <hyperlink r:id="rId1506" ref="AA692"/>
    <hyperlink r:id="rId1507" ref="AD692"/>
    <hyperlink r:id="rId1508" ref="AA693"/>
    <hyperlink r:id="rId1509" ref="AD693"/>
    <hyperlink r:id="rId1510" ref="AA694"/>
    <hyperlink r:id="rId1511" ref="AD694"/>
    <hyperlink r:id="rId1512" ref="AA695"/>
    <hyperlink r:id="rId1513" ref="AD695"/>
    <hyperlink r:id="rId1514" ref="AA696"/>
    <hyperlink r:id="rId1515" ref="AD696"/>
    <hyperlink r:id="rId1516" ref="AA697"/>
    <hyperlink r:id="rId1517" ref="AD697"/>
    <hyperlink r:id="rId1518" ref="AA698"/>
    <hyperlink r:id="rId1519" ref="AD698"/>
    <hyperlink r:id="rId1520" ref="AA699"/>
    <hyperlink r:id="rId1521" ref="AD699"/>
    <hyperlink r:id="rId1522" ref="AA700"/>
    <hyperlink r:id="rId1523" ref="AD700"/>
    <hyperlink r:id="rId1524" ref="AA701"/>
    <hyperlink r:id="rId1525" ref="AD701"/>
    <hyperlink r:id="rId1526" ref="AA702"/>
    <hyperlink r:id="rId1527" ref="AB702"/>
    <hyperlink r:id="rId1528" ref="AD702"/>
    <hyperlink r:id="rId1529" ref="AA703"/>
    <hyperlink r:id="rId1530" ref="AD703"/>
    <hyperlink r:id="rId1531" ref="AA704"/>
    <hyperlink r:id="rId1532" ref="AB704"/>
    <hyperlink r:id="rId1533" ref="AD704"/>
    <hyperlink r:id="rId1534" ref="AA705"/>
    <hyperlink r:id="rId1535" ref="AB705"/>
    <hyperlink r:id="rId1536" ref="AD705"/>
    <hyperlink r:id="rId1537" ref="AA706"/>
    <hyperlink r:id="rId1538" ref="AB706"/>
    <hyperlink r:id="rId1539" location="!Synapse:syn51865373" ref="AD706"/>
    <hyperlink r:id="rId1540" ref="AA707"/>
    <hyperlink r:id="rId1541" ref="AB707"/>
    <hyperlink r:id="rId1542" location="!Synapse:syn61961847" ref="AD707"/>
    <hyperlink r:id="rId1543" ref="AA708"/>
    <hyperlink r:id="rId1544" ref="AA709"/>
    <hyperlink r:id="rId1545" ref="AB709"/>
    <hyperlink r:id="rId1546" ref="AD709"/>
    <hyperlink r:id="rId1547" ref="AA710"/>
    <hyperlink r:id="rId1548" ref="AB710"/>
    <hyperlink r:id="rId1549" ref="AD710"/>
    <hyperlink r:id="rId1550" ref="AA711"/>
    <hyperlink r:id="rId1551" ref="AB711"/>
    <hyperlink r:id="rId1552" ref="AD711"/>
    <hyperlink r:id="rId1553" ref="AA712"/>
    <hyperlink r:id="rId1554" ref="AB712"/>
    <hyperlink r:id="rId1555" ref="AD712"/>
    <hyperlink r:id="rId1556" ref="AA713"/>
    <hyperlink r:id="rId1557" ref="AB713"/>
    <hyperlink r:id="rId1558" ref="AD713"/>
    <hyperlink r:id="rId1559" ref="AA714"/>
    <hyperlink r:id="rId1560" ref="AB714"/>
    <hyperlink r:id="rId1561" ref="AD714"/>
    <hyperlink r:id="rId1562" ref="AA715"/>
    <hyperlink r:id="rId1563" ref="AB715"/>
    <hyperlink r:id="rId1564" ref="AD715"/>
    <hyperlink r:id="rId1565" ref="AA716"/>
    <hyperlink r:id="rId1566" ref="AB716"/>
    <hyperlink r:id="rId1567" ref="AD716"/>
    <hyperlink r:id="rId1568" ref="AA717"/>
    <hyperlink r:id="rId1569" ref="AB717"/>
    <hyperlink r:id="rId1570" ref="AD717"/>
    <hyperlink r:id="rId1571" ref="AA718"/>
    <hyperlink r:id="rId1572" ref="AA719"/>
    <hyperlink r:id="rId1573" ref="AB719"/>
    <hyperlink r:id="rId1574" ref="AD719"/>
    <hyperlink r:id="rId1575" ref="AA720"/>
    <hyperlink r:id="rId1576" ref="AB720"/>
    <hyperlink r:id="rId1577" ref="AD720"/>
    <hyperlink r:id="rId1578" ref="AA721"/>
    <hyperlink r:id="rId1579" ref="AB721"/>
    <hyperlink r:id="rId1580" ref="AD721"/>
    <hyperlink r:id="rId1581" ref="AA722"/>
    <hyperlink r:id="rId1582" ref="AB722"/>
    <hyperlink r:id="rId1583" ref="AD722"/>
    <hyperlink r:id="rId1584" ref="AA723"/>
    <hyperlink r:id="rId1585" ref="AB723"/>
    <hyperlink r:id="rId1586" ref="AD723"/>
    <hyperlink r:id="rId1587" ref="AA724"/>
    <hyperlink r:id="rId1588" ref="AB724"/>
    <hyperlink r:id="rId1589" ref="AD724"/>
    <hyperlink r:id="rId1590" ref="AA725"/>
    <hyperlink r:id="rId1591" ref="AB725"/>
    <hyperlink r:id="rId1592" ref="AD725"/>
    <hyperlink r:id="rId1593" ref="AA726"/>
    <hyperlink r:id="rId1594" ref="AB726"/>
    <hyperlink r:id="rId1595" ref="AD726"/>
    <hyperlink r:id="rId1596" ref="AA727"/>
    <hyperlink r:id="rId1597" ref="AB727"/>
    <hyperlink r:id="rId1598" ref="AD727"/>
    <hyperlink r:id="rId1599" ref="AA728"/>
    <hyperlink r:id="rId1600" ref="AB728"/>
    <hyperlink r:id="rId1601" ref="AC728"/>
    <hyperlink r:id="rId1602" ref="AD728"/>
    <hyperlink r:id="rId1603" ref="AA729"/>
    <hyperlink r:id="rId1604" ref="AB729"/>
    <hyperlink r:id="rId1605" ref="AD729"/>
    <hyperlink r:id="rId1606" ref="AA730"/>
    <hyperlink r:id="rId1607" ref="AB730"/>
    <hyperlink r:id="rId1608" ref="AD730"/>
    <hyperlink r:id="rId1609" ref="AE730"/>
    <hyperlink r:id="rId1610" ref="AA731"/>
    <hyperlink r:id="rId1611" ref="AB731"/>
    <hyperlink r:id="rId1612" ref="AD731"/>
    <hyperlink r:id="rId1613" ref="AA732"/>
    <hyperlink r:id="rId1614" ref="AB732"/>
    <hyperlink r:id="rId1615" ref="AD732"/>
    <hyperlink r:id="rId1616" ref="AA733"/>
    <hyperlink r:id="rId1617" ref="AB733"/>
    <hyperlink r:id="rId1618" ref="AD733"/>
    <hyperlink r:id="rId1619" ref="AA734"/>
    <hyperlink r:id="rId1620" ref="AB734"/>
    <hyperlink r:id="rId1621" ref="AD734"/>
    <hyperlink r:id="rId1622" ref="AA735"/>
    <hyperlink r:id="rId1623" ref="AB735"/>
    <hyperlink r:id="rId1624" ref="AD735"/>
    <hyperlink r:id="rId1625" ref="AA736"/>
    <hyperlink r:id="rId1626" ref="AB736"/>
    <hyperlink r:id="rId1627" ref="AD736"/>
    <hyperlink r:id="rId1628" ref="AA737"/>
    <hyperlink r:id="rId1629" ref="AB737"/>
    <hyperlink r:id="rId1630" ref="AD737"/>
    <hyperlink r:id="rId1631" ref="AA738"/>
    <hyperlink r:id="rId1632" ref="AB738"/>
    <hyperlink r:id="rId1633" ref="AD738"/>
    <hyperlink r:id="rId1634" ref="AA739"/>
    <hyperlink r:id="rId1635" ref="AB739"/>
    <hyperlink r:id="rId1636" ref="AD739"/>
    <hyperlink r:id="rId1637" ref="AA740"/>
    <hyperlink r:id="rId1638" ref="AB740"/>
    <hyperlink r:id="rId1639" ref="AD740"/>
    <hyperlink r:id="rId1640" ref="AA741"/>
    <hyperlink r:id="rId1641" ref="AB741"/>
    <hyperlink r:id="rId1642" ref="AD741"/>
    <hyperlink r:id="rId1643" ref="AA742"/>
    <hyperlink r:id="rId1644" ref="AB742"/>
    <hyperlink r:id="rId1645" ref="AD742"/>
    <hyperlink r:id="rId1646" ref="AA743"/>
    <hyperlink r:id="rId1647" ref="AB743"/>
    <hyperlink r:id="rId1648" ref="AD743"/>
    <hyperlink r:id="rId1649" ref="AA744"/>
    <hyperlink r:id="rId1650" ref="AB744"/>
    <hyperlink r:id="rId1651" ref="AD744"/>
    <hyperlink r:id="rId1652" ref="AA745"/>
    <hyperlink r:id="rId1653" ref="AB745"/>
    <hyperlink r:id="rId1654" ref="AD745"/>
    <hyperlink r:id="rId1655" ref="AA746"/>
    <hyperlink r:id="rId1656" ref="AB746"/>
    <hyperlink r:id="rId1657" ref="AD746"/>
    <hyperlink r:id="rId1658" ref="AA747"/>
    <hyperlink r:id="rId1659" ref="AB747"/>
    <hyperlink r:id="rId1660" ref="AD747"/>
    <hyperlink r:id="rId1661" ref="AA748"/>
    <hyperlink r:id="rId1662" ref="AB748"/>
    <hyperlink r:id="rId1663" ref="AD748"/>
    <hyperlink r:id="rId1664" ref="AA749"/>
    <hyperlink r:id="rId1665" ref="AB749"/>
    <hyperlink r:id="rId1666" ref="AD749"/>
    <hyperlink r:id="rId1667" ref="AA750"/>
    <hyperlink r:id="rId1668" ref="AB750"/>
    <hyperlink r:id="rId1669" ref="AD750"/>
    <hyperlink r:id="rId1670" ref="AA751"/>
    <hyperlink r:id="rId1671" ref="AB751"/>
    <hyperlink r:id="rId1672" ref="AD751"/>
    <hyperlink r:id="rId1673" ref="AA752"/>
    <hyperlink r:id="rId1674" ref="AB752"/>
    <hyperlink r:id="rId1675" ref="AD752"/>
    <hyperlink r:id="rId1676" ref="AE752"/>
    <hyperlink r:id="rId1677" ref="AA753"/>
    <hyperlink r:id="rId1678" ref="AB753"/>
    <hyperlink r:id="rId1679" ref="AD753"/>
    <hyperlink r:id="rId1680" ref="AE753"/>
    <hyperlink r:id="rId1681" ref="AA754"/>
    <hyperlink r:id="rId1682" ref="AB754"/>
    <hyperlink r:id="rId1683" ref="AD754"/>
    <hyperlink r:id="rId1684" ref="AA755"/>
    <hyperlink r:id="rId1685" ref="AB755"/>
    <hyperlink r:id="rId1686" ref="AD755"/>
    <hyperlink r:id="rId1687" ref="AA756"/>
    <hyperlink r:id="rId1688" ref="AB756"/>
    <hyperlink r:id="rId1689" ref="AD756"/>
    <hyperlink r:id="rId1690" ref="AA757"/>
    <hyperlink r:id="rId1691" ref="AD757"/>
    <hyperlink r:id="rId1692" ref="AA758"/>
    <hyperlink r:id="rId1693" ref="AB758"/>
    <hyperlink r:id="rId1694" ref="AA759"/>
    <hyperlink r:id="rId1695" ref="AB759"/>
    <hyperlink r:id="rId1696" ref="AD759"/>
    <hyperlink r:id="rId1697" ref="AA760"/>
    <hyperlink r:id="rId1698" ref="AB760"/>
    <hyperlink r:id="rId1699" ref="AD760"/>
    <hyperlink r:id="rId1700" ref="AA761"/>
    <hyperlink r:id="rId1701" ref="AB761"/>
    <hyperlink r:id="rId1702" ref="AD761"/>
    <hyperlink r:id="rId1703" ref="AA762"/>
    <hyperlink r:id="rId1704" ref="AB762"/>
    <hyperlink r:id="rId1705" ref="AD762"/>
    <hyperlink r:id="rId1706" ref="AA763"/>
    <hyperlink r:id="rId1707" ref="AB763"/>
    <hyperlink r:id="rId1708" ref="AD763"/>
    <hyperlink r:id="rId1709" ref="AA764"/>
    <hyperlink r:id="rId1710" ref="AB764"/>
    <hyperlink r:id="rId1711" ref="AD764"/>
    <hyperlink r:id="rId1712" ref="AA765"/>
    <hyperlink r:id="rId1713" ref="AB765"/>
    <hyperlink r:id="rId1714" ref="AA766"/>
    <hyperlink r:id="rId1715" ref="AB766"/>
    <hyperlink r:id="rId1716" ref="AD766"/>
    <hyperlink r:id="rId1717" ref="AA767"/>
    <hyperlink r:id="rId1718" ref="AB767"/>
    <hyperlink r:id="rId1719" ref="AD767"/>
    <hyperlink r:id="rId1720" ref="AA768"/>
    <hyperlink r:id="rId1721" ref="AB768"/>
    <hyperlink r:id="rId1722" ref="AD768"/>
    <hyperlink r:id="rId1723" ref="AA769"/>
    <hyperlink r:id="rId1724" ref="AB769"/>
    <hyperlink r:id="rId1725" ref="AD769"/>
    <hyperlink r:id="rId1726" ref="AA770"/>
    <hyperlink r:id="rId1727" ref="AB770"/>
    <hyperlink r:id="rId1728" ref="AD770"/>
    <hyperlink r:id="rId1729" ref="AA771"/>
    <hyperlink r:id="rId1730" ref="AB771"/>
    <hyperlink r:id="rId1731" ref="AD771"/>
    <hyperlink r:id="rId1732" ref="AA772"/>
    <hyperlink r:id="rId1733" ref="AB772"/>
    <hyperlink r:id="rId1734" ref="AD772"/>
    <hyperlink r:id="rId1735" ref="AA773"/>
    <hyperlink r:id="rId1736" ref="AB773"/>
    <hyperlink r:id="rId1737" ref="AD773"/>
    <hyperlink r:id="rId1738" ref="AA774"/>
    <hyperlink r:id="rId1739" ref="AB774"/>
    <hyperlink r:id="rId1740" ref="AD774"/>
    <hyperlink r:id="rId1741" ref="AA775"/>
    <hyperlink r:id="rId1742" ref="AB775"/>
    <hyperlink r:id="rId1743" ref="AD775"/>
    <hyperlink r:id="rId1744" ref="AA776"/>
    <hyperlink r:id="rId1745" ref="AB776"/>
    <hyperlink r:id="rId1746" ref="AD776"/>
    <hyperlink r:id="rId1747" ref="AA777"/>
    <hyperlink r:id="rId1748" location="!Synapse:syn54077668/wiki/626475" ref="AD777"/>
    <hyperlink r:id="rId1749" ref="AA778"/>
    <hyperlink r:id="rId1750" ref="AB778"/>
    <hyperlink r:id="rId1751" ref="AD778"/>
    <hyperlink r:id="rId1752" ref="AA779"/>
    <hyperlink r:id="rId1753" ref="AB779"/>
    <hyperlink r:id="rId1754" ref="AD779"/>
    <hyperlink r:id="rId1755" ref="AA780"/>
    <hyperlink r:id="rId1756" ref="AD780"/>
    <hyperlink r:id="rId1757" ref="AA781"/>
    <hyperlink r:id="rId1758" ref="AB781"/>
    <hyperlink r:id="rId1759" ref="AD781"/>
    <hyperlink r:id="rId1760" ref="AA782"/>
    <hyperlink r:id="rId1761" ref="AD782"/>
    <hyperlink r:id="rId1762" ref="AA783"/>
    <hyperlink r:id="rId1763" ref="AB783"/>
    <hyperlink r:id="rId1764" ref="AD783"/>
    <hyperlink r:id="rId1765" ref="AA784"/>
    <hyperlink r:id="rId1766" ref="AB784"/>
    <hyperlink r:id="rId1767" ref="AD784"/>
    <hyperlink r:id="rId1768" ref="AA785"/>
    <hyperlink r:id="rId1769" ref="AB785"/>
    <hyperlink r:id="rId1770" ref="AD785"/>
    <hyperlink r:id="rId1771" ref="AA786"/>
    <hyperlink r:id="rId1772" ref="AB786"/>
    <hyperlink r:id="rId1773" location=".YEyLq_0zaCo" ref="AD786"/>
    <hyperlink r:id="rId1774" ref="AA787"/>
    <hyperlink r:id="rId1775" ref="AB787"/>
    <hyperlink r:id="rId1776" ref="AD787"/>
    <hyperlink r:id="rId1777" ref="AE787"/>
    <hyperlink r:id="rId1778" ref="AA788"/>
    <hyperlink r:id="rId1779" ref="AD788"/>
    <hyperlink r:id="rId1780" ref="AA789"/>
    <hyperlink r:id="rId1781" ref="AB789"/>
    <hyperlink r:id="rId1782" ref="AD789"/>
    <hyperlink r:id="rId1783" ref="AE789"/>
    <hyperlink r:id="rId1784" ref="AA790"/>
    <hyperlink r:id="rId1785" ref="AD790"/>
    <hyperlink r:id="rId1786" ref="AA791"/>
    <hyperlink r:id="rId1787" ref="AD791"/>
    <hyperlink r:id="rId1788" ref="AA792"/>
    <hyperlink r:id="rId1789" ref="AB792"/>
    <hyperlink r:id="rId1790" ref="AD792"/>
    <hyperlink r:id="rId1791" ref="AA793"/>
    <hyperlink r:id="rId1792" ref="AA794"/>
    <hyperlink r:id="rId1793" ref="AA795"/>
    <hyperlink r:id="rId1794" ref="AA796"/>
    <hyperlink r:id="rId1795" ref="AA797"/>
    <hyperlink r:id="rId1796" ref="AA798"/>
    <hyperlink r:id="rId1797" ref="AA799"/>
    <hyperlink r:id="rId1798" ref="AA800"/>
    <hyperlink r:id="rId1799" ref="AA801"/>
    <hyperlink r:id="rId1800" ref="AA802"/>
    <hyperlink r:id="rId1801" ref="AA803"/>
    <hyperlink r:id="rId1802" ref="AA804"/>
    <hyperlink r:id="rId1803" ref="AA805"/>
    <hyperlink r:id="rId1804" ref="AA806"/>
    <hyperlink r:id="rId1805" ref="AA807"/>
    <hyperlink r:id="rId1806" ref="AA808"/>
    <hyperlink r:id="rId1807" ref="AE808"/>
    <hyperlink r:id="rId1808" ref="AA809"/>
    <hyperlink r:id="rId1809" ref="AA810"/>
    <hyperlink r:id="rId1810" ref="AA811"/>
    <hyperlink r:id="rId1811" ref="AA812"/>
    <hyperlink r:id="rId1812" ref="AB812"/>
    <hyperlink r:id="rId1813" ref="AD812"/>
    <hyperlink r:id="rId1814" ref="AD813"/>
    <hyperlink r:id="rId1815" ref="AA814"/>
    <hyperlink r:id="rId1816" ref="AB814"/>
    <hyperlink r:id="rId1817" ref="AD814"/>
    <hyperlink r:id="rId1818" ref="AA815"/>
    <hyperlink r:id="rId1819" ref="AB815"/>
    <hyperlink r:id="rId1820" ref="AD815"/>
    <hyperlink r:id="rId1821" ref="AA816"/>
    <hyperlink r:id="rId1822" ref="AB816"/>
    <hyperlink r:id="rId1823" ref="AD816"/>
    <hyperlink r:id="rId1824" ref="AE816"/>
    <hyperlink r:id="rId1825" ref="AA817"/>
    <hyperlink r:id="rId1826" ref="AB817"/>
    <hyperlink r:id="rId1827" ref="AD817"/>
    <hyperlink r:id="rId1828" ref="AA818"/>
    <hyperlink r:id="rId1829" ref="AB818"/>
    <hyperlink r:id="rId1830" ref="AD818"/>
    <hyperlink r:id="rId1831" ref="AA819"/>
    <hyperlink r:id="rId1832" ref="AD819"/>
    <hyperlink r:id="rId1833" ref="AA820"/>
    <hyperlink r:id="rId1834" ref="AB820"/>
    <hyperlink r:id="rId1835" ref="AD820"/>
    <hyperlink r:id="rId1836" ref="AA821"/>
    <hyperlink r:id="rId1837" ref="AB821"/>
    <hyperlink r:id="rId1838" ref="AD821"/>
    <hyperlink r:id="rId1839" ref="AA822"/>
    <hyperlink r:id="rId1840" ref="AA823"/>
    <hyperlink r:id="rId1841" ref="AA824"/>
    <hyperlink r:id="rId1842" ref="AD824"/>
    <hyperlink r:id="rId1843" ref="AA825"/>
    <hyperlink r:id="rId1844" ref="AA826"/>
    <hyperlink r:id="rId1845" ref="AD826"/>
    <hyperlink r:id="rId1846" ref="AA827"/>
    <hyperlink r:id="rId1847" ref="AA828"/>
    <hyperlink r:id="rId1848" ref="AA829"/>
    <hyperlink r:id="rId1849" ref="AA830"/>
    <hyperlink r:id="rId1850" ref="AA831"/>
    <hyperlink r:id="rId1851" ref="AA832"/>
  </hyperlinks>
  <drawing r:id="rId185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9.25"/>
    <col customWidth="1" min="3" max="3" width="64.13"/>
  </cols>
  <sheetData>
    <row r="1">
      <c r="A1" s="2" t="s">
        <v>5082</v>
      </c>
    </row>
    <row r="2">
      <c r="A2" s="1" t="s">
        <v>5083</v>
      </c>
      <c r="B2" s="1" t="s">
        <v>5084</v>
      </c>
      <c r="C2" s="1" t="s">
        <v>5085</v>
      </c>
      <c r="D2" s="1" t="s">
        <v>26</v>
      </c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>
      <c r="A3" s="2" t="s">
        <v>1307</v>
      </c>
      <c r="B3" s="120" t="s">
        <v>5086</v>
      </c>
      <c r="C3" s="121" t="s">
        <v>5087</v>
      </c>
      <c r="D3" s="15" t="s">
        <v>5088</v>
      </c>
    </row>
    <row r="4">
      <c r="B4" s="122"/>
      <c r="C4" s="121" t="s">
        <v>5089</v>
      </c>
    </row>
    <row r="5">
      <c r="A5" s="2" t="s">
        <v>105</v>
      </c>
      <c r="B5" s="120" t="s">
        <v>5090</v>
      </c>
      <c r="C5" s="120" t="s">
        <v>5091</v>
      </c>
    </row>
    <row r="6">
      <c r="B6" s="122"/>
      <c r="C6" s="120" t="s">
        <v>5092</v>
      </c>
      <c r="D6" s="15" t="s">
        <v>5093</v>
      </c>
    </row>
    <row r="7">
      <c r="A7" s="2" t="s">
        <v>72</v>
      </c>
      <c r="B7" s="120" t="s">
        <v>5094</v>
      </c>
      <c r="C7" s="120" t="s">
        <v>5095</v>
      </c>
      <c r="D7" s="5" t="s">
        <v>5096</v>
      </c>
    </row>
    <row r="8">
      <c r="A8" s="2" t="s">
        <v>666</v>
      </c>
      <c r="B8" s="121" t="s">
        <v>5097</v>
      </c>
      <c r="C8" s="120" t="s">
        <v>5098</v>
      </c>
      <c r="D8" s="15" t="s">
        <v>5099</v>
      </c>
    </row>
    <row r="9">
      <c r="A9" s="2" t="s">
        <v>5100</v>
      </c>
      <c r="B9" s="122"/>
      <c r="C9" s="120" t="s">
        <v>5101</v>
      </c>
      <c r="D9" s="15" t="s">
        <v>5102</v>
      </c>
    </row>
    <row r="10">
      <c r="B10" s="122"/>
      <c r="C10" s="120" t="s">
        <v>5103</v>
      </c>
      <c r="D10" s="15" t="s">
        <v>5104</v>
      </c>
    </row>
    <row r="11">
      <c r="A11" s="2" t="s">
        <v>5105</v>
      </c>
      <c r="B11" s="120" t="s">
        <v>5106</v>
      </c>
      <c r="C11" s="120" t="s">
        <v>5107</v>
      </c>
      <c r="D11" s="5" t="s">
        <v>5108</v>
      </c>
    </row>
    <row r="12">
      <c r="A12" s="2" t="s">
        <v>5109</v>
      </c>
      <c r="B12" s="122"/>
      <c r="C12" s="123" t="s">
        <v>5110</v>
      </c>
      <c r="D12" s="21"/>
    </row>
    <row r="13">
      <c r="B13" s="122"/>
      <c r="C13" s="122"/>
    </row>
    <row r="14">
      <c r="B14" s="122"/>
      <c r="C14" s="122"/>
    </row>
    <row r="15">
      <c r="A15" s="1" t="s">
        <v>5111</v>
      </c>
      <c r="B15" s="122"/>
      <c r="C15" s="122"/>
    </row>
    <row r="16">
      <c r="A16" s="2" t="s">
        <v>5112</v>
      </c>
      <c r="B16" s="122"/>
      <c r="C16" s="120" t="s">
        <v>5113</v>
      </c>
    </row>
    <row r="17">
      <c r="A17" s="2" t="s">
        <v>5114</v>
      </c>
      <c r="B17" s="122"/>
      <c r="C17" s="120" t="s">
        <v>5115</v>
      </c>
    </row>
    <row r="18">
      <c r="B18" s="122"/>
      <c r="C18" s="122"/>
    </row>
    <row r="19">
      <c r="B19" s="122"/>
      <c r="C19" s="122"/>
    </row>
    <row r="20">
      <c r="B20" s="122"/>
      <c r="C20" s="122"/>
    </row>
    <row r="21">
      <c r="B21" s="122"/>
      <c r="C21" s="122"/>
    </row>
    <row r="22">
      <c r="B22" s="122"/>
      <c r="C22" s="122"/>
    </row>
    <row r="23">
      <c r="B23" s="122"/>
      <c r="C23" s="122"/>
    </row>
    <row r="24">
      <c r="B24" s="122"/>
      <c r="C24" s="122"/>
    </row>
    <row r="25">
      <c r="B25" s="122"/>
      <c r="C25" s="122"/>
    </row>
    <row r="26">
      <c r="B26" s="122"/>
      <c r="C26" s="122"/>
    </row>
    <row r="27">
      <c r="B27" s="122"/>
      <c r="C27" s="122"/>
    </row>
    <row r="28">
      <c r="B28" s="122"/>
      <c r="C28" s="122"/>
    </row>
    <row r="29">
      <c r="B29" s="122"/>
      <c r="C29" s="122"/>
    </row>
    <row r="30">
      <c r="B30" s="122"/>
      <c r="C30" s="122"/>
    </row>
    <row r="31">
      <c r="B31" s="122"/>
      <c r="C31" s="122"/>
    </row>
    <row r="32">
      <c r="B32" s="122"/>
      <c r="C32" s="122"/>
    </row>
    <row r="33">
      <c r="B33" s="122"/>
      <c r="C33" s="122"/>
    </row>
    <row r="34">
      <c r="B34" s="122"/>
      <c r="C34" s="122"/>
    </row>
    <row r="35">
      <c r="B35" s="122"/>
      <c r="C35" s="122"/>
    </row>
    <row r="36">
      <c r="B36" s="122"/>
      <c r="C36" s="122"/>
    </row>
    <row r="37">
      <c r="B37" s="122"/>
      <c r="C37" s="122"/>
    </row>
    <row r="38">
      <c r="B38" s="122"/>
      <c r="C38" s="122"/>
    </row>
    <row r="39">
      <c r="B39" s="122"/>
      <c r="C39" s="122"/>
    </row>
    <row r="40">
      <c r="B40" s="122"/>
      <c r="C40" s="122"/>
    </row>
    <row r="41">
      <c r="B41" s="122"/>
      <c r="C41" s="122"/>
    </row>
    <row r="42">
      <c r="B42" s="122"/>
      <c r="C42" s="122"/>
    </row>
    <row r="43">
      <c r="B43" s="122"/>
      <c r="C43" s="122"/>
    </row>
    <row r="44">
      <c r="B44" s="122"/>
      <c r="C44" s="122"/>
    </row>
    <row r="45">
      <c r="B45" s="122"/>
      <c r="C45" s="122"/>
    </row>
    <row r="46">
      <c r="B46" s="122"/>
      <c r="C46" s="122"/>
    </row>
    <row r="47">
      <c r="B47" s="122"/>
      <c r="C47" s="122"/>
    </row>
    <row r="48">
      <c r="B48" s="122"/>
      <c r="C48" s="122"/>
    </row>
    <row r="49">
      <c r="B49" s="122"/>
      <c r="C49" s="122"/>
    </row>
    <row r="50">
      <c r="B50" s="122"/>
      <c r="C50" s="122"/>
    </row>
    <row r="51">
      <c r="B51" s="122"/>
      <c r="C51" s="122"/>
    </row>
    <row r="52">
      <c r="B52" s="122"/>
      <c r="C52" s="122"/>
    </row>
    <row r="53">
      <c r="B53" s="122"/>
      <c r="C53" s="122"/>
    </row>
    <row r="54">
      <c r="B54" s="122"/>
      <c r="C54" s="122"/>
    </row>
    <row r="55">
      <c r="B55" s="122"/>
      <c r="C55" s="122"/>
    </row>
    <row r="56">
      <c r="B56" s="122"/>
      <c r="C56" s="122"/>
    </row>
    <row r="57">
      <c r="B57" s="122"/>
      <c r="C57" s="122"/>
    </row>
    <row r="58">
      <c r="B58" s="122"/>
      <c r="C58" s="122"/>
    </row>
    <row r="59">
      <c r="B59" s="122"/>
      <c r="C59" s="122"/>
    </row>
    <row r="60">
      <c r="B60" s="122"/>
      <c r="C60" s="122"/>
    </row>
    <row r="61">
      <c r="B61" s="122"/>
      <c r="C61" s="122"/>
    </row>
    <row r="62">
      <c r="B62" s="122"/>
      <c r="C62" s="122"/>
    </row>
    <row r="63">
      <c r="B63" s="122"/>
      <c r="C63" s="122"/>
    </row>
    <row r="64">
      <c r="B64" s="122"/>
      <c r="C64" s="122"/>
    </row>
    <row r="65">
      <c r="B65" s="122"/>
      <c r="C65" s="122"/>
    </row>
    <row r="66">
      <c r="B66" s="122"/>
      <c r="C66" s="122"/>
    </row>
    <row r="67">
      <c r="B67" s="122"/>
      <c r="C67" s="122"/>
    </row>
    <row r="68">
      <c r="B68" s="122"/>
      <c r="C68" s="122"/>
    </row>
    <row r="69">
      <c r="B69" s="122"/>
      <c r="C69" s="122"/>
    </row>
    <row r="70">
      <c r="B70" s="122"/>
      <c r="C70" s="122"/>
    </row>
    <row r="71">
      <c r="B71" s="122"/>
      <c r="C71" s="122"/>
    </row>
    <row r="72">
      <c r="B72" s="122"/>
      <c r="C72" s="122"/>
    </row>
    <row r="73">
      <c r="B73" s="122"/>
      <c r="C73" s="122"/>
    </row>
    <row r="74">
      <c r="B74" s="122"/>
      <c r="C74" s="122"/>
    </row>
    <row r="75">
      <c r="B75" s="122"/>
      <c r="C75" s="122"/>
    </row>
    <row r="76">
      <c r="B76" s="122"/>
      <c r="C76" s="122"/>
    </row>
    <row r="77">
      <c r="B77" s="122"/>
      <c r="C77" s="122"/>
    </row>
    <row r="78">
      <c r="B78" s="122"/>
      <c r="C78" s="122"/>
    </row>
    <row r="79">
      <c r="B79" s="122"/>
      <c r="C79" s="122"/>
    </row>
    <row r="80">
      <c r="B80" s="122"/>
      <c r="C80" s="122"/>
    </row>
    <row r="81">
      <c r="B81" s="122"/>
      <c r="C81" s="122"/>
    </row>
    <row r="82">
      <c r="B82" s="122"/>
      <c r="C82" s="122"/>
    </row>
    <row r="83">
      <c r="B83" s="122"/>
      <c r="C83" s="122"/>
    </row>
    <row r="84">
      <c r="B84" s="122"/>
      <c r="C84" s="122"/>
    </row>
    <row r="85">
      <c r="B85" s="122"/>
      <c r="C85" s="122"/>
    </row>
    <row r="86">
      <c r="B86" s="122"/>
      <c r="C86" s="122"/>
    </row>
    <row r="87">
      <c r="B87" s="122"/>
      <c r="C87" s="122"/>
    </row>
    <row r="88">
      <c r="B88" s="122"/>
      <c r="C88" s="122"/>
    </row>
    <row r="89">
      <c r="B89" s="122"/>
      <c r="C89" s="122"/>
    </row>
    <row r="90">
      <c r="B90" s="122"/>
      <c r="C90" s="122"/>
    </row>
    <row r="91">
      <c r="B91" s="122"/>
      <c r="C91" s="122"/>
    </row>
    <row r="92">
      <c r="B92" s="122"/>
      <c r="C92" s="122"/>
    </row>
    <row r="93">
      <c r="B93" s="122"/>
      <c r="C93" s="122"/>
    </row>
    <row r="94">
      <c r="B94" s="122"/>
      <c r="C94" s="122"/>
    </row>
    <row r="95">
      <c r="B95" s="122"/>
      <c r="C95" s="122"/>
    </row>
    <row r="96">
      <c r="B96" s="122"/>
      <c r="C96" s="122"/>
    </row>
    <row r="97">
      <c r="B97" s="122"/>
      <c r="C97" s="122"/>
    </row>
    <row r="98">
      <c r="B98" s="122"/>
      <c r="C98" s="122"/>
    </row>
    <row r="99">
      <c r="B99" s="122"/>
      <c r="C99" s="122"/>
    </row>
    <row r="100">
      <c r="B100" s="122"/>
      <c r="C100" s="122"/>
    </row>
    <row r="101">
      <c r="B101" s="122"/>
      <c r="C101" s="122"/>
    </row>
    <row r="102">
      <c r="B102" s="122"/>
      <c r="C102" s="122"/>
    </row>
    <row r="103">
      <c r="B103" s="122"/>
      <c r="C103" s="122"/>
    </row>
    <row r="104">
      <c r="B104" s="122"/>
      <c r="C104" s="122"/>
    </row>
    <row r="105">
      <c r="B105" s="122"/>
      <c r="C105" s="122"/>
    </row>
    <row r="106">
      <c r="B106" s="122"/>
      <c r="C106" s="122"/>
    </row>
    <row r="107">
      <c r="B107" s="122"/>
      <c r="C107" s="122"/>
    </row>
    <row r="108">
      <c r="B108" s="122"/>
      <c r="C108" s="122"/>
    </row>
    <row r="109">
      <c r="B109" s="122"/>
      <c r="C109" s="122"/>
    </row>
    <row r="110">
      <c r="B110" s="122"/>
      <c r="C110" s="122"/>
    </row>
    <row r="111">
      <c r="B111" s="122"/>
      <c r="C111" s="122"/>
    </row>
    <row r="112">
      <c r="B112" s="122"/>
      <c r="C112" s="122"/>
    </row>
    <row r="113">
      <c r="B113" s="122"/>
      <c r="C113" s="122"/>
    </row>
    <row r="114">
      <c r="B114" s="122"/>
      <c r="C114" s="122"/>
    </row>
    <row r="115">
      <c r="B115" s="122"/>
      <c r="C115" s="122"/>
    </row>
    <row r="116">
      <c r="B116" s="122"/>
      <c r="C116" s="122"/>
    </row>
    <row r="117">
      <c r="B117" s="122"/>
      <c r="C117" s="122"/>
    </row>
    <row r="118">
      <c r="B118" s="122"/>
      <c r="C118" s="122"/>
    </row>
    <row r="119">
      <c r="B119" s="122"/>
      <c r="C119" s="122"/>
    </row>
    <row r="120">
      <c r="B120" s="122"/>
      <c r="C120" s="122"/>
    </row>
    <row r="121">
      <c r="B121" s="122"/>
      <c r="C121" s="122"/>
    </row>
    <row r="122">
      <c r="B122" s="122"/>
      <c r="C122" s="122"/>
    </row>
    <row r="123">
      <c r="B123" s="122"/>
      <c r="C123" s="122"/>
    </row>
    <row r="124">
      <c r="B124" s="122"/>
      <c r="C124" s="122"/>
    </row>
    <row r="125">
      <c r="B125" s="122"/>
      <c r="C125" s="122"/>
    </row>
    <row r="126">
      <c r="B126" s="122"/>
      <c r="C126" s="122"/>
    </row>
    <row r="127">
      <c r="B127" s="122"/>
      <c r="C127" s="122"/>
    </row>
    <row r="128">
      <c r="B128" s="122"/>
      <c r="C128" s="122"/>
    </row>
    <row r="129">
      <c r="B129" s="122"/>
      <c r="C129" s="122"/>
    </row>
    <row r="130">
      <c r="B130" s="122"/>
      <c r="C130" s="122"/>
    </row>
    <row r="131">
      <c r="B131" s="122"/>
      <c r="C131" s="122"/>
    </row>
    <row r="132">
      <c r="B132" s="122"/>
      <c r="C132" s="122"/>
    </row>
    <row r="133">
      <c r="B133" s="122"/>
      <c r="C133" s="122"/>
    </row>
    <row r="134">
      <c r="B134" s="122"/>
      <c r="C134" s="122"/>
    </row>
    <row r="135">
      <c r="B135" s="122"/>
      <c r="C135" s="122"/>
    </row>
    <row r="136">
      <c r="B136" s="122"/>
      <c r="C136" s="122"/>
    </row>
    <row r="137">
      <c r="B137" s="122"/>
      <c r="C137" s="122"/>
    </row>
    <row r="138">
      <c r="B138" s="122"/>
      <c r="C138" s="122"/>
    </row>
    <row r="139">
      <c r="B139" s="122"/>
      <c r="C139" s="122"/>
    </row>
    <row r="140">
      <c r="B140" s="122"/>
      <c r="C140" s="122"/>
    </row>
    <row r="141">
      <c r="B141" s="122"/>
      <c r="C141" s="122"/>
    </row>
    <row r="142">
      <c r="B142" s="122"/>
      <c r="C142" s="122"/>
    </row>
    <row r="143">
      <c r="B143" s="122"/>
      <c r="C143" s="122"/>
    </row>
    <row r="144">
      <c r="B144" s="122"/>
      <c r="C144" s="122"/>
    </row>
    <row r="145">
      <c r="B145" s="122"/>
      <c r="C145" s="122"/>
    </row>
    <row r="146">
      <c r="B146" s="122"/>
      <c r="C146" s="122"/>
    </row>
    <row r="147">
      <c r="B147" s="122"/>
      <c r="C147" s="122"/>
    </row>
    <row r="148">
      <c r="B148" s="122"/>
      <c r="C148" s="122"/>
    </row>
    <row r="149">
      <c r="B149" s="122"/>
      <c r="C149" s="122"/>
    </row>
    <row r="150">
      <c r="B150" s="122"/>
      <c r="C150" s="122"/>
    </row>
    <row r="151">
      <c r="B151" s="122"/>
      <c r="C151" s="122"/>
    </row>
    <row r="152">
      <c r="B152" s="122"/>
      <c r="C152" s="122"/>
    </row>
    <row r="153">
      <c r="B153" s="122"/>
      <c r="C153" s="122"/>
    </row>
    <row r="154">
      <c r="B154" s="122"/>
      <c r="C154" s="122"/>
    </row>
    <row r="155">
      <c r="B155" s="122"/>
      <c r="C155" s="122"/>
    </row>
    <row r="156">
      <c r="B156" s="122"/>
      <c r="C156" s="122"/>
    </row>
    <row r="157">
      <c r="B157" s="122"/>
      <c r="C157" s="122"/>
    </row>
    <row r="158">
      <c r="B158" s="122"/>
      <c r="C158" s="122"/>
    </row>
    <row r="159">
      <c r="B159" s="122"/>
      <c r="C159" s="122"/>
    </row>
    <row r="160">
      <c r="B160" s="122"/>
      <c r="C160" s="122"/>
    </row>
    <row r="161">
      <c r="B161" s="122"/>
      <c r="C161" s="122"/>
    </row>
    <row r="162">
      <c r="B162" s="122"/>
      <c r="C162" s="122"/>
    </row>
    <row r="163">
      <c r="B163" s="122"/>
      <c r="C163" s="122"/>
    </row>
    <row r="164">
      <c r="B164" s="122"/>
      <c r="C164" s="122"/>
    </row>
    <row r="165">
      <c r="B165" s="122"/>
      <c r="C165" s="122"/>
    </row>
    <row r="166">
      <c r="B166" s="122"/>
      <c r="C166" s="122"/>
    </row>
    <row r="167">
      <c r="B167" s="122"/>
      <c r="C167" s="122"/>
    </row>
    <row r="168">
      <c r="B168" s="122"/>
      <c r="C168" s="122"/>
    </row>
    <row r="169">
      <c r="B169" s="122"/>
      <c r="C169" s="122"/>
    </row>
    <row r="170">
      <c r="B170" s="122"/>
      <c r="C170" s="122"/>
    </row>
    <row r="171">
      <c r="B171" s="122"/>
      <c r="C171" s="122"/>
    </row>
    <row r="172">
      <c r="B172" s="122"/>
      <c r="C172" s="122"/>
    </row>
    <row r="173">
      <c r="B173" s="122"/>
      <c r="C173" s="122"/>
    </row>
    <row r="174">
      <c r="B174" s="122"/>
      <c r="C174" s="122"/>
    </row>
    <row r="175">
      <c r="B175" s="122"/>
      <c r="C175" s="122"/>
    </row>
    <row r="176">
      <c r="B176" s="122"/>
      <c r="C176" s="122"/>
    </row>
    <row r="177">
      <c r="B177" s="122"/>
      <c r="C177" s="122"/>
    </row>
    <row r="178">
      <c r="B178" s="122"/>
      <c r="C178" s="122"/>
    </row>
    <row r="179">
      <c r="B179" s="122"/>
      <c r="C179" s="122"/>
    </row>
    <row r="180">
      <c r="B180" s="122"/>
      <c r="C180" s="122"/>
    </row>
    <row r="181">
      <c r="B181" s="122"/>
      <c r="C181" s="122"/>
    </row>
    <row r="182">
      <c r="B182" s="122"/>
      <c r="C182" s="122"/>
    </row>
    <row r="183">
      <c r="B183" s="122"/>
      <c r="C183" s="122"/>
    </row>
    <row r="184">
      <c r="B184" s="122"/>
      <c r="C184" s="122"/>
    </row>
    <row r="185">
      <c r="B185" s="122"/>
      <c r="C185" s="122"/>
    </row>
    <row r="186">
      <c r="B186" s="122"/>
      <c r="C186" s="122"/>
    </row>
    <row r="187">
      <c r="B187" s="122"/>
      <c r="C187" s="122"/>
    </row>
    <row r="188">
      <c r="B188" s="122"/>
      <c r="C188" s="122"/>
    </row>
    <row r="189">
      <c r="B189" s="122"/>
      <c r="C189" s="122"/>
    </row>
    <row r="190">
      <c r="B190" s="122"/>
      <c r="C190" s="122"/>
    </row>
    <row r="191">
      <c r="B191" s="122"/>
      <c r="C191" s="122"/>
    </row>
    <row r="192">
      <c r="B192" s="122"/>
      <c r="C192" s="122"/>
    </row>
    <row r="193">
      <c r="B193" s="122"/>
      <c r="C193" s="122"/>
    </row>
    <row r="194">
      <c r="B194" s="122"/>
      <c r="C194" s="122"/>
    </row>
    <row r="195">
      <c r="B195" s="122"/>
      <c r="C195" s="122"/>
    </row>
    <row r="196">
      <c r="B196" s="122"/>
      <c r="C196" s="122"/>
    </row>
    <row r="197">
      <c r="B197" s="122"/>
      <c r="C197" s="122"/>
    </row>
    <row r="198">
      <c r="B198" s="122"/>
      <c r="C198" s="122"/>
    </row>
    <row r="199">
      <c r="B199" s="122"/>
      <c r="C199" s="122"/>
    </row>
    <row r="200">
      <c r="B200" s="122"/>
      <c r="C200" s="122"/>
    </row>
    <row r="201">
      <c r="B201" s="122"/>
      <c r="C201" s="122"/>
    </row>
    <row r="202">
      <c r="B202" s="122"/>
      <c r="C202" s="122"/>
    </row>
    <row r="203">
      <c r="B203" s="122"/>
      <c r="C203" s="122"/>
    </row>
    <row r="204">
      <c r="B204" s="122"/>
      <c r="C204" s="122"/>
    </row>
    <row r="205">
      <c r="B205" s="122"/>
      <c r="C205" s="122"/>
    </row>
    <row r="206">
      <c r="B206" s="122"/>
      <c r="C206" s="122"/>
    </row>
    <row r="207">
      <c r="B207" s="122"/>
      <c r="C207" s="122"/>
    </row>
    <row r="208">
      <c r="B208" s="122"/>
      <c r="C208" s="122"/>
    </row>
    <row r="209">
      <c r="B209" s="122"/>
      <c r="C209" s="122"/>
    </row>
    <row r="210">
      <c r="B210" s="122"/>
      <c r="C210" s="122"/>
    </row>
    <row r="211">
      <c r="B211" s="122"/>
      <c r="C211" s="122"/>
    </row>
    <row r="212">
      <c r="B212" s="122"/>
      <c r="C212" s="122"/>
    </row>
    <row r="213">
      <c r="B213" s="122"/>
      <c r="C213" s="122"/>
    </row>
    <row r="214">
      <c r="B214" s="122"/>
      <c r="C214" s="122"/>
    </row>
    <row r="215">
      <c r="B215" s="122"/>
      <c r="C215" s="122"/>
    </row>
    <row r="216">
      <c r="B216" s="122"/>
      <c r="C216" s="122"/>
    </row>
    <row r="217">
      <c r="B217" s="122"/>
      <c r="C217" s="122"/>
    </row>
    <row r="218">
      <c r="B218" s="122"/>
      <c r="C218" s="122"/>
    </row>
    <row r="219">
      <c r="B219" s="122"/>
      <c r="C219" s="122"/>
    </row>
    <row r="220">
      <c r="B220" s="122"/>
      <c r="C220" s="122"/>
    </row>
    <row r="221">
      <c r="B221" s="122"/>
      <c r="C221" s="122"/>
    </row>
    <row r="222">
      <c r="B222" s="122"/>
      <c r="C222" s="122"/>
    </row>
    <row r="223">
      <c r="B223" s="122"/>
      <c r="C223" s="122"/>
    </row>
    <row r="224">
      <c r="B224" s="122"/>
      <c r="C224" s="122"/>
    </row>
    <row r="225">
      <c r="B225" s="122"/>
      <c r="C225" s="122"/>
    </row>
    <row r="226">
      <c r="B226" s="122"/>
      <c r="C226" s="122"/>
    </row>
    <row r="227">
      <c r="B227" s="122"/>
      <c r="C227" s="122"/>
    </row>
    <row r="228">
      <c r="B228" s="122"/>
      <c r="C228" s="122"/>
    </row>
    <row r="229">
      <c r="B229" s="122"/>
      <c r="C229" s="122"/>
    </row>
    <row r="230">
      <c r="B230" s="122"/>
      <c r="C230" s="122"/>
    </row>
    <row r="231">
      <c r="B231" s="122"/>
      <c r="C231" s="122"/>
    </row>
    <row r="232">
      <c r="B232" s="122"/>
      <c r="C232" s="122"/>
    </row>
    <row r="233">
      <c r="B233" s="122"/>
      <c r="C233" s="122"/>
    </row>
    <row r="234">
      <c r="B234" s="122"/>
      <c r="C234" s="122"/>
    </row>
    <row r="235">
      <c r="B235" s="122"/>
      <c r="C235" s="122"/>
    </row>
    <row r="236">
      <c r="B236" s="122"/>
      <c r="C236" s="122"/>
    </row>
    <row r="237">
      <c r="B237" s="122"/>
      <c r="C237" s="122"/>
    </row>
    <row r="238">
      <c r="B238" s="122"/>
      <c r="C238" s="122"/>
    </row>
    <row r="239">
      <c r="B239" s="122"/>
      <c r="C239" s="122"/>
    </row>
    <row r="240">
      <c r="B240" s="122"/>
      <c r="C240" s="122"/>
    </row>
    <row r="241">
      <c r="B241" s="122"/>
      <c r="C241" s="122"/>
    </row>
    <row r="242">
      <c r="B242" s="122"/>
      <c r="C242" s="122"/>
    </row>
    <row r="243">
      <c r="B243" s="122"/>
      <c r="C243" s="122"/>
    </row>
    <row r="244">
      <c r="B244" s="122"/>
      <c r="C244" s="122"/>
    </row>
    <row r="245">
      <c r="B245" s="122"/>
      <c r="C245" s="122"/>
    </row>
    <row r="246">
      <c r="B246" s="122"/>
      <c r="C246" s="122"/>
    </row>
    <row r="247">
      <c r="B247" s="122"/>
      <c r="C247" s="122"/>
    </row>
    <row r="248">
      <c r="B248" s="122"/>
      <c r="C248" s="122"/>
    </row>
    <row r="249">
      <c r="B249" s="122"/>
      <c r="C249" s="122"/>
    </row>
    <row r="250">
      <c r="B250" s="122"/>
      <c r="C250" s="122"/>
    </row>
    <row r="251">
      <c r="B251" s="122"/>
      <c r="C251" s="122"/>
    </row>
    <row r="252">
      <c r="B252" s="122"/>
      <c r="C252" s="122"/>
    </row>
    <row r="253">
      <c r="B253" s="122"/>
      <c r="C253" s="122"/>
    </row>
    <row r="254">
      <c r="B254" s="122"/>
      <c r="C254" s="122"/>
    </row>
    <row r="255">
      <c r="B255" s="122"/>
      <c r="C255" s="122"/>
    </row>
    <row r="256">
      <c r="B256" s="122"/>
      <c r="C256" s="122"/>
    </row>
    <row r="257">
      <c r="B257" s="122"/>
      <c r="C257" s="122"/>
    </row>
    <row r="258">
      <c r="B258" s="122"/>
      <c r="C258" s="122"/>
    </row>
    <row r="259">
      <c r="B259" s="122"/>
      <c r="C259" s="122"/>
    </row>
    <row r="260">
      <c r="B260" s="122"/>
      <c r="C260" s="122"/>
    </row>
    <row r="261">
      <c r="B261" s="122"/>
      <c r="C261" s="122"/>
    </row>
    <row r="262">
      <c r="B262" s="122"/>
      <c r="C262" s="122"/>
    </row>
    <row r="263">
      <c r="B263" s="122"/>
      <c r="C263" s="122"/>
    </row>
    <row r="264">
      <c r="B264" s="122"/>
      <c r="C264" s="122"/>
    </row>
    <row r="265">
      <c r="B265" s="122"/>
      <c r="C265" s="122"/>
    </row>
    <row r="266">
      <c r="B266" s="122"/>
      <c r="C266" s="122"/>
    </row>
    <row r="267">
      <c r="B267" s="122"/>
      <c r="C267" s="122"/>
    </row>
    <row r="268">
      <c r="B268" s="122"/>
      <c r="C268" s="122"/>
    </row>
    <row r="269">
      <c r="B269" s="122"/>
      <c r="C269" s="122"/>
    </row>
    <row r="270">
      <c r="B270" s="122"/>
      <c r="C270" s="122"/>
    </row>
    <row r="271">
      <c r="B271" s="122"/>
      <c r="C271" s="122"/>
    </row>
    <row r="272">
      <c r="B272" s="122"/>
      <c r="C272" s="122"/>
    </row>
    <row r="273">
      <c r="B273" s="122"/>
      <c r="C273" s="122"/>
    </row>
    <row r="274">
      <c r="B274" s="122"/>
      <c r="C274" s="122"/>
    </row>
    <row r="275">
      <c r="B275" s="122"/>
      <c r="C275" s="122"/>
    </row>
    <row r="276">
      <c r="B276" s="122"/>
      <c r="C276" s="122"/>
    </row>
    <row r="277">
      <c r="B277" s="122"/>
      <c r="C277" s="122"/>
    </row>
    <row r="278">
      <c r="B278" s="122"/>
      <c r="C278" s="122"/>
    </row>
    <row r="279">
      <c r="B279" s="122"/>
      <c r="C279" s="122"/>
    </row>
    <row r="280">
      <c r="B280" s="122"/>
      <c r="C280" s="122"/>
    </row>
    <row r="281">
      <c r="B281" s="122"/>
      <c r="C281" s="122"/>
    </row>
    <row r="282">
      <c r="B282" s="122"/>
      <c r="C282" s="122"/>
    </row>
    <row r="283">
      <c r="B283" s="122"/>
      <c r="C283" s="122"/>
    </row>
    <row r="284">
      <c r="B284" s="122"/>
      <c r="C284" s="122"/>
    </row>
    <row r="285">
      <c r="B285" s="122"/>
      <c r="C285" s="122"/>
    </row>
    <row r="286">
      <c r="B286" s="122"/>
      <c r="C286" s="122"/>
    </row>
    <row r="287">
      <c r="B287" s="122"/>
      <c r="C287" s="122"/>
    </row>
    <row r="288">
      <c r="B288" s="122"/>
      <c r="C288" s="122"/>
    </row>
    <row r="289">
      <c r="B289" s="122"/>
      <c r="C289" s="122"/>
    </row>
    <row r="290">
      <c r="B290" s="122"/>
      <c r="C290" s="122"/>
    </row>
    <row r="291">
      <c r="B291" s="122"/>
      <c r="C291" s="122"/>
    </row>
    <row r="292">
      <c r="B292" s="122"/>
      <c r="C292" s="122"/>
    </row>
    <row r="293">
      <c r="B293" s="122"/>
      <c r="C293" s="122"/>
    </row>
    <row r="294">
      <c r="B294" s="122"/>
      <c r="C294" s="122"/>
    </row>
    <row r="295">
      <c r="B295" s="122"/>
      <c r="C295" s="122"/>
    </row>
    <row r="296">
      <c r="B296" s="122"/>
      <c r="C296" s="122"/>
    </row>
    <row r="297">
      <c r="B297" s="122"/>
      <c r="C297" s="122"/>
    </row>
    <row r="298">
      <c r="B298" s="122"/>
      <c r="C298" s="122"/>
    </row>
    <row r="299">
      <c r="B299" s="122"/>
      <c r="C299" s="122"/>
    </row>
    <row r="300">
      <c r="B300" s="122"/>
      <c r="C300" s="122"/>
    </row>
    <row r="301">
      <c r="B301" s="122"/>
      <c r="C301" s="122"/>
    </row>
    <row r="302">
      <c r="B302" s="122"/>
      <c r="C302" s="122"/>
    </row>
    <row r="303">
      <c r="B303" s="122"/>
      <c r="C303" s="122"/>
    </row>
    <row r="304">
      <c r="B304" s="122"/>
      <c r="C304" s="122"/>
    </row>
    <row r="305">
      <c r="B305" s="122"/>
      <c r="C305" s="122"/>
    </row>
    <row r="306">
      <c r="B306" s="122"/>
      <c r="C306" s="122"/>
    </row>
    <row r="307">
      <c r="B307" s="122"/>
      <c r="C307" s="122"/>
    </row>
    <row r="308">
      <c r="B308" s="122"/>
      <c r="C308" s="122"/>
    </row>
    <row r="309">
      <c r="B309" s="122"/>
      <c r="C309" s="122"/>
    </row>
    <row r="310">
      <c r="B310" s="122"/>
      <c r="C310" s="122"/>
    </row>
    <row r="311">
      <c r="B311" s="122"/>
      <c r="C311" s="122"/>
    </row>
    <row r="312">
      <c r="B312" s="122"/>
      <c r="C312" s="122"/>
    </row>
    <row r="313">
      <c r="B313" s="122"/>
      <c r="C313" s="122"/>
    </row>
    <row r="314">
      <c r="B314" s="122"/>
      <c r="C314" s="122"/>
    </row>
    <row r="315">
      <c r="B315" s="122"/>
      <c r="C315" s="122"/>
    </row>
    <row r="316">
      <c r="B316" s="122"/>
      <c r="C316" s="122"/>
    </row>
    <row r="317">
      <c r="B317" s="122"/>
      <c r="C317" s="122"/>
    </row>
    <row r="318">
      <c r="B318" s="122"/>
      <c r="C318" s="122"/>
    </row>
    <row r="319">
      <c r="B319" s="122"/>
      <c r="C319" s="122"/>
    </row>
    <row r="320">
      <c r="B320" s="122"/>
      <c r="C320" s="122"/>
    </row>
    <row r="321">
      <c r="B321" s="122"/>
      <c r="C321" s="122"/>
    </row>
    <row r="322">
      <c r="B322" s="122"/>
      <c r="C322" s="122"/>
    </row>
    <row r="323">
      <c r="B323" s="122"/>
      <c r="C323" s="122"/>
    </row>
    <row r="324">
      <c r="B324" s="122"/>
      <c r="C324" s="122"/>
    </row>
    <row r="325">
      <c r="B325" s="122"/>
      <c r="C325" s="122"/>
    </row>
    <row r="326">
      <c r="B326" s="122"/>
      <c r="C326" s="122"/>
    </row>
    <row r="327">
      <c r="B327" s="122"/>
      <c r="C327" s="122"/>
    </row>
    <row r="328">
      <c r="B328" s="122"/>
      <c r="C328" s="122"/>
    </row>
    <row r="329">
      <c r="B329" s="122"/>
      <c r="C329" s="122"/>
    </row>
    <row r="330">
      <c r="B330" s="122"/>
      <c r="C330" s="122"/>
    </row>
    <row r="331">
      <c r="B331" s="122"/>
      <c r="C331" s="122"/>
    </row>
    <row r="332">
      <c r="B332" s="122"/>
      <c r="C332" s="122"/>
    </row>
    <row r="333">
      <c r="B333" s="122"/>
      <c r="C333" s="122"/>
    </row>
    <row r="334">
      <c r="B334" s="122"/>
      <c r="C334" s="122"/>
    </row>
    <row r="335">
      <c r="B335" s="122"/>
      <c r="C335" s="122"/>
    </row>
    <row r="336">
      <c r="B336" s="122"/>
      <c r="C336" s="122"/>
    </row>
    <row r="337">
      <c r="B337" s="122"/>
      <c r="C337" s="122"/>
    </row>
    <row r="338">
      <c r="B338" s="122"/>
      <c r="C338" s="122"/>
    </row>
    <row r="339">
      <c r="B339" s="122"/>
      <c r="C339" s="122"/>
    </row>
    <row r="340">
      <c r="B340" s="122"/>
      <c r="C340" s="122"/>
    </row>
    <row r="341">
      <c r="B341" s="122"/>
      <c r="C341" s="122"/>
    </row>
    <row r="342">
      <c r="B342" s="122"/>
      <c r="C342" s="122"/>
    </row>
    <row r="343">
      <c r="B343" s="122"/>
      <c r="C343" s="122"/>
    </row>
    <row r="344">
      <c r="B344" s="122"/>
      <c r="C344" s="122"/>
    </row>
    <row r="345">
      <c r="B345" s="122"/>
      <c r="C345" s="122"/>
    </row>
    <row r="346">
      <c r="B346" s="122"/>
      <c r="C346" s="122"/>
    </row>
    <row r="347">
      <c r="B347" s="122"/>
      <c r="C347" s="122"/>
    </row>
    <row r="348">
      <c r="B348" s="122"/>
      <c r="C348" s="122"/>
    </row>
    <row r="349">
      <c r="B349" s="122"/>
      <c r="C349" s="122"/>
    </row>
    <row r="350">
      <c r="B350" s="122"/>
      <c r="C350" s="122"/>
    </row>
    <row r="351">
      <c r="B351" s="122"/>
      <c r="C351" s="122"/>
    </row>
    <row r="352">
      <c r="B352" s="122"/>
      <c r="C352" s="122"/>
    </row>
    <row r="353">
      <c r="B353" s="122"/>
      <c r="C353" s="122"/>
    </row>
    <row r="354">
      <c r="B354" s="122"/>
      <c r="C354" s="122"/>
    </row>
    <row r="355">
      <c r="B355" s="122"/>
      <c r="C355" s="122"/>
    </row>
    <row r="356">
      <c r="B356" s="122"/>
      <c r="C356" s="122"/>
    </row>
    <row r="357">
      <c r="B357" s="122"/>
      <c r="C357" s="122"/>
    </row>
    <row r="358">
      <c r="B358" s="122"/>
      <c r="C358" s="122"/>
    </row>
    <row r="359">
      <c r="B359" s="122"/>
      <c r="C359" s="122"/>
    </row>
    <row r="360">
      <c r="B360" s="122"/>
      <c r="C360" s="122"/>
    </row>
    <row r="361">
      <c r="B361" s="122"/>
      <c r="C361" s="122"/>
    </row>
    <row r="362">
      <c r="B362" s="122"/>
      <c r="C362" s="122"/>
    </row>
    <row r="363">
      <c r="B363" s="122"/>
      <c r="C363" s="122"/>
    </row>
    <row r="364">
      <c r="B364" s="122"/>
      <c r="C364" s="122"/>
    </row>
    <row r="365">
      <c r="B365" s="122"/>
      <c r="C365" s="122"/>
    </row>
    <row r="366">
      <c r="B366" s="122"/>
      <c r="C366" s="122"/>
    </row>
    <row r="367">
      <c r="B367" s="122"/>
      <c r="C367" s="122"/>
    </row>
    <row r="368">
      <c r="B368" s="122"/>
      <c r="C368" s="122"/>
    </row>
    <row r="369">
      <c r="B369" s="122"/>
      <c r="C369" s="122"/>
    </row>
    <row r="370">
      <c r="B370" s="122"/>
      <c r="C370" s="122"/>
    </row>
    <row r="371">
      <c r="B371" s="122"/>
      <c r="C371" s="122"/>
    </row>
    <row r="372">
      <c r="B372" s="122"/>
      <c r="C372" s="122"/>
    </row>
    <row r="373">
      <c r="B373" s="122"/>
      <c r="C373" s="122"/>
    </row>
    <row r="374">
      <c r="B374" s="122"/>
      <c r="C374" s="122"/>
    </row>
    <row r="375">
      <c r="B375" s="122"/>
      <c r="C375" s="122"/>
    </row>
    <row r="376">
      <c r="B376" s="122"/>
      <c r="C376" s="122"/>
    </row>
    <row r="377">
      <c r="B377" s="122"/>
      <c r="C377" s="122"/>
    </row>
    <row r="378">
      <c r="B378" s="122"/>
      <c r="C378" s="122"/>
    </row>
    <row r="379">
      <c r="B379" s="122"/>
      <c r="C379" s="122"/>
    </row>
    <row r="380">
      <c r="B380" s="122"/>
      <c r="C380" s="122"/>
    </row>
    <row r="381">
      <c r="B381" s="122"/>
      <c r="C381" s="122"/>
    </row>
    <row r="382">
      <c r="B382" s="122"/>
      <c r="C382" s="122"/>
    </row>
    <row r="383">
      <c r="B383" s="122"/>
      <c r="C383" s="122"/>
    </row>
    <row r="384">
      <c r="B384" s="122"/>
      <c r="C384" s="122"/>
    </row>
    <row r="385">
      <c r="B385" s="122"/>
      <c r="C385" s="122"/>
    </row>
    <row r="386">
      <c r="B386" s="122"/>
      <c r="C386" s="122"/>
    </row>
    <row r="387">
      <c r="B387" s="122"/>
      <c r="C387" s="122"/>
    </row>
    <row r="388">
      <c r="B388" s="122"/>
      <c r="C388" s="122"/>
    </row>
    <row r="389">
      <c r="B389" s="122"/>
      <c r="C389" s="122"/>
    </row>
    <row r="390">
      <c r="B390" s="122"/>
      <c r="C390" s="122"/>
    </row>
    <row r="391">
      <c r="B391" s="122"/>
      <c r="C391" s="122"/>
    </row>
    <row r="392">
      <c r="B392" s="122"/>
      <c r="C392" s="122"/>
    </row>
    <row r="393">
      <c r="B393" s="122"/>
      <c r="C393" s="122"/>
    </row>
    <row r="394">
      <c r="B394" s="122"/>
      <c r="C394" s="122"/>
    </row>
    <row r="395">
      <c r="B395" s="122"/>
      <c r="C395" s="122"/>
    </row>
    <row r="396">
      <c r="B396" s="122"/>
      <c r="C396" s="122"/>
    </row>
    <row r="397">
      <c r="B397" s="122"/>
      <c r="C397" s="122"/>
    </row>
    <row r="398">
      <c r="B398" s="122"/>
      <c r="C398" s="122"/>
    </row>
    <row r="399">
      <c r="B399" s="122"/>
      <c r="C399" s="122"/>
    </row>
    <row r="400">
      <c r="B400" s="122"/>
      <c r="C400" s="122"/>
    </row>
    <row r="401">
      <c r="B401" s="122"/>
      <c r="C401" s="122"/>
    </row>
    <row r="402">
      <c r="B402" s="122"/>
      <c r="C402" s="122"/>
    </row>
    <row r="403">
      <c r="B403" s="122"/>
      <c r="C403" s="122"/>
    </row>
    <row r="404">
      <c r="B404" s="122"/>
      <c r="C404" s="122"/>
    </row>
    <row r="405">
      <c r="B405" s="122"/>
      <c r="C405" s="122"/>
    </row>
    <row r="406">
      <c r="B406" s="122"/>
      <c r="C406" s="122"/>
    </row>
    <row r="407">
      <c r="B407" s="122"/>
      <c r="C407" s="122"/>
    </row>
    <row r="408">
      <c r="B408" s="122"/>
      <c r="C408" s="122"/>
    </row>
    <row r="409">
      <c r="B409" s="122"/>
      <c r="C409" s="122"/>
    </row>
    <row r="410">
      <c r="B410" s="122"/>
      <c r="C410" s="122"/>
    </row>
    <row r="411">
      <c r="B411" s="122"/>
      <c r="C411" s="122"/>
    </row>
    <row r="412">
      <c r="B412" s="122"/>
      <c r="C412" s="122"/>
    </row>
    <row r="413">
      <c r="B413" s="122"/>
      <c r="C413" s="122"/>
    </row>
    <row r="414">
      <c r="B414" s="122"/>
      <c r="C414" s="122"/>
    </row>
    <row r="415">
      <c r="B415" s="122"/>
      <c r="C415" s="122"/>
    </row>
    <row r="416">
      <c r="B416" s="122"/>
      <c r="C416" s="122"/>
    </row>
    <row r="417">
      <c r="B417" s="122"/>
      <c r="C417" s="122"/>
    </row>
    <row r="418">
      <c r="B418" s="122"/>
      <c r="C418" s="122"/>
    </row>
    <row r="419">
      <c r="B419" s="122"/>
      <c r="C419" s="122"/>
    </row>
    <row r="420">
      <c r="B420" s="122"/>
      <c r="C420" s="122"/>
    </row>
    <row r="421">
      <c r="B421" s="122"/>
      <c r="C421" s="122"/>
    </row>
    <row r="422">
      <c r="B422" s="122"/>
      <c r="C422" s="122"/>
    </row>
    <row r="423">
      <c r="B423" s="122"/>
      <c r="C423" s="122"/>
    </row>
    <row r="424">
      <c r="B424" s="122"/>
      <c r="C424" s="122"/>
    </row>
    <row r="425">
      <c r="B425" s="122"/>
      <c r="C425" s="122"/>
    </row>
    <row r="426">
      <c r="B426" s="122"/>
      <c r="C426" s="122"/>
    </row>
    <row r="427">
      <c r="B427" s="122"/>
      <c r="C427" s="122"/>
    </row>
    <row r="428">
      <c r="B428" s="122"/>
      <c r="C428" s="122"/>
    </row>
    <row r="429">
      <c r="B429" s="122"/>
      <c r="C429" s="122"/>
    </row>
    <row r="430">
      <c r="B430" s="122"/>
      <c r="C430" s="122"/>
    </row>
    <row r="431">
      <c r="B431" s="122"/>
      <c r="C431" s="122"/>
    </row>
    <row r="432">
      <c r="B432" s="122"/>
      <c r="C432" s="122"/>
    </row>
    <row r="433">
      <c r="B433" s="122"/>
      <c r="C433" s="122"/>
    </row>
    <row r="434">
      <c r="B434" s="122"/>
      <c r="C434" s="122"/>
    </row>
    <row r="435">
      <c r="B435" s="122"/>
      <c r="C435" s="122"/>
    </row>
    <row r="436">
      <c r="B436" s="122"/>
      <c r="C436" s="122"/>
    </row>
    <row r="437">
      <c r="B437" s="122"/>
      <c r="C437" s="122"/>
    </row>
    <row r="438">
      <c r="B438" s="122"/>
      <c r="C438" s="122"/>
    </row>
    <row r="439">
      <c r="B439" s="122"/>
      <c r="C439" s="122"/>
    </row>
    <row r="440">
      <c r="B440" s="122"/>
      <c r="C440" s="122"/>
    </row>
    <row r="441">
      <c r="B441" s="122"/>
      <c r="C441" s="122"/>
    </row>
    <row r="442">
      <c r="B442" s="122"/>
      <c r="C442" s="122"/>
    </row>
    <row r="443">
      <c r="B443" s="122"/>
      <c r="C443" s="122"/>
    </row>
    <row r="444">
      <c r="B444" s="122"/>
      <c r="C444" s="122"/>
    </row>
    <row r="445">
      <c r="B445" s="122"/>
      <c r="C445" s="122"/>
    </row>
    <row r="446">
      <c r="B446" s="122"/>
      <c r="C446" s="122"/>
    </row>
    <row r="447">
      <c r="B447" s="122"/>
      <c r="C447" s="122"/>
    </row>
    <row r="448">
      <c r="B448" s="122"/>
      <c r="C448" s="122"/>
    </row>
    <row r="449">
      <c r="B449" s="122"/>
      <c r="C449" s="122"/>
    </row>
    <row r="450">
      <c r="B450" s="122"/>
      <c r="C450" s="122"/>
    </row>
    <row r="451">
      <c r="B451" s="122"/>
      <c r="C451" s="122"/>
    </row>
    <row r="452">
      <c r="B452" s="122"/>
      <c r="C452" s="122"/>
    </row>
    <row r="453">
      <c r="B453" s="122"/>
      <c r="C453" s="122"/>
    </row>
    <row r="454">
      <c r="B454" s="122"/>
      <c r="C454" s="122"/>
    </row>
    <row r="455">
      <c r="B455" s="122"/>
      <c r="C455" s="122"/>
    </row>
    <row r="456">
      <c r="B456" s="122"/>
      <c r="C456" s="122"/>
    </row>
    <row r="457">
      <c r="B457" s="122"/>
      <c r="C457" s="122"/>
    </row>
    <row r="458">
      <c r="B458" s="122"/>
      <c r="C458" s="122"/>
    </row>
    <row r="459">
      <c r="B459" s="122"/>
      <c r="C459" s="122"/>
    </row>
    <row r="460">
      <c r="B460" s="122"/>
      <c r="C460" s="122"/>
    </row>
    <row r="461">
      <c r="B461" s="122"/>
      <c r="C461" s="122"/>
    </row>
    <row r="462">
      <c r="B462" s="122"/>
      <c r="C462" s="122"/>
    </row>
    <row r="463">
      <c r="B463" s="122"/>
      <c r="C463" s="122"/>
    </row>
    <row r="464">
      <c r="B464" s="122"/>
      <c r="C464" s="122"/>
    </row>
    <row r="465">
      <c r="B465" s="122"/>
      <c r="C465" s="122"/>
    </row>
    <row r="466">
      <c r="B466" s="122"/>
      <c r="C466" s="122"/>
    </row>
    <row r="467">
      <c r="B467" s="122"/>
      <c r="C467" s="122"/>
    </row>
    <row r="468">
      <c r="B468" s="122"/>
      <c r="C468" s="122"/>
    </row>
    <row r="469">
      <c r="B469" s="122"/>
      <c r="C469" s="122"/>
    </row>
    <row r="470">
      <c r="B470" s="122"/>
      <c r="C470" s="122"/>
    </row>
    <row r="471">
      <c r="B471" s="122"/>
      <c r="C471" s="122"/>
    </row>
    <row r="472">
      <c r="B472" s="122"/>
      <c r="C472" s="122"/>
    </row>
    <row r="473">
      <c r="B473" s="122"/>
      <c r="C473" s="122"/>
    </row>
    <row r="474">
      <c r="B474" s="122"/>
      <c r="C474" s="122"/>
    </row>
    <row r="475">
      <c r="B475" s="122"/>
      <c r="C475" s="122"/>
    </row>
    <row r="476">
      <c r="B476" s="122"/>
      <c r="C476" s="122"/>
    </row>
    <row r="477">
      <c r="B477" s="122"/>
      <c r="C477" s="122"/>
    </row>
    <row r="478">
      <c r="B478" s="122"/>
      <c r="C478" s="122"/>
    </row>
    <row r="479">
      <c r="B479" s="122"/>
      <c r="C479" s="122"/>
    </row>
    <row r="480">
      <c r="B480" s="122"/>
      <c r="C480" s="122"/>
    </row>
    <row r="481">
      <c r="B481" s="122"/>
      <c r="C481" s="122"/>
    </row>
    <row r="482">
      <c r="B482" s="122"/>
      <c r="C482" s="122"/>
    </row>
    <row r="483">
      <c r="B483" s="122"/>
      <c r="C483" s="122"/>
    </row>
    <row r="484">
      <c r="B484" s="122"/>
      <c r="C484" s="122"/>
    </row>
    <row r="485">
      <c r="B485" s="122"/>
      <c r="C485" s="122"/>
    </row>
    <row r="486">
      <c r="B486" s="122"/>
      <c r="C486" s="122"/>
    </row>
    <row r="487">
      <c r="B487" s="122"/>
      <c r="C487" s="122"/>
    </row>
    <row r="488">
      <c r="B488" s="122"/>
      <c r="C488" s="122"/>
    </row>
    <row r="489">
      <c r="B489" s="122"/>
      <c r="C489" s="122"/>
    </row>
    <row r="490">
      <c r="B490" s="122"/>
      <c r="C490" s="122"/>
    </row>
    <row r="491">
      <c r="B491" s="122"/>
      <c r="C491" s="122"/>
    </row>
    <row r="492">
      <c r="B492" s="122"/>
      <c r="C492" s="122"/>
    </row>
    <row r="493">
      <c r="B493" s="122"/>
      <c r="C493" s="122"/>
    </row>
    <row r="494">
      <c r="B494" s="122"/>
      <c r="C494" s="122"/>
    </row>
    <row r="495">
      <c r="B495" s="122"/>
      <c r="C495" s="122"/>
    </row>
    <row r="496">
      <c r="B496" s="122"/>
      <c r="C496" s="122"/>
    </row>
    <row r="497">
      <c r="B497" s="122"/>
      <c r="C497" s="122"/>
    </row>
    <row r="498">
      <c r="B498" s="122"/>
      <c r="C498" s="122"/>
    </row>
    <row r="499">
      <c r="B499" s="122"/>
      <c r="C499" s="122"/>
    </row>
    <row r="500">
      <c r="B500" s="122"/>
      <c r="C500" s="122"/>
    </row>
    <row r="501">
      <c r="B501" s="122"/>
      <c r="C501" s="122"/>
    </row>
    <row r="502">
      <c r="B502" s="122"/>
      <c r="C502" s="122"/>
    </row>
    <row r="503">
      <c r="B503" s="122"/>
      <c r="C503" s="122"/>
    </row>
    <row r="504">
      <c r="B504" s="122"/>
      <c r="C504" s="122"/>
    </row>
    <row r="505">
      <c r="B505" s="122"/>
      <c r="C505" s="122"/>
    </row>
    <row r="506">
      <c r="B506" s="122"/>
      <c r="C506" s="122"/>
    </row>
    <row r="507">
      <c r="B507" s="122"/>
      <c r="C507" s="122"/>
    </row>
    <row r="508">
      <c r="B508" s="122"/>
      <c r="C508" s="122"/>
    </row>
    <row r="509">
      <c r="B509" s="122"/>
      <c r="C509" s="122"/>
    </row>
    <row r="510">
      <c r="B510" s="122"/>
      <c r="C510" s="122"/>
    </row>
    <row r="511">
      <c r="B511" s="122"/>
      <c r="C511" s="122"/>
    </row>
    <row r="512">
      <c r="B512" s="122"/>
      <c r="C512" s="122"/>
    </row>
    <row r="513">
      <c r="B513" s="122"/>
      <c r="C513" s="122"/>
    </row>
    <row r="514">
      <c r="B514" s="122"/>
      <c r="C514" s="122"/>
    </row>
    <row r="515">
      <c r="B515" s="122"/>
      <c r="C515" s="122"/>
    </row>
    <row r="516">
      <c r="B516" s="122"/>
      <c r="C516" s="122"/>
    </row>
    <row r="517">
      <c r="B517" s="122"/>
      <c r="C517" s="122"/>
    </row>
    <row r="518">
      <c r="B518" s="122"/>
      <c r="C518" s="122"/>
    </row>
    <row r="519">
      <c r="B519" s="122"/>
      <c r="C519" s="122"/>
    </row>
    <row r="520">
      <c r="B520" s="122"/>
      <c r="C520" s="122"/>
    </row>
    <row r="521">
      <c r="B521" s="122"/>
      <c r="C521" s="122"/>
    </row>
    <row r="522">
      <c r="B522" s="122"/>
      <c r="C522" s="122"/>
    </row>
    <row r="523">
      <c r="B523" s="122"/>
      <c r="C523" s="122"/>
    </row>
    <row r="524">
      <c r="B524" s="122"/>
      <c r="C524" s="122"/>
    </row>
    <row r="525">
      <c r="B525" s="122"/>
      <c r="C525" s="122"/>
    </row>
    <row r="526">
      <c r="B526" s="122"/>
      <c r="C526" s="122"/>
    </row>
    <row r="527">
      <c r="B527" s="122"/>
      <c r="C527" s="122"/>
    </row>
    <row r="528">
      <c r="B528" s="122"/>
      <c r="C528" s="122"/>
    </row>
    <row r="529">
      <c r="B529" s="122"/>
      <c r="C529" s="122"/>
    </row>
    <row r="530">
      <c r="B530" s="122"/>
      <c r="C530" s="122"/>
    </row>
    <row r="531">
      <c r="B531" s="122"/>
      <c r="C531" s="122"/>
    </row>
    <row r="532">
      <c r="B532" s="122"/>
      <c r="C532" s="122"/>
    </row>
    <row r="533">
      <c r="B533" s="122"/>
      <c r="C533" s="122"/>
    </row>
    <row r="534">
      <c r="B534" s="122"/>
      <c r="C534" s="122"/>
    </row>
    <row r="535">
      <c r="B535" s="122"/>
      <c r="C535" s="122"/>
    </row>
    <row r="536">
      <c r="B536" s="122"/>
      <c r="C536" s="122"/>
    </row>
    <row r="537">
      <c r="B537" s="122"/>
      <c r="C537" s="122"/>
    </row>
    <row r="538">
      <c r="B538" s="122"/>
      <c r="C538" s="122"/>
    </row>
    <row r="539">
      <c r="B539" s="122"/>
      <c r="C539" s="122"/>
    </row>
    <row r="540">
      <c r="B540" s="122"/>
      <c r="C540" s="122"/>
    </row>
    <row r="541">
      <c r="B541" s="122"/>
      <c r="C541" s="122"/>
    </row>
    <row r="542">
      <c r="B542" s="122"/>
      <c r="C542" s="122"/>
    </row>
    <row r="543">
      <c r="B543" s="122"/>
      <c r="C543" s="122"/>
    </row>
    <row r="544">
      <c r="B544" s="122"/>
      <c r="C544" s="122"/>
    </row>
    <row r="545">
      <c r="B545" s="122"/>
      <c r="C545" s="122"/>
    </row>
    <row r="546">
      <c r="B546" s="122"/>
      <c r="C546" s="122"/>
    </row>
    <row r="547">
      <c r="B547" s="122"/>
      <c r="C547" s="122"/>
    </row>
    <row r="548">
      <c r="B548" s="122"/>
      <c r="C548" s="122"/>
    </row>
    <row r="549">
      <c r="B549" s="122"/>
      <c r="C549" s="122"/>
    </row>
    <row r="550">
      <c r="B550" s="122"/>
      <c r="C550" s="122"/>
    </row>
    <row r="551">
      <c r="B551" s="122"/>
      <c r="C551" s="122"/>
    </row>
    <row r="552">
      <c r="B552" s="122"/>
      <c r="C552" s="122"/>
    </row>
    <row r="553">
      <c r="B553" s="122"/>
      <c r="C553" s="122"/>
    </row>
    <row r="554">
      <c r="B554" s="122"/>
      <c r="C554" s="122"/>
    </row>
    <row r="555">
      <c r="B555" s="122"/>
      <c r="C555" s="122"/>
    </row>
    <row r="556">
      <c r="B556" s="122"/>
      <c r="C556" s="122"/>
    </row>
    <row r="557">
      <c r="B557" s="122"/>
      <c r="C557" s="122"/>
    </row>
    <row r="558">
      <c r="B558" s="122"/>
      <c r="C558" s="122"/>
    </row>
    <row r="559">
      <c r="B559" s="122"/>
      <c r="C559" s="122"/>
    </row>
    <row r="560">
      <c r="B560" s="122"/>
      <c r="C560" s="122"/>
    </row>
    <row r="561">
      <c r="B561" s="122"/>
      <c r="C561" s="122"/>
    </row>
    <row r="562">
      <c r="B562" s="122"/>
      <c r="C562" s="122"/>
    </row>
    <row r="563">
      <c r="B563" s="122"/>
      <c r="C563" s="122"/>
    </row>
    <row r="564">
      <c r="B564" s="122"/>
      <c r="C564" s="122"/>
    </row>
    <row r="565">
      <c r="B565" s="122"/>
      <c r="C565" s="122"/>
    </row>
    <row r="566">
      <c r="B566" s="122"/>
      <c r="C566" s="122"/>
    </row>
    <row r="567">
      <c r="B567" s="122"/>
      <c r="C567" s="122"/>
    </row>
    <row r="568">
      <c r="B568" s="122"/>
      <c r="C568" s="122"/>
    </row>
    <row r="569">
      <c r="B569" s="122"/>
      <c r="C569" s="122"/>
    </row>
    <row r="570">
      <c r="B570" s="122"/>
      <c r="C570" s="122"/>
    </row>
    <row r="571">
      <c r="B571" s="122"/>
      <c r="C571" s="122"/>
    </row>
    <row r="572">
      <c r="B572" s="122"/>
      <c r="C572" s="122"/>
    </row>
    <row r="573">
      <c r="B573" s="122"/>
      <c r="C573" s="122"/>
    </row>
    <row r="574">
      <c r="B574" s="122"/>
      <c r="C574" s="122"/>
    </row>
    <row r="575">
      <c r="B575" s="122"/>
      <c r="C575" s="122"/>
    </row>
    <row r="576">
      <c r="B576" s="122"/>
      <c r="C576" s="122"/>
    </row>
    <row r="577">
      <c r="B577" s="122"/>
      <c r="C577" s="122"/>
    </row>
    <row r="578">
      <c r="B578" s="122"/>
      <c r="C578" s="122"/>
    </row>
    <row r="579">
      <c r="B579" s="122"/>
      <c r="C579" s="122"/>
    </row>
    <row r="580">
      <c r="B580" s="122"/>
      <c r="C580" s="122"/>
    </row>
    <row r="581">
      <c r="B581" s="122"/>
      <c r="C581" s="122"/>
    </row>
    <row r="582">
      <c r="B582" s="122"/>
      <c r="C582" s="122"/>
    </row>
    <row r="583">
      <c r="B583" s="122"/>
      <c r="C583" s="122"/>
    </row>
    <row r="584">
      <c r="B584" s="122"/>
      <c r="C584" s="122"/>
    </row>
    <row r="585">
      <c r="B585" s="122"/>
      <c r="C585" s="122"/>
    </row>
    <row r="586">
      <c r="B586" s="122"/>
      <c r="C586" s="122"/>
    </row>
    <row r="587">
      <c r="B587" s="122"/>
      <c r="C587" s="122"/>
    </row>
    <row r="588">
      <c r="B588" s="122"/>
      <c r="C588" s="122"/>
    </row>
    <row r="589">
      <c r="B589" s="122"/>
      <c r="C589" s="122"/>
    </row>
    <row r="590">
      <c r="B590" s="122"/>
      <c r="C590" s="122"/>
    </row>
    <row r="591">
      <c r="B591" s="122"/>
      <c r="C591" s="122"/>
    </row>
    <row r="592">
      <c r="B592" s="122"/>
      <c r="C592" s="122"/>
    </row>
    <row r="593">
      <c r="B593" s="122"/>
      <c r="C593" s="122"/>
    </row>
    <row r="594">
      <c r="B594" s="122"/>
      <c r="C594" s="122"/>
    </row>
    <row r="595">
      <c r="B595" s="122"/>
      <c r="C595" s="122"/>
    </row>
    <row r="596">
      <c r="B596" s="122"/>
      <c r="C596" s="122"/>
    </row>
    <row r="597">
      <c r="B597" s="122"/>
      <c r="C597" s="122"/>
    </row>
    <row r="598">
      <c r="B598" s="122"/>
      <c r="C598" s="122"/>
    </row>
    <row r="599">
      <c r="B599" s="122"/>
      <c r="C599" s="122"/>
    </row>
    <row r="600">
      <c r="B600" s="122"/>
      <c r="C600" s="122"/>
    </row>
    <row r="601">
      <c r="B601" s="122"/>
      <c r="C601" s="122"/>
    </row>
    <row r="602">
      <c r="B602" s="122"/>
      <c r="C602" s="122"/>
    </row>
    <row r="603">
      <c r="B603" s="122"/>
      <c r="C603" s="122"/>
    </row>
    <row r="604">
      <c r="B604" s="122"/>
      <c r="C604" s="122"/>
    </row>
    <row r="605">
      <c r="B605" s="122"/>
      <c r="C605" s="122"/>
    </row>
    <row r="606">
      <c r="B606" s="122"/>
      <c r="C606" s="122"/>
    </row>
    <row r="607">
      <c r="B607" s="122"/>
      <c r="C607" s="122"/>
    </row>
    <row r="608">
      <c r="B608" s="122"/>
      <c r="C608" s="122"/>
    </row>
    <row r="609">
      <c r="B609" s="122"/>
      <c r="C609" s="122"/>
    </row>
    <row r="610">
      <c r="B610" s="122"/>
      <c r="C610" s="122"/>
    </row>
    <row r="611">
      <c r="B611" s="122"/>
      <c r="C611" s="122"/>
    </row>
    <row r="612">
      <c r="B612" s="122"/>
      <c r="C612" s="122"/>
    </row>
    <row r="613">
      <c r="B613" s="122"/>
      <c r="C613" s="122"/>
    </row>
    <row r="614">
      <c r="B614" s="122"/>
      <c r="C614" s="122"/>
    </row>
    <row r="615">
      <c r="B615" s="122"/>
      <c r="C615" s="122"/>
    </row>
    <row r="616">
      <c r="B616" s="122"/>
      <c r="C616" s="122"/>
    </row>
    <row r="617">
      <c r="B617" s="122"/>
      <c r="C617" s="122"/>
    </row>
    <row r="618">
      <c r="B618" s="122"/>
      <c r="C618" s="122"/>
    </row>
    <row r="619">
      <c r="B619" s="122"/>
      <c r="C619" s="122"/>
    </row>
    <row r="620">
      <c r="B620" s="122"/>
      <c r="C620" s="122"/>
    </row>
    <row r="621">
      <c r="B621" s="122"/>
      <c r="C621" s="122"/>
    </row>
    <row r="622">
      <c r="B622" s="122"/>
      <c r="C622" s="122"/>
    </row>
    <row r="623">
      <c r="B623" s="122"/>
      <c r="C623" s="122"/>
    </row>
    <row r="624">
      <c r="B624" s="122"/>
      <c r="C624" s="122"/>
    </row>
    <row r="625">
      <c r="B625" s="122"/>
      <c r="C625" s="122"/>
    </row>
    <row r="626">
      <c r="B626" s="122"/>
      <c r="C626" s="122"/>
    </row>
    <row r="627">
      <c r="B627" s="122"/>
      <c r="C627" s="122"/>
    </row>
    <row r="628">
      <c r="B628" s="122"/>
      <c r="C628" s="122"/>
    </row>
    <row r="629">
      <c r="B629" s="122"/>
      <c r="C629" s="122"/>
    </row>
    <row r="630">
      <c r="B630" s="122"/>
      <c r="C630" s="122"/>
    </row>
    <row r="631">
      <c r="B631" s="122"/>
      <c r="C631" s="122"/>
    </row>
    <row r="632">
      <c r="B632" s="122"/>
      <c r="C632" s="122"/>
    </row>
    <row r="633">
      <c r="B633" s="122"/>
      <c r="C633" s="122"/>
    </row>
    <row r="634">
      <c r="B634" s="122"/>
      <c r="C634" s="122"/>
    </row>
    <row r="635">
      <c r="B635" s="122"/>
      <c r="C635" s="122"/>
    </row>
    <row r="636">
      <c r="B636" s="122"/>
      <c r="C636" s="122"/>
    </row>
    <row r="637">
      <c r="B637" s="122"/>
      <c r="C637" s="122"/>
    </row>
    <row r="638">
      <c r="B638" s="122"/>
      <c r="C638" s="122"/>
    </row>
    <row r="639">
      <c r="B639" s="122"/>
      <c r="C639" s="122"/>
    </row>
    <row r="640">
      <c r="B640" s="122"/>
      <c r="C640" s="122"/>
    </row>
    <row r="641">
      <c r="B641" s="122"/>
      <c r="C641" s="122"/>
    </row>
    <row r="642">
      <c r="B642" s="122"/>
      <c r="C642" s="122"/>
    </row>
    <row r="643">
      <c r="B643" s="122"/>
      <c r="C643" s="122"/>
    </row>
    <row r="644">
      <c r="B644" s="122"/>
      <c r="C644" s="122"/>
    </row>
    <row r="645">
      <c r="B645" s="122"/>
      <c r="C645" s="122"/>
    </row>
    <row r="646">
      <c r="B646" s="122"/>
      <c r="C646" s="122"/>
    </row>
    <row r="647">
      <c r="B647" s="122"/>
      <c r="C647" s="122"/>
    </row>
    <row r="648">
      <c r="B648" s="122"/>
      <c r="C648" s="122"/>
    </row>
    <row r="649">
      <c r="B649" s="122"/>
      <c r="C649" s="122"/>
    </row>
    <row r="650">
      <c r="B650" s="122"/>
      <c r="C650" s="122"/>
    </row>
    <row r="651">
      <c r="B651" s="122"/>
      <c r="C651" s="122"/>
    </row>
    <row r="652">
      <c r="B652" s="122"/>
      <c r="C652" s="122"/>
    </row>
    <row r="653">
      <c r="B653" s="122"/>
      <c r="C653" s="122"/>
    </row>
    <row r="654">
      <c r="B654" s="122"/>
      <c r="C654" s="122"/>
    </row>
    <row r="655">
      <c r="B655" s="122"/>
      <c r="C655" s="122"/>
    </row>
    <row r="656">
      <c r="B656" s="122"/>
      <c r="C656" s="122"/>
    </row>
    <row r="657">
      <c r="B657" s="122"/>
      <c r="C657" s="122"/>
    </row>
    <row r="658">
      <c r="B658" s="122"/>
      <c r="C658" s="122"/>
    </row>
    <row r="659">
      <c r="B659" s="122"/>
      <c r="C659" s="122"/>
    </row>
    <row r="660">
      <c r="B660" s="122"/>
      <c r="C660" s="122"/>
    </row>
    <row r="661">
      <c r="B661" s="122"/>
      <c r="C661" s="122"/>
    </row>
    <row r="662">
      <c r="B662" s="122"/>
      <c r="C662" s="122"/>
    </row>
    <row r="663">
      <c r="B663" s="122"/>
      <c r="C663" s="122"/>
    </row>
    <row r="664">
      <c r="B664" s="122"/>
      <c r="C664" s="122"/>
    </row>
    <row r="665">
      <c r="B665" s="122"/>
      <c r="C665" s="122"/>
    </row>
    <row r="666">
      <c r="B666" s="122"/>
      <c r="C666" s="122"/>
    </row>
    <row r="667">
      <c r="B667" s="122"/>
      <c r="C667" s="122"/>
    </row>
    <row r="668">
      <c r="B668" s="122"/>
      <c r="C668" s="122"/>
    </row>
    <row r="669">
      <c r="B669" s="122"/>
      <c r="C669" s="122"/>
    </row>
    <row r="670">
      <c r="B670" s="122"/>
      <c r="C670" s="122"/>
    </row>
    <row r="671">
      <c r="B671" s="122"/>
      <c r="C671" s="122"/>
    </row>
    <row r="672">
      <c r="B672" s="122"/>
      <c r="C672" s="122"/>
    </row>
    <row r="673">
      <c r="B673" s="122"/>
      <c r="C673" s="122"/>
    </row>
    <row r="674">
      <c r="B674" s="122"/>
      <c r="C674" s="122"/>
    </row>
    <row r="675">
      <c r="B675" s="122"/>
      <c r="C675" s="122"/>
    </row>
    <row r="676">
      <c r="B676" s="122"/>
      <c r="C676" s="122"/>
    </row>
    <row r="677">
      <c r="B677" s="122"/>
      <c r="C677" s="122"/>
    </row>
    <row r="678">
      <c r="B678" s="122"/>
      <c r="C678" s="122"/>
    </row>
    <row r="679">
      <c r="B679" s="122"/>
      <c r="C679" s="122"/>
    </row>
    <row r="680">
      <c r="B680" s="122"/>
      <c r="C680" s="122"/>
    </row>
    <row r="681">
      <c r="B681" s="122"/>
      <c r="C681" s="122"/>
    </row>
    <row r="682">
      <c r="B682" s="122"/>
      <c r="C682" s="122"/>
    </row>
    <row r="683">
      <c r="B683" s="122"/>
      <c r="C683" s="122"/>
    </row>
    <row r="684">
      <c r="B684" s="122"/>
      <c r="C684" s="122"/>
    </row>
    <row r="685">
      <c r="B685" s="122"/>
      <c r="C685" s="122"/>
    </row>
    <row r="686">
      <c r="B686" s="122"/>
      <c r="C686" s="122"/>
    </row>
    <row r="687">
      <c r="B687" s="122"/>
      <c r="C687" s="122"/>
    </row>
    <row r="688">
      <c r="B688" s="122"/>
      <c r="C688" s="122"/>
    </row>
    <row r="689">
      <c r="B689" s="122"/>
      <c r="C689" s="122"/>
    </row>
    <row r="690">
      <c r="B690" s="122"/>
      <c r="C690" s="122"/>
    </row>
    <row r="691">
      <c r="B691" s="122"/>
      <c r="C691" s="122"/>
    </row>
    <row r="692">
      <c r="B692" s="122"/>
      <c r="C692" s="122"/>
    </row>
    <row r="693">
      <c r="B693" s="122"/>
      <c r="C693" s="122"/>
    </row>
    <row r="694">
      <c r="B694" s="122"/>
      <c r="C694" s="122"/>
    </row>
    <row r="695">
      <c r="B695" s="122"/>
      <c r="C695" s="122"/>
    </row>
    <row r="696">
      <c r="B696" s="122"/>
      <c r="C696" s="122"/>
    </row>
    <row r="697">
      <c r="B697" s="122"/>
      <c r="C697" s="122"/>
    </row>
    <row r="698">
      <c r="B698" s="122"/>
      <c r="C698" s="122"/>
    </row>
    <row r="699">
      <c r="B699" s="122"/>
      <c r="C699" s="122"/>
    </row>
    <row r="700">
      <c r="B700" s="122"/>
      <c r="C700" s="122"/>
    </row>
    <row r="701">
      <c r="B701" s="122"/>
      <c r="C701" s="122"/>
    </row>
    <row r="702">
      <c r="B702" s="122"/>
      <c r="C702" s="122"/>
    </row>
    <row r="703">
      <c r="B703" s="122"/>
      <c r="C703" s="122"/>
    </row>
    <row r="704">
      <c r="B704" s="122"/>
      <c r="C704" s="122"/>
    </row>
    <row r="705">
      <c r="B705" s="122"/>
      <c r="C705" s="122"/>
    </row>
    <row r="706">
      <c r="B706" s="122"/>
      <c r="C706" s="122"/>
    </row>
    <row r="707">
      <c r="B707" s="122"/>
      <c r="C707" s="122"/>
    </row>
    <row r="708">
      <c r="B708" s="122"/>
      <c r="C708" s="122"/>
    </row>
    <row r="709">
      <c r="B709" s="122"/>
      <c r="C709" s="122"/>
    </row>
    <row r="710">
      <c r="B710" s="122"/>
      <c r="C710" s="122"/>
    </row>
    <row r="711">
      <c r="B711" s="122"/>
      <c r="C711" s="122"/>
    </row>
    <row r="712">
      <c r="B712" s="122"/>
      <c r="C712" s="122"/>
    </row>
    <row r="713">
      <c r="B713" s="122"/>
      <c r="C713" s="122"/>
    </row>
    <row r="714">
      <c r="B714" s="122"/>
      <c r="C714" s="122"/>
    </row>
    <row r="715">
      <c r="B715" s="122"/>
      <c r="C715" s="122"/>
    </row>
    <row r="716">
      <c r="B716" s="122"/>
      <c r="C716" s="122"/>
    </row>
    <row r="717">
      <c r="B717" s="122"/>
      <c r="C717" s="122"/>
    </row>
    <row r="718">
      <c r="B718" s="122"/>
      <c r="C718" s="122"/>
    </row>
    <row r="719">
      <c r="B719" s="122"/>
      <c r="C719" s="122"/>
    </row>
    <row r="720">
      <c r="B720" s="122"/>
      <c r="C720" s="122"/>
    </row>
    <row r="721">
      <c r="B721" s="122"/>
      <c r="C721" s="122"/>
    </row>
    <row r="722">
      <c r="B722" s="122"/>
      <c r="C722" s="122"/>
    </row>
    <row r="723">
      <c r="B723" s="122"/>
      <c r="C723" s="122"/>
    </row>
    <row r="724">
      <c r="B724" s="122"/>
      <c r="C724" s="122"/>
    </row>
    <row r="725">
      <c r="B725" s="122"/>
      <c r="C725" s="122"/>
    </row>
    <row r="726">
      <c r="B726" s="122"/>
      <c r="C726" s="122"/>
    </row>
    <row r="727">
      <c r="B727" s="122"/>
      <c r="C727" s="122"/>
    </row>
    <row r="728">
      <c r="B728" s="122"/>
      <c r="C728" s="122"/>
    </row>
    <row r="729">
      <c r="B729" s="122"/>
      <c r="C729" s="122"/>
    </row>
    <row r="730">
      <c r="B730" s="122"/>
      <c r="C730" s="122"/>
    </row>
    <row r="731">
      <c r="B731" s="122"/>
      <c r="C731" s="122"/>
    </row>
    <row r="732">
      <c r="B732" s="122"/>
      <c r="C732" s="122"/>
    </row>
    <row r="733">
      <c r="B733" s="122"/>
      <c r="C733" s="122"/>
    </row>
    <row r="734">
      <c r="B734" s="122"/>
      <c r="C734" s="122"/>
    </row>
    <row r="735">
      <c r="B735" s="122"/>
      <c r="C735" s="122"/>
    </row>
    <row r="736">
      <c r="B736" s="122"/>
      <c r="C736" s="122"/>
    </row>
    <row r="737">
      <c r="B737" s="122"/>
      <c r="C737" s="122"/>
    </row>
    <row r="738">
      <c r="B738" s="122"/>
      <c r="C738" s="122"/>
    </row>
    <row r="739">
      <c r="B739" s="122"/>
      <c r="C739" s="122"/>
    </row>
    <row r="740">
      <c r="B740" s="122"/>
      <c r="C740" s="122"/>
    </row>
    <row r="741">
      <c r="B741" s="122"/>
      <c r="C741" s="122"/>
    </row>
    <row r="742">
      <c r="B742" s="122"/>
      <c r="C742" s="122"/>
    </row>
    <row r="743">
      <c r="B743" s="122"/>
      <c r="C743" s="122"/>
    </row>
    <row r="744">
      <c r="B744" s="122"/>
      <c r="C744" s="122"/>
    </row>
    <row r="745">
      <c r="B745" s="122"/>
      <c r="C745" s="122"/>
    </row>
    <row r="746">
      <c r="B746" s="122"/>
      <c r="C746" s="122"/>
    </row>
    <row r="747">
      <c r="B747" s="122"/>
      <c r="C747" s="122"/>
    </row>
    <row r="748">
      <c r="B748" s="122"/>
      <c r="C748" s="122"/>
    </row>
    <row r="749">
      <c r="B749" s="122"/>
      <c r="C749" s="122"/>
    </row>
    <row r="750">
      <c r="B750" s="122"/>
      <c r="C750" s="122"/>
    </row>
    <row r="751">
      <c r="B751" s="122"/>
      <c r="C751" s="122"/>
    </row>
    <row r="752">
      <c r="B752" s="122"/>
      <c r="C752" s="122"/>
    </row>
    <row r="753">
      <c r="B753" s="122"/>
      <c r="C753" s="122"/>
    </row>
    <row r="754">
      <c r="B754" s="122"/>
      <c r="C754" s="122"/>
    </row>
    <row r="755">
      <c r="B755" s="122"/>
      <c r="C755" s="122"/>
    </row>
    <row r="756">
      <c r="B756" s="122"/>
      <c r="C756" s="122"/>
    </row>
    <row r="757">
      <c r="B757" s="122"/>
      <c r="C757" s="122"/>
    </row>
    <row r="758">
      <c r="B758" s="122"/>
      <c r="C758" s="122"/>
    </row>
    <row r="759">
      <c r="B759" s="122"/>
      <c r="C759" s="122"/>
    </row>
    <row r="760">
      <c r="B760" s="122"/>
      <c r="C760" s="122"/>
    </row>
    <row r="761">
      <c r="B761" s="122"/>
      <c r="C761" s="122"/>
    </row>
    <row r="762">
      <c r="B762" s="122"/>
      <c r="C762" s="122"/>
    </row>
    <row r="763">
      <c r="B763" s="122"/>
      <c r="C763" s="122"/>
    </row>
    <row r="764">
      <c r="B764" s="122"/>
      <c r="C764" s="122"/>
    </row>
    <row r="765">
      <c r="B765" s="122"/>
      <c r="C765" s="122"/>
    </row>
    <row r="766">
      <c r="B766" s="122"/>
      <c r="C766" s="122"/>
    </row>
    <row r="767">
      <c r="B767" s="122"/>
      <c r="C767" s="122"/>
    </row>
    <row r="768">
      <c r="B768" s="122"/>
      <c r="C768" s="122"/>
    </row>
    <row r="769">
      <c r="B769" s="122"/>
      <c r="C769" s="122"/>
    </row>
    <row r="770">
      <c r="B770" s="122"/>
      <c r="C770" s="122"/>
    </row>
    <row r="771">
      <c r="B771" s="122"/>
      <c r="C771" s="122"/>
    </row>
    <row r="772">
      <c r="B772" s="122"/>
      <c r="C772" s="122"/>
    </row>
    <row r="773">
      <c r="B773" s="122"/>
      <c r="C773" s="122"/>
    </row>
    <row r="774">
      <c r="B774" s="122"/>
      <c r="C774" s="122"/>
    </row>
    <row r="775">
      <c r="B775" s="122"/>
      <c r="C775" s="122"/>
    </row>
    <row r="776">
      <c r="B776" s="122"/>
      <c r="C776" s="122"/>
    </row>
    <row r="777">
      <c r="B777" s="122"/>
      <c r="C777" s="122"/>
    </row>
    <row r="778">
      <c r="B778" s="122"/>
      <c r="C778" s="122"/>
    </row>
    <row r="779">
      <c r="B779" s="122"/>
      <c r="C779" s="122"/>
    </row>
    <row r="780">
      <c r="B780" s="122"/>
      <c r="C780" s="122"/>
    </row>
    <row r="781">
      <c r="B781" s="122"/>
      <c r="C781" s="122"/>
    </row>
    <row r="782">
      <c r="B782" s="122"/>
      <c r="C782" s="122"/>
    </row>
    <row r="783">
      <c r="B783" s="122"/>
      <c r="C783" s="122"/>
    </row>
    <row r="784">
      <c r="B784" s="122"/>
      <c r="C784" s="122"/>
    </row>
    <row r="785">
      <c r="B785" s="122"/>
      <c r="C785" s="122"/>
    </row>
    <row r="786">
      <c r="B786" s="122"/>
      <c r="C786" s="122"/>
    </row>
    <row r="787">
      <c r="B787" s="122"/>
      <c r="C787" s="122"/>
    </row>
    <row r="788">
      <c r="B788" s="122"/>
      <c r="C788" s="122"/>
    </row>
    <row r="789">
      <c r="B789" s="122"/>
      <c r="C789" s="122"/>
    </row>
    <row r="790">
      <c r="B790" s="122"/>
      <c r="C790" s="122"/>
    </row>
    <row r="791">
      <c r="B791" s="122"/>
      <c r="C791" s="122"/>
    </row>
    <row r="792">
      <c r="B792" s="122"/>
      <c r="C792" s="122"/>
    </row>
    <row r="793">
      <c r="B793" s="122"/>
      <c r="C793" s="122"/>
    </row>
    <row r="794">
      <c r="B794" s="122"/>
      <c r="C794" s="122"/>
    </row>
    <row r="795">
      <c r="B795" s="122"/>
      <c r="C795" s="122"/>
    </row>
    <row r="796">
      <c r="B796" s="122"/>
      <c r="C796" s="122"/>
    </row>
    <row r="797">
      <c r="B797" s="122"/>
      <c r="C797" s="122"/>
    </row>
    <row r="798">
      <c r="B798" s="122"/>
      <c r="C798" s="122"/>
    </row>
    <row r="799">
      <c r="B799" s="122"/>
      <c r="C799" s="122"/>
    </row>
    <row r="800">
      <c r="B800" s="122"/>
      <c r="C800" s="122"/>
    </row>
    <row r="801">
      <c r="B801" s="122"/>
      <c r="C801" s="122"/>
    </row>
    <row r="802">
      <c r="B802" s="122"/>
      <c r="C802" s="122"/>
    </row>
    <row r="803">
      <c r="B803" s="122"/>
      <c r="C803" s="122"/>
    </row>
    <row r="804">
      <c r="B804" s="122"/>
      <c r="C804" s="122"/>
    </row>
    <row r="805">
      <c r="B805" s="122"/>
      <c r="C805" s="122"/>
    </row>
    <row r="806">
      <c r="B806" s="122"/>
      <c r="C806" s="122"/>
    </row>
    <row r="807">
      <c r="B807" s="122"/>
      <c r="C807" s="122"/>
    </row>
    <row r="808">
      <c r="B808" s="122"/>
      <c r="C808" s="122"/>
    </row>
    <row r="809">
      <c r="B809" s="122"/>
      <c r="C809" s="122"/>
    </row>
    <row r="810">
      <c r="B810" s="122"/>
      <c r="C810" s="122"/>
    </row>
    <row r="811">
      <c r="B811" s="122"/>
      <c r="C811" s="122"/>
    </row>
    <row r="812">
      <c r="B812" s="122"/>
      <c r="C812" s="122"/>
    </row>
    <row r="813">
      <c r="B813" s="122"/>
      <c r="C813" s="122"/>
    </row>
    <row r="814">
      <c r="B814" s="122"/>
      <c r="C814" s="122"/>
    </row>
    <row r="815">
      <c r="B815" s="122"/>
      <c r="C815" s="122"/>
    </row>
    <row r="816">
      <c r="B816" s="122"/>
      <c r="C816" s="122"/>
    </row>
    <row r="817">
      <c r="B817" s="122"/>
      <c r="C817" s="122"/>
    </row>
    <row r="818">
      <c r="B818" s="122"/>
      <c r="C818" s="122"/>
    </row>
    <row r="819">
      <c r="B819" s="122"/>
      <c r="C819" s="122"/>
    </row>
    <row r="820">
      <c r="B820" s="122"/>
      <c r="C820" s="122"/>
    </row>
    <row r="821">
      <c r="B821" s="122"/>
      <c r="C821" s="122"/>
    </row>
    <row r="822">
      <c r="B822" s="122"/>
      <c r="C822" s="122"/>
    </row>
    <row r="823">
      <c r="B823" s="122"/>
      <c r="C823" s="122"/>
    </row>
    <row r="824">
      <c r="B824" s="122"/>
      <c r="C824" s="122"/>
    </row>
    <row r="825">
      <c r="B825" s="122"/>
      <c r="C825" s="122"/>
    </row>
    <row r="826">
      <c r="B826" s="122"/>
      <c r="C826" s="122"/>
    </row>
    <row r="827">
      <c r="B827" s="122"/>
      <c r="C827" s="122"/>
    </row>
    <row r="828">
      <c r="B828" s="122"/>
      <c r="C828" s="122"/>
    </row>
    <row r="829">
      <c r="B829" s="122"/>
      <c r="C829" s="122"/>
    </row>
    <row r="830">
      <c r="B830" s="122"/>
      <c r="C830" s="122"/>
    </row>
    <row r="831">
      <c r="B831" s="122"/>
      <c r="C831" s="122"/>
    </row>
    <row r="832">
      <c r="B832" s="122"/>
      <c r="C832" s="122"/>
    </row>
    <row r="833">
      <c r="B833" s="122"/>
      <c r="C833" s="122"/>
    </row>
    <row r="834">
      <c r="B834" s="122"/>
      <c r="C834" s="122"/>
    </row>
    <row r="835">
      <c r="B835" s="122"/>
      <c r="C835" s="122"/>
    </row>
    <row r="836">
      <c r="B836" s="122"/>
      <c r="C836" s="122"/>
    </row>
    <row r="837">
      <c r="B837" s="122"/>
      <c r="C837" s="122"/>
    </row>
    <row r="838">
      <c r="B838" s="122"/>
      <c r="C838" s="122"/>
    </row>
    <row r="839">
      <c r="B839" s="122"/>
      <c r="C839" s="122"/>
    </row>
    <row r="840">
      <c r="B840" s="122"/>
      <c r="C840" s="122"/>
    </row>
    <row r="841">
      <c r="B841" s="122"/>
      <c r="C841" s="122"/>
    </row>
    <row r="842">
      <c r="B842" s="122"/>
      <c r="C842" s="122"/>
    </row>
    <row r="843">
      <c r="B843" s="122"/>
      <c r="C843" s="122"/>
    </row>
    <row r="844">
      <c r="B844" s="122"/>
      <c r="C844" s="122"/>
    </row>
    <row r="845">
      <c r="B845" s="122"/>
      <c r="C845" s="122"/>
    </row>
    <row r="846">
      <c r="B846" s="122"/>
      <c r="C846" s="122"/>
    </row>
    <row r="847">
      <c r="B847" s="122"/>
      <c r="C847" s="122"/>
    </row>
    <row r="848">
      <c r="B848" s="122"/>
      <c r="C848" s="122"/>
    </row>
    <row r="849">
      <c r="B849" s="122"/>
      <c r="C849" s="122"/>
    </row>
    <row r="850">
      <c r="B850" s="122"/>
      <c r="C850" s="122"/>
    </row>
    <row r="851">
      <c r="B851" s="122"/>
      <c r="C851" s="122"/>
    </row>
    <row r="852">
      <c r="B852" s="122"/>
      <c r="C852" s="122"/>
    </row>
    <row r="853">
      <c r="B853" s="122"/>
      <c r="C853" s="122"/>
    </row>
    <row r="854">
      <c r="B854" s="122"/>
      <c r="C854" s="122"/>
    </row>
    <row r="855">
      <c r="B855" s="122"/>
      <c r="C855" s="122"/>
    </row>
    <row r="856">
      <c r="B856" s="122"/>
      <c r="C856" s="122"/>
    </row>
    <row r="857">
      <c r="B857" s="122"/>
      <c r="C857" s="122"/>
    </row>
    <row r="858">
      <c r="B858" s="122"/>
      <c r="C858" s="122"/>
    </row>
    <row r="859">
      <c r="B859" s="122"/>
      <c r="C859" s="122"/>
    </row>
    <row r="860">
      <c r="B860" s="122"/>
      <c r="C860" s="122"/>
    </row>
    <row r="861">
      <c r="B861" s="122"/>
      <c r="C861" s="122"/>
    </row>
    <row r="862">
      <c r="B862" s="122"/>
      <c r="C862" s="122"/>
    </row>
    <row r="863">
      <c r="B863" s="122"/>
      <c r="C863" s="122"/>
    </row>
    <row r="864">
      <c r="B864" s="122"/>
      <c r="C864" s="122"/>
    </row>
    <row r="865">
      <c r="B865" s="122"/>
      <c r="C865" s="122"/>
    </row>
    <row r="866">
      <c r="B866" s="122"/>
      <c r="C866" s="122"/>
    </row>
    <row r="867">
      <c r="B867" s="122"/>
      <c r="C867" s="122"/>
    </row>
    <row r="868">
      <c r="B868" s="122"/>
      <c r="C868" s="122"/>
    </row>
    <row r="869">
      <c r="B869" s="122"/>
      <c r="C869" s="122"/>
    </row>
    <row r="870">
      <c r="B870" s="122"/>
      <c r="C870" s="122"/>
    </row>
    <row r="871">
      <c r="B871" s="122"/>
      <c r="C871" s="122"/>
    </row>
    <row r="872">
      <c r="B872" s="122"/>
      <c r="C872" s="122"/>
    </row>
    <row r="873">
      <c r="B873" s="122"/>
      <c r="C873" s="122"/>
    </row>
    <row r="874">
      <c r="B874" s="122"/>
      <c r="C874" s="122"/>
    </row>
    <row r="875">
      <c r="B875" s="122"/>
      <c r="C875" s="122"/>
    </row>
    <row r="876">
      <c r="B876" s="122"/>
      <c r="C876" s="122"/>
    </row>
    <row r="877">
      <c r="B877" s="122"/>
      <c r="C877" s="122"/>
    </row>
    <row r="878">
      <c r="B878" s="122"/>
      <c r="C878" s="122"/>
    </row>
    <row r="879">
      <c r="B879" s="122"/>
      <c r="C879" s="122"/>
    </row>
    <row r="880">
      <c r="B880" s="122"/>
      <c r="C880" s="122"/>
    </row>
    <row r="881">
      <c r="B881" s="122"/>
      <c r="C881" s="122"/>
    </row>
    <row r="882">
      <c r="B882" s="122"/>
      <c r="C882" s="122"/>
    </row>
    <row r="883">
      <c r="B883" s="122"/>
      <c r="C883" s="122"/>
    </row>
    <row r="884">
      <c r="B884" s="122"/>
      <c r="C884" s="122"/>
    </row>
    <row r="885">
      <c r="B885" s="122"/>
      <c r="C885" s="122"/>
    </row>
    <row r="886">
      <c r="B886" s="122"/>
      <c r="C886" s="122"/>
    </row>
    <row r="887">
      <c r="B887" s="122"/>
      <c r="C887" s="122"/>
    </row>
    <row r="888">
      <c r="B888" s="122"/>
      <c r="C888" s="122"/>
    </row>
    <row r="889">
      <c r="B889" s="122"/>
      <c r="C889" s="122"/>
    </row>
    <row r="890">
      <c r="B890" s="122"/>
      <c r="C890" s="122"/>
    </row>
    <row r="891">
      <c r="B891" s="122"/>
      <c r="C891" s="122"/>
    </row>
    <row r="892">
      <c r="B892" s="122"/>
      <c r="C892" s="122"/>
    </row>
    <row r="893">
      <c r="B893" s="122"/>
      <c r="C893" s="122"/>
    </row>
    <row r="894">
      <c r="B894" s="122"/>
      <c r="C894" s="122"/>
    </row>
    <row r="895">
      <c r="B895" s="122"/>
      <c r="C895" s="122"/>
    </row>
    <row r="896">
      <c r="B896" s="122"/>
      <c r="C896" s="122"/>
    </row>
    <row r="897">
      <c r="B897" s="122"/>
      <c r="C897" s="122"/>
    </row>
    <row r="898">
      <c r="B898" s="122"/>
      <c r="C898" s="122"/>
    </row>
    <row r="899">
      <c r="B899" s="122"/>
      <c r="C899" s="122"/>
    </row>
    <row r="900">
      <c r="B900" s="122"/>
      <c r="C900" s="122"/>
    </row>
    <row r="901">
      <c r="B901" s="122"/>
      <c r="C901" s="122"/>
    </row>
    <row r="902">
      <c r="B902" s="122"/>
      <c r="C902" s="122"/>
    </row>
    <row r="903">
      <c r="B903" s="122"/>
      <c r="C903" s="122"/>
    </row>
    <row r="904">
      <c r="B904" s="122"/>
      <c r="C904" s="122"/>
    </row>
    <row r="905">
      <c r="B905" s="122"/>
      <c r="C905" s="122"/>
    </row>
    <row r="906">
      <c r="B906" s="122"/>
      <c r="C906" s="122"/>
    </row>
    <row r="907">
      <c r="B907" s="122"/>
      <c r="C907" s="122"/>
    </row>
    <row r="908">
      <c r="B908" s="122"/>
      <c r="C908" s="122"/>
    </row>
    <row r="909">
      <c r="B909" s="122"/>
      <c r="C909" s="122"/>
    </row>
    <row r="910">
      <c r="B910" s="122"/>
      <c r="C910" s="122"/>
    </row>
    <row r="911">
      <c r="B911" s="122"/>
      <c r="C911" s="122"/>
    </row>
    <row r="912">
      <c r="B912" s="122"/>
      <c r="C912" s="122"/>
    </row>
    <row r="913">
      <c r="B913" s="122"/>
      <c r="C913" s="122"/>
    </row>
    <row r="914">
      <c r="B914" s="122"/>
      <c r="C914" s="122"/>
    </row>
    <row r="915">
      <c r="B915" s="122"/>
      <c r="C915" s="122"/>
    </row>
    <row r="916">
      <c r="B916" s="122"/>
      <c r="C916" s="122"/>
    </row>
    <row r="917">
      <c r="B917" s="122"/>
      <c r="C917" s="122"/>
    </row>
    <row r="918">
      <c r="B918" s="122"/>
      <c r="C918" s="122"/>
    </row>
    <row r="919">
      <c r="B919" s="122"/>
      <c r="C919" s="122"/>
    </row>
    <row r="920">
      <c r="B920" s="122"/>
      <c r="C920" s="122"/>
    </row>
    <row r="921">
      <c r="B921" s="122"/>
      <c r="C921" s="122"/>
    </row>
    <row r="922">
      <c r="B922" s="122"/>
      <c r="C922" s="122"/>
    </row>
    <row r="923">
      <c r="B923" s="122"/>
      <c r="C923" s="122"/>
    </row>
    <row r="924">
      <c r="B924" s="122"/>
      <c r="C924" s="122"/>
    </row>
    <row r="925">
      <c r="B925" s="122"/>
      <c r="C925" s="122"/>
    </row>
    <row r="926">
      <c r="B926" s="122"/>
      <c r="C926" s="122"/>
    </row>
    <row r="927">
      <c r="B927" s="122"/>
      <c r="C927" s="122"/>
    </row>
    <row r="928">
      <c r="B928" s="122"/>
      <c r="C928" s="122"/>
    </row>
    <row r="929">
      <c r="B929" s="122"/>
      <c r="C929" s="122"/>
    </row>
    <row r="930">
      <c r="B930" s="122"/>
      <c r="C930" s="122"/>
    </row>
    <row r="931">
      <c r="B931" s="122"/>
      <c r="C931" s="122"/>
    </row>
    <row r="932">
      <c r="B932" s="122"/>
      <c r="C932" s="122"/>
    </row>
    <row r="933">
      <c r="B933" s="122"/>
      <c r="C933" s="122"/>
    </row>
    <row r="934">
      <c r="B934" s="122"/>
      <c r="C934" s="122"/>
    </row>
    <row r="935">
      <c r="B935" s="122"/>
      <c r="C935" s="122"/>
    </row>
    <row r="936">
      <c r="B936" s="122"/>
      <c r="C936" s="122"/>
    </row>
    <row r="937">
      <c r="B937" s="122"/>
      <c r="C937" s="122"/>
    </row>
    <row r="938">
      <c r="B938" s="122"/>
      <c r="C938" s="122"/>
    </row>
    <row r="939">
      <c r="B939" s="122"/>
      <c r="C939" s="122"/>
    </row>
    <row r="940">
      <c r="B940" s="122"/>
      <c r="C940" s="122"/>
    </row>
    <row r="941">
      <c r="B941" s="122"/>
      <c r="C941" s="122"/>
    </row>
    <row r="942">
      <c r="B942" s="122"/>
      <c r="C942" s="122"/>
    </row>
    <row r="943">
      <c r="B943" s="122"/>
      <c r="C943" s="122"/>
    </row>
    <row r="944">
      <c r="B944" s="122"/>
      <c r="C944" s="122"/>
    </row>
    <row r="945">
      <c r="B945" s="122"/>
      <c r="C945" s="122"/>
    </row>
    <row r="946">
      <c r="B946" s="122"/>
      <c r="C946" s="122"/>
    </row>
    <row r="947">
      <c r="B947" s="122"/>
      <c r="C947" s="122"/>
    </row>
    <row r="948">
      <c r="B948" s="122"/>
      <c r="C948" s="122"/>
    </row>
    <row r="949">
      <c r="B949" s="122"/>
      <c r="C949" s="122"/>
    </row>
    <row r="950">
      <c r="B950" s="122"/>
      <c r="C950" s="122"/>
    </row>
    <row r="951">
      <c r="B951" s="122"/>
      <c r="C951" s="122"/>
    </row>
    <row r="952">
      <c r="B952" s="122"/>
      <c r="C952" s="122"/>
    </row>
    <row r="953">
      <c r="B953" s="122"/>
      <c r="C953" s="122"/>
    </row>
    <row r="954">
      <c r="B954" s="122"/>
      <c r="C954" s="122"/>
    </row>
    <row r="955">
      <c r="B955" s="122"/>
      <c r="C955" s="122"/>
    </row>
    <row r="956">
      <c r="B956" s="122"/>
      <c r="C956" s="122"/>
    </row>
    <row r="957">
      <c r="B957" s="122"/>
      <c r="C957" s="122"/>
    </row>
    <row r="958">
      <c r="B958" s="122"/>
      <c r="C958" s="122"/>
    </row>
    <row r="959">
      <c r="B959" s="122"/>
      <c r="C959" s="122"/>
    </row>
    <row r="960">
      <c r="B960" s="122"/>
      <c r="C960" s="122"/>
    </row>
    <row r="961">
      <c r="B961" s="122"/>
      <c r="C961" s="122"/>
    </row>
    <row r="962">
      <c r="B962" s="122"/>
      <c r="C962" s="122"/>
    </row>
    <row r="963">
      <c r="B963" s="122"/>
      <c r="C963" s="122"/>
    </row>
    <row r="964">
      <c r="B964" s="122"/>
      <c r="C964" s="122"/>
    </row>
    <row r="965">
      <c r="B965" s="122"/>
      <c r="C965" s="122"/>
    </row>
    <row r="966">
      <c r="B966" s="122"/>
      <c r="C966" s="122"/>
    </row>
    <row r="967">
      <c r="B967" s="122"/>
      <c r="C967" s="122"/>
    </row>
    <row r="968">
      <c r="B968" s="122"/>
      <c r="C968" s="122"/>
    </row>
    <row r="969">
      <c r="B969" s="122"/>
      <c r="C969" s="122"/>
    </row>
    <row r="970">
      <c r="B970" s="122"/>
      <c r="C970" s="122"/>
    </row>
    <row r="971">
      <c r="B971" s="122"/>
      <c r="C971" s="122"/>
    </row>
    <row r="972">
      <c r="B972" s="122"/>
      <c r="C972" s="122"/>
    </row>
    <row r="973">
      <c r="B973" s="122"/>
      <c r="C973" s="122"/>
    </row>
    <row r="974">
      <c r="B974" s="122"/>
      <c r="C974" s="122"/>
    </row>
    <row r="975">
      <c r="B975" s="122"/>
      <c r="C975" s="122"/>
    </row>
    <row r="976">
      <c r="B976" s="122"/>
      <c r="C976" s="122"/>
    </row>
    <row r="977">
      <c r="B977" s="122"/>
      <c r="C977" s="122"/>
    </row>
    <row r="978">
      <c r="B978" s="122"/>
      <c r="C978" s="122"/>
    </row>
    <row r="979">
      <c r="B979" s="122"/>
      <c r="C979" s="122"/>
    </row>
    <row r="980">
      <c r="B980" s="122"/>
      <c r="C980" s="122"/>
    </row>
    <row r="981">
      <c r="B981" s="122"/>
      <c r="C981" s="122"/>
    </row>
    <row r="982">
      <c r="B982" s="122"/>
      <c r="C982" s="122"/>
    </row>
    <row r="983">
      <c r="B983" s="122"/>
      <c r="C983" s="122"/>
    </row>
    <row r="984">
      <c r="B984" s="122"/>
      <c r="C984" s="122"/>
    </row>
    <row r="985">
      <c r="B985" s="122"/>
      <c r="C985" s="122"/>
    </row>
    <row r="986">
      <c r="B986" s="122"/>
      <c r="C986" s="122"/>
    </row>
    <row r="987">
      <c r="B987" s="122"/>
      <c r="C987" s="122"/>
    </row>
    <row r="988">
      <c r="B988" s="122"/>
      <c r="C988" s="122"/>
    </row>
    <row r="989">
      <c r="B989" s="122"/>
      <c r="C989" s="122"/>
    </row>
    <row r="990">
      <c r="B990" s="122"/>
      <c r="C990" s="122"/>
    </row>
    <row r="991">
      <c r="B991" s="122"/>
      <c r="C991" s="122"/>
    </row>
    <row r="992">
      <c r="B992" s="122"/>
      <c r="C992" s="122"/>
    </row>
    <row r="993">
      <c r="B993" s="122"/>
      <c r="C993" s="122"/>
    </row>
    <row r="994">
      <c r="B994" s="122"/>
      <c r="C994" s="122"/>
    </row>
    <row r="995">
      <c r="B995" s="122"/>
      <c r="C995" s="122"/>
    </row>
    <row r="996">
      <c r="B996" s="122"/>
      <c r="C996" s="122"/>
    </row>
    <row r="997">
      <c r="B997" s="122"/>
      <c r="C997" s="122"/>
    </row>
    <row r="998">
      <c r="B998" s="122"/>
      <c r="C998" s="122"/>
    </row>
    <row r="999">
      <c r="B999" s="122"/>
      <c r="C999" s="122"/>
    </row>
    <row r="1000">
      <c r="B1000" s="122"/>
      <c r="C1000" s="122"/>
    </row>
    <row r="1001">
      <c r="B1001" s="122"/>
      <c r="C1001" s="122"/>
    </row>
    <row r="1002">
      <c r="B1002" s="122"/>
      <c r="C1002" s="122"/>
    </row>
    <row r="1003">
      <c r="B1003" s="122"/>
      <c r="C1003" s="122"/>
    </row>
  </sheetData>
  <hyperlinks>
    <hyperlink r:id="rId1" ref="C3"/>
    <hyperlink r:id="rId2" ref="D3"/>
    <hyperlink r:id="rId3" ref="C4"/>
    <hyperlink r:id="rId4" ref="D6"/>
    <hyperlink r:id="rId5" ref="D7"/>
    <hyperlink r:id="rId6" ref="B8"/>
    <hyperlink r:id="rId7" ref="D8"/>
    <hyperlink r:id="rId8" ref="D9"/>
    <hyperlink r:id="rId9" ref="D10"/>
    <hyperlink r:id="rId10" ref="D11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9.38"/>
    <col customWidth="1" min="3" max="3" width="29.5"/>
    <col customWidth="1" min="4" max="4" width="36.0"/>
    <col customWidth="1" min="5" max="5" width="43.13"/>
    <col customWidth="1" min="7" max="7" width="19.88"/>
    <col customWidth="1" min="8" max="8" width="13.25"/>
    <col customWidth="1" min="9" max="9" width="25.63"/>
    <col customWidth="1" min="10" max="10" width="24.88"/>
    <col customWidth="1" min="11" max="11" width="24.0"/>
  </cols>
  <sheetData>
    <row r="1">
      <c r="A1" s="2" t="s">
        <v>3</v>
      </c>
      <c r="B1" s="1" t="s">
        <v>9</v>
      </c>
      <c r="C1" s="1" t="s">
        <v>12</v>
      </c>
      <c r="D1" s="1" t="s">
        <v>4</v>
      </c>
      <c r="E1" s="1" t="s">
        <v>5116</v>
      </c>
      <c r="G1" s="3" t="str">
        <f>IFERROR(__xludf.DUMMYFUNCTION("FILTER(A3:D831, ISNUMBER(SEARCH(""MRI"", C3:C831)), ""No MRI datasets found"")"),"#N/A")</f>
        <v>#N/A</v>
      </c>
      <c r="H1" s="2" t="s">
        <v>3</v>
      </c>
      <c r="I1" s="1" t="s">
        <v>9</v>
      </c>
      <c r="J1" s="1" t="s">
        <v>12</v>
      </c>
      <c r="K1" s="1" t="s">
        <v>5116</v>
      </c>
    </row>
    <row r="2">
      <c r="G2" s="3" t="str">
        <f>IFERROR(__xludf.DUMMYFUNCTION("FILTER(A3:D850, ISNUMBER(SEARCH(""MRI"", C3:C850)), ""No MRI datasets found"")"),"#N/A")</f>
        <v>#N/A</v>
      </c>
      <c r="H2" s="3">
        <f>COUNTIFS(C3:C831, "*MRI*", A3:A831, TRUE)</f>
        <v>173</v>
      </c>
    </row>
    <row r="3">
      <c r="A3" s="2" t="b">
        <v>1</v>
      </c>
      <c r="B3" s="2" t="s">
        <v>31</v>
      </c>
      <c r="C3" s="2" t="s">
        <v>33</v>
      </c>
      <c r="D3" s="2" t="s">
        <v>30</v>
      </c>
      <c r="E3" s="3" t="str">
        <f>IF(A3=True, "/mnt/data-nas/medical_datasets/" &amp; D3, "")</f>
        <v>/mnt/data-nas/medical_datasets/nih-chest-xrays.zip</v>
      </c>
      <c r="H3" s="3" t="b">
        <f>IFERROR(__xludf.DUMMYFUNCTION("FILTER({A2:A831, B2:B831, C2:C831, E2:E831}, REGEXMATCH(C2:C831, ""(?i)MRI""), A2:A831=TRUE)"),TRUE)</f>
        <v>1</v>
      </c>
      <c r="I3" s="3" t="str">
        <f>IFERROR(__xludf.DUMMYFUNCTION("""COMPUTED_VALUE"""),"TotalSegmentator")</f>
        <v>TotalSegmentator</v>
      </c>
      <c r="J3" s="3" t="str">
        <f>IFERROR(__xludf.DUMMYFUNCTION("""COMPUTED_VALUE"""),"CT, MRI")</f>
        <v>CT, MRI</v>
      </c>
      <c r="K3" s="3" t="str">
        <f>IFERROR(__xludf.DUMMYFUNCTION("""COMPUTED_VALUE"""),"/mnt/data-nas/medical_datasets/totalsegmentator.zip")</f>
        <v>/mnt/data-nas/medical_datasets/totalsegmentator.zip</v>
      </c>
    </row>
    <row r="4">
      <c r="A4" s="2" t="b">
        <v>1</v>
      </c>
      <c r="B4" s="124" t="s">
        <v>42</v>
      </c>
      <c r="C4" s="2" t="s">
        <v>33</v>
      </c>
      <c r="D4" s="2" t="s">
        <v>41</v>
      </c>
      <c r="E4" s="2" t="s">
        <v>41</v>
      </c>
      <c r="H4" s="3" t="b">
        <f>IFERROR(__xludf.DUMMYFUNCTION("""COMPUTED_VALUE"""),TRUE)</f>
        <v>1</v>
      </c>
      <c r="I4" s="3" t="str">
        <f>IFERROR(__xludf.DUMMYFUNCTION("""COMPUTED_VALUE"""),"Advanced-MRI-Breast-Lesions")</f>
        <v>Advanced-MRI-Breast-Lesions</v>
      </c>
      <c r="J4" s="3" t="str">
        <f>IFERROR(__xludf.DUMMYFUNCTION("""COMPUTED_VALUE"""),"MRI (DCE)")</f>
        <v>MRI (DCE)</v>
      </c>
      <c r="K4" s="3" t="str">
        <f>IFERROR(__xludf.DUMMYFUNCTION("""COMPUTED_VALUE"""),"/mnt/data-nas/medical_datasets/Advanced-MRI-Breast-Lesions")</f>
        <v>/mnt/data-nas/medical_datasets/Advanced-MRI-Breast-Lesions</v>
      </c>
    </row>
    <row r="5">
      <c r="A5" s="2" t="b">
        <v>1</v>
      </c>
      <c r="B5" s="2" t="s">
        <v>48</v>
      </c>
      <c r="C5" s="2" t="s">
        <v>33</v>
      </c>
      <c r="D5" s="2" t="s">
        <v>47</v>
      </c>
      <c r="E5" s="3" t="str">
        <f>IF(A5=True, "/mnt/data-nas/medical_datasets/" &amp; D5, "")</f>
        <v>/mnt/data-nas/medical_datasets/chexpert</v>
      </c>
      <c r="H5" s="3" t="b">
        <f>IFERROR(__xludf.DUMMYFUNCTION("""COMPUTED_VALUE"""),TRUE)</f>
        <v>1</v>
      </c>
      <c r="I5" s="3" t="str">
        <f>IFERROR(__xludf.DUMMYFUNCTION("""COMPUTED_VALUE"""),"BREAST-DIAGNOSIS")</f>
        <v>BREAST-DIAGNOSIS</v>
      </c>
      <c r="J5" s="3" t="str">
        <f>IFERROR(__xludf.DUMMYFUNCTION("""COMPUTED_VALUE"""),"MRI, CT, Mammography, PET")</f>
        <v>MRI, CT, Mammography, PET</v>
      </c>
      <c r="K5" s="3" t="str">
        <f>IFERROR(__xludf.DUMMYFUNCTION("""COMPUTED_VALUE"""),"/mnt/data-nas/medical_datasets/BREAST-DIAGNOSIS")</f>
        <v>/mnt/data-nas/medical_datasets/BREAST-DIAGNOSIS</v>
      </c>
    </row>
    <row r="6">
      <c r="A6" s="2" t="b">
        <v>1</v>
      </c>
      <c r="B6" s="2" t="s">
        <v>54</v>
      </c>
      <c r="C6" s="2" t="s">
        <v>33</v>
      </c>
      <c r="D6" s="2" t="s">
        <v>53</v>
      </c>
      <c r="E6" s="2" t="s">
        <v>53</v>
      </c>
      <c r="H6" s="3" t="b">
        <f>IFERROR(__xludf.DUMMYFUNCTION("""COMPUTED_VALUE"""),TRUE)</f>
        <v>1</v>
      </c>
      <c r="I6" s="3" t="str">
        <f>IFERROR(__xludf.DUMMYFUNCTION("""COMPUTED_VALUE"""),"Breast-MRI-NACT-Pilot")</f>
        <v>Breast-MRI-NACT-Pilot</v>
      </c>
      <c r="J6" s="3" t="str">
        <f>IFERROR(__xludf.DUMMYFUNCTION("""COMPUTED_VALUE"""),"MRI (DCE)")</f>
        <v>MRI (DCE)</v>
      </c>
      <c r="K6" s="3" t="str">
        <f>IFERROR(__xludf.DUMMYFUNCTION("""COMPUTED_VALUE"""),"/mnt/data-nas/medical_datasets/Breast-MRI-NACT-Pilot")</f>
        <v>/mnt/data-nas/medical_datasets/Breast-MRI-NACT-Pilot</v>
      </c>
    </row>
    <row r="7">
      <c r="A7" s="2" t="b">
        <v>1</v>
      </c>
      <c r="B7" s="2" t="s">
        <v>58</v>
      </c>
      <c r="C7" s="2" t="s">
        <v>60</v>
      </c>
      <c r="D7" s="2" t="s">
        <v>58</v>
      </c>
      <c r="E7" s="3" t="str">
        <f t="shared" ref="E7:E54" si="1">IF(A7=True, "/mnt/data-nas/medical_datasets/" &amp; D7, "")</f>
        <v>/mnt/data-nas/medical_datasets/LIDC-IDRI</v>
      </c>
      <c r="H7" s="3" t="b">
        <f>IFERROR(__xludf.DUMMYFUNCTION("""COMPUTED_VALUE"""),TRUE)</f>
        <v>1</v>
      </c>
      <c r="I7" s="3" t="str">
        <f>IFERROR(__xludf.DUMMYFUNCTION("""COMPUTED_VALUE"""),"Duke Breast Cancer MRI")</f>
        <v>Duke Breast Cancer MRI</v>
      </c>
      <c r="J7" s="3" t="str">
        <f>IFERROR(__xludf.DUMMYFUNCTION("""COMPUTED_VALUE"""),"MRI (DCE)")</f>
        <v>MRI (DCE)</v>
      </c>
      <c r="K7" s="3" t="str">
        <f>IFERROR(__xludf.DUMMYFUNCTION("""COMPUTED_VALUE"""),"/mnt/data-nas/medical_datasets/duke_breast_cancer_mri")</f>
        <v>/mnt/data-nas/medical_datasets/duke_breast_cancer_mri</v>
      </c>
    </row>
    <row r="8">
      <c r="A8" s="2" t="b">
        <v>1</v>
      </c>
      <c r="B8" s="2" t="s">
        <v>68</v>
      </c>
      <c r="C8" s="2" t="s">
        <v>60</v>
      </c>
      <c r="D8" s="2" t="s">
        <v>67</v>
      </c>
      <c r="E8" s="3" t="str">
        <f t="shared" si="1"/>
        <v>/mnt/data-nas/medical_datasets/luna16</v>
      </c>
      <c r="H8" s="3" t="b">
        <f>IFERROR(__xludf.DUMMYFUNCTION("""COMPUTED_VALUE"""),TRUE)</f>
        <v>1</v>
      </c>
      <c r="I8" s="3" t="str">
        <f>IFERROR(__xludf.DUMMYFUNCTION("""COMPUTED_VALUE"""),"ISPY1 - Trial")</f>
        <v>ISPY1 - Trial</v>
      </c>
      <c r="J8" s="3" t="str">
        <f>IFERROR(__xludf.DUMMYFUNCTION("""COMPUTED_VALUE"""),"MRI")</f>
        <v>MRI</v>
      </c>
      <c r="K8" s="3" t="str">
        <f>IFERROR(__xludf.DUMMYFUNCTION("""COMPUTED_VALUE"""),"/mnt/data-nas/medical_datasets/ispy1_trial")</f>
        <v>/mnt/data-nas/medical_datasets/ispy1_trial</v>
      </c>
    </row>
    <row r="9">
      <c r="A9" s="2" t="b">
        <v>1</v>
      </c>
      <c r="B9" s="2" t="s">
        <v>74</v>
      </c>
      <c r="C9" s="2" t="s">
        <v>75</v>
      </c>
      <c r="D9" s="2" t="s">
        <v>73</v>
      </c>
      <c r="E9" s="3" t="str">
        <f t="shared" si="1"/>
        <v>/mnt/data-nas/medical_datasets/totalsegmentator.zip</v>
      </c>
      <c r="H9" s="125" t="b">
        <f>IFERROR(__xludf.DUMMYFUNCTION("""COMPUTED_VALUE"""),TRUE)</f>
        <v>1</v>
      </c>
      <c r="I9" s="3" t="str">
        <f>IFERROR(__xludf.DUMMYFUNCTION("""COMPUTED_VALUE"""),"ISPY2 - Trial")</f>
        <v>ISPY2 - Trial</v>
      </c>
      <c r="J9" s="3" t="str">
        <f>IFERROR(__xludf.DUMMYFUNCTION("""COMPUTED_VALUE"""),"MRI")</f>
        <v>MRI</v>
      </c>
      <c r="K9" s="3" t="str">
        <f>IFERROR(__xludf.DUMMYFUNCTION("""COMPUTED_VALUE"""),"/mnt/data-nas/medical_datasets/ispy2_trial")</f>
        <v>/mnt/data-nas/medical_datasets/ispy2_trial</v>
      </c>
    </row>
    <row r="10">
      <c r="A10" s="2" t="b">
        <v>1</v>
      </c>
      <c r="B10" s="2" t="s">
        <v>84</v>
      </c>
      <c r="C10" s="2" t="s">
        <v>33</v>
      </c>
      <c r="D10" s="2" t="s">
        <v>82</v>
      </c>
      <c r="E10" s="3" t="str">
        <f t="shared" si="1"/>
        <v>/mnt/data-nas/medical_datasets/jsrt</v>
      </c>
      <c r="G10" s="125"/>
      <c r="H10" s="3" t="b">
        <f>IFERROR(__xludf.DUMMYFUNCTION("""COMPUTED_VALUE"""),TRUE)</f>
        <v>1</v>
      </c>
      <c r="I10" s="3" t="str">
        <f>IFERROR(__xludf.DUMMYFUNCTION("""COMPUTED_VALUE"""),"QIN-Breast")</f>
        <v>QIN-Breast</v>
      </c>
      <c r="J10" s="3" t="str">
        <f>IFERROR(__xludf.DUMMYFUNCTION("""COMPUTED_VALUE"""),"MRI")</f>
        <v>MRI</v>
      </c>
      <c r="K10" s="3" t="str">
        <f>IFERROR(__xludf.DUMMYFUNCTION("""COMPUTED_VALUE"""),"/mnt/data-nas/medical_datasets/QIN-Breast")</f>
        <v>/mnt/data-nas/medical_datasets/QIN-Breast</v>
      </c>
    </row>
    <row r="11">
      <c r="A11" s="2" t="b">
        <v>1</v>
      </c>
      <c r="B11" s="2" t="s">
        <v>91</v>
      </c>
      <c r="C11" s="2" t="s">
        <v>33</v>
      </c>
      <c r="D11" s="2" t="s">
        <v>90</v>
      </c>
      <c r="E11" s="3" t="str">
        <f t="shared" si="1"/>
        <v>/mnt/data-nas/medical_datasets/crass12</v>
      </c>
      <c r="H11" s="3" t="b">
        <f>IFERROR(__xludf.DUMMYFUNCTION("""COMPUTED_VALUE"""),TRUE)</f>
        <v>1</v>
      </c>
      <c r="I11" s="3" t="str">
        <f>IFERROR(__xludf.DUMMYFUNCTION("""COMPUTED_VALUE"""),"QIN-Breast-02")</f>
        <v>QIN-Breast-02</v>
      </c>
      <c r="J11" s="3" t="str">
        <f>IFERROR(__xludf.DUMMYFUNCTION("""COMPUTED_VALUE"""),"MRI")</f>
        <v>MRI</v>
      </c>
      <c r="K11" s="3" t="str">
        <f>IFERROR(__xludf.DUMMYFUNCTION("""COMPUTED_VALUE"""),"/mnt/data-nas/medical_datasets/QIN-Breast-02")</f>
        <v>/mnt/data-nas/medical_datasets/QIN-Breast-02</v>
      </c>
    </row>
    <row r="12">
      <c r="A12" s="2" t="b">
        <v>1</v>
      </c>
      <c r="B12" s="2" t="s">
        <v>95</v>
      </c>
      <c r="C12" s="2" t="s">
        <v>60</v>
      </c>
      <c r="D12" s="2" t="s">
        <v>95</v>
      </c>
      <c r="E12" s="3" t="str">
        <f t="shared" si="1"/>
        <v>/mnt/data-nas/medical_datasets/QIBA-VolCT-1B</v>
      </c>
      <c r="H12" s="3" t="b">
        <f>IFERROR(__xludf.DUMMYFUNCTION("""COMPUTED_VALUE"""),TRUE)</f>
        <v>1</v>
      </c>
      <c r="I12" s="3" t="str">
        <f>IFERROR(__xludf.DUMMYFUNCTION("""COMPUTED_VALUE"""),"RIDER Breast MRI")</f>
        <v>RIDER Breast MRI</v>
      </c>
      <c r="J12" s="3" t="str">
        <f>IFERROR(__xludf.DUMMYFUNCTION("""COMPUTED_VALUE"""),"MRI")</f>
        <v>MRI</v>
      </c>
      <c r="K12" s="3" t="str">
        <f>IFERROR(__xludf.DUMMYFUNCTION("""COMPUTED_VALUE"""),"/mnt/data-nas/medical_datasets/RIDER_Breast_MRI")</f>
        <v>/mnt/data-nas/medical_datasets/RIDER_Breast_MRI</v>
      </c>
    </row>
    <row r="13">
      <c r="A13" s="2" t="b">
        <v>1</v>
      </c>
      <c r="B13" s="2" t="s">
        <v>100</v>
      </c>
      <c r="C13" s="2" t="s">
        <v>33</v>
      </c>
      <c r="D13" s="2" t="s">
        <v>99</v>
      </c>
      <c r="E13" s="3" t="str">
        <f t="shared" si="1"/>
        <v>/mnt/data-nas/medical_datasets/tuberculosis-chest-xrays-shenzhen.zip</v>
      </c>
      <c r="H13" s="3" t="b">
        <f>IFERROR(__xludf.DUMMYFUNCTION("""COMPUTED_VALUE"""),TRUE)</f>
        <v>1</v>
      </c>
      <c r="I13" s="3" t="str">
        <f>IFERROR(__xludf.DUMMYFUNCTION("""COMPUTED_VALUE"""),"TCGA-BRCA")</f>
        <v>TCGA-BRCA</v>
      </c>
      <c r="J13" s="3" t="str">
        <f>IFERROR(__xludf.DUMMYFUNCTION("""COMPUTED_VALUE"""),"MRI; Mammography; Histopathology")</f>
        <v>MRI; Mammography; Histopathology</v>
      </c>
      <c r="K13" s="3" t="str">
        <f>IFERROR(__xludf.DUMMYFUNCTION("""COMPUTED_VALUE"""),"/mnt/data-nas/medical_datasets/TCGA-BRCA")</f>
        <v>/mnt/data-nas/medical_datasets/TCGA-BRCA</v>
      </c>
    </row>
    <row r="14">
      <c r="A14" s="2" t="b">
        <v>0</v>
      </c>
      <c r="B14" s="2" t="s">
        <v>107</v>
      </c>
      <c r="C14" s="2" t="s">
        <v>108</v>
      </c>
      <c r="E14" s="3" t="str">
        <f t="shared" si="1"/>
        <v/>
      </c>
      <c r="H14" s="3" t="b">
        <f>IFERROR(__xludf.DUMMYFUNCTION("""COMPUTED_VALUE"""),TRUE)</f>
        <v>1</v>
      </c>
      <c r="I14" s="3" t="str">
        <f>IFERROR(__xludf.DUMMYFUNCTION("""COMPUTED_VALUE"""),"OASIS")</f>
        <v>OASIS</v>
      </c>
      <c r="J14" s="3" t="str">
        <f>IFERROR(__xludf.DUMMYFUNCTION("""COMPUTED_VALUE"""),"MRI, PET")</f>
        <v>MRI, PET</v>
      </c>
      <c r="K14" s="3" t="str">
        <f>IFERROR(__xludf.DUMMYFUNCTION("""COMPUTED_VALUE"""),"/mnt/data-nas/med_anant/OAISIS")</f>
        <v>/mnt/data-nas/med_anant/OAISIS</v>
      </c>
    </row>
    <row r="15">
      <c r="A15" s="2" t="b">
        <v>1</v>
      </c>
      <c r="B15" s="2" t="s">
        <v>113</v>
      </c>
      <c r="C15" s="2" t="s">
        <v>60</v>
      </c>
      <c r="D15" s="2" t="s">
        <v>112</v>
      </c>
      <c r="E15" s="3" t="str">
        <f t="shared" si="1"/>
        <v>/mnt/data-nas/medical_datasets/fumpe.zip</v>
      </c>
      <c r="H15" s="3" t="b">
        <f>IFERROR(__xludf.DUMMYFUNCTION("""COMPUTED_VALUE"""),TRUE)</f>
        <v>1</v>
      </c>
      <c r="I15" s="3" t="str">
        <f>IFERROR(__xludf.DUMMYFUNCTION("""COMPUTED_VALUE"""),"BraTS-TCGA-LGG")</f>
        <v>BraTS-TCGA-LGG</v>
      </c>
      <c r="J15" s="3" t="str">
        <f>IFERROR(__xludf.DUMMYFUNCTION("""COMPUTED_VALUE"""),"MRI")</f>
        <v>MRI</v>
      </c>
      <c r="K15" s="3" t="str">
        <f>IFERROR(__xludf.DUMMYFUNCTION("""COMPUTED_VALUE"""),"/mnt/data-nas/med_anant/TCIA/BraTS-TCGA-LGG")</f>
        <v>/mnt/data-nas/med_anant/TCIA/BraTS-TCGA-LGG</v>
      </c>
    </row>
    <row r="16">
      <c r="A16" s="2" t="b">
        <v>1</v>
      </c>
      <c r="B16" s="2" t="s">
        <v>118</v>
      </c>
      <c r="C16" s="2" t="s">
        <v>60</v>
      </c>
      <c r="D16" s="2" t="s">
        <v>118</v>
      </c>
      <c r="E16" s="3" t="str">
        <f t="shared" si="1"/>
        <v>/mnt/data-nas/medical_datasets/QIN-LungCT-Seg</v>
      </c>
      <c r="H16" s="3" t="b">
        <f>IFERROR(__xludf.DUMMYFUNCTION("""COMPUTED_VALUE"""),TRUE)</f>
        <v>1</v>
      </c>
      <c r="I16" s="3" t="str">
        <f>IFERROR(__xludf.DUMMYFUNCTION("""COMPUTED_VALUE"""),"BraTS-TCGA-GBM")</f>
        <v>BraTS-TCGA-GBM</v>
      </c>
      <c r="J16" s="3" t="str">
        <f>IFERROR(__xludf.DUMMYFUNCTION("""COMPUTED_VALUE"""),"MRI")</f>
        <v>MRI</v>
      </c>
      <c r="K16" s="3" t="str">
        <f>IFERROR(__xludf.DUMMYFUNCTION("""COMPUTED_VALUE"""),"/mnt/data-nas/med_anant/TCIA/BraTS-TCGA-GBM")</f>
        <v>/mnt/data-nas/med_anant/TCIA/BraTS-TCGA-GBM</v>
      </c>
    </row>
    <row r="17">
      <c r="A17" s="2" t="b">
        <v>0</v>
      </c>
      <c r="B17" s="2" t="s">
        <v>124</v>
      </c>
      <c r="C17" s="2" t="s">
        <v>60</v>
      </c>
      <c r="E17" s="3" t="str">
        <f t="shared" si="1"/>
        <v/>
      </c>
      <c r="H17" s="3" t="b">
        <f>IFERROR(__xludf.DUMMYFUNCTION("""COMPUTED_VALUE"""),TRUE)</f>
        <v>1</v>
      </c>
      <c r="I17" s="3" t="str">
        <f>IFERROR(__xludf.DUMMYFUNCTION("""COMPUTED_VALUE"""),"MSD Brain")</f>
        <v>MSD Brain</v>
      </c>
      <c r="J17" s="3" t="str">
        <f>IFERROR(__xludf.DUMMYFUNCTION("""COMPUTED_VALUE"""),"MRI")</f>
        <v>MRI</v>
      </c>
      <c r="K17" s="3" t="str">
        <f>IFERROR(__xludf.DUMMYFUNCTION("""COMPUTED_VALUE"""),"/mnt/data-nas/med_anant/MSD/MSD/Task01_BrainTumour.tar")</f>
        <v>/mnt/data-nas/med_anant/MSD/MSD/Task01_BrainTumour.tar</v>
      </c>
    </row>
    <row r="18">
      <c r="A18" s="2" t="b">
        <v>1</v>
      </c>
      <c r="B18" s="2" t="s">
        <v>128</v>
      </c>
      <c r="C18" s="2" t="s">
        <v>33</v>
      </c>
      <c r="D18" s="2" t="s">
        <v>127</v>
      </c>
      <c r="E18" s="3" t="str">
        <f t="shared" si="1"/>
        <v>/mnt/data-nas/medical_datasets/Pneumothorax_Masks.zip</v>
      </c>
      <c r="H18" s="3" t="b">
        <f>IFERROR(__xludf.DUMMYFUNCTION("""COMPUTED_VALUE"""),TRUE)</f>
        <v>1</v>
      </c>
      <c r="I18" s="3" t="str">
        <f>IFERROR(__xludf.DUMMYFUNCTION("""COMPUTED_VALUE"""),"MSD Hippocampus")</f>
        <v>MSD Hippocampus</v>
      </c>
      <c r="J18" s="3" t="str">
        <f>IFERROR(__xludf.DUMMYFUNCTION("""COMPUTED_VALUE"""),"MRI")</f>
        <v>MRI</v>
      </c>
      <c r="K18" s="3" t="str">
        <f>IFERROR(__xludf.DUMMYFUNCTION("""COMPUTED_VALUE"""),"/mnt/data-nas/med_anant/MSD/MSD/Task04_Hippocampus.tar")</f>
        <v>/mnt/data-nas/med_anant/MSD/MSD/Task04_Hippocampus.tar</v>
      </c>
    </row>
    <row r="19">
      <c r="A19" s="2" t="b">
        <v>0</v>
      </c>
      <c r="B19" s="2" t="s">
        <v>130</v>
      </c>
      <c r="C19" s="2" t="s">
        <v>60</v>
      </c>
      <c r="E19" s="3" t="str">
        <f t="shared" si="1"/>
        <v/>
      </c>
      <c r="H19" s="3" t="b">
        <f>IFERROR(__xludf.DUMMYFUNCTION("""COMPUTED_VALUE"""),TRUE)</f>
        <v>1</v>
      </c>
      <c r="I19" s="3" t="str">
        <f>IFERROR(__xludf.DUMMYFUNCTION("""COMPUTED_VALUE"""),"BraTS21")</f>
        <v>BraTS21</v>
      </c>
      <c r="J19" s="3" t="str">
        <f>IFERROR(__xludf.DUMMYFUNCTION("""COMPUTED_VALUE"""),"MRI")</f>
        <v>MRI</v>
      </c>
      <c r="K19" s="3" t="str">
        <f>IFERROR(__xludf.DUMMYFUNCTION("""COMPUTED_VALUE"""),"/mnt/data-nas/med_anant/BraTS")</f>
        <v>/mnt/data-nas/med_anant/BraTS</v>
      </c>
    </row>
    <row r="20">
      <c r="A20" s="2" t="b">
        <v>0</v>
      </c>
      <c r="B20" s="2" t="s">
        <v>132</v>
      </c>
      <c r="C20" s="2" t="s">
        <v>60</v>
      </c>
      <c r="E20" s="3" t="str">
        <f t="shared" si="1"/>
        <v/>
      </c>
      <c r="H20" s="3" t="b">
        <f>IFERROR(__xludf.DUMMYFUNCTION("""COMPUTED_VALUE"""),TRUE)</f>
        <v>1</v>
      </c>
      <c r="I20" s="3" t="str">
        <f>IFERROR(__xludf.DUMMYFUNCTION("""COMPUTED_VALUE"""),"FeTA 2024")</f>
        <v>FeTA 2024</v>
      </c>
      <c r="J20" s="3" t="str">
        <f>IFERROR(__xludf.DUMMYFUNCTION("""COMPUTED_VALUE"""),"MRI")</f>
        <v>MRI</v>
      </c>
      <c r="K20" s="3" t="str">
        <f>IFERROR(__xludf.DUMMYFUNCTION("""COMPUTED_VALUE"""),"/mnt/data-nas/med_anant/FeTA2024")</f>
        <v>/mnt/data-nas/med_anant/FeTA2024</v>
      </c>
    </row>
    <row r="21">
      <c r="A21" s="2" t="b">
        <v>1</v>
      </c>
      <c r="B21" s="16" t="s">
        <v>137</v>
      </c>
      <c r="C21" s="16" t="s">
        <v>60</v>
      </c>
      <c r="D21" s="2" t="s">
        <v>136</v>
      </c>
      <c r="E21" s="3" t="str">
        <f t="shared" si="1"/>
        <v>/mnt/data-nas/medical_datasets/msd</v>
      </c>
      <c r="H21" s="3" t="b">
        <f>IFERROR(__xludf.DUMMYFUNCTION("""COMPUTED_VALUE"""),TRUE)</f>
        <v>1</v>
      </c>
      <c r="I21" s="3" t="str">
        <f>IFERROR(__xludf.DUMMYFUNCTION("""COMPUTED_VALUE"""),"ISLES22")</f>
        <v>ISLES22</v>
      </c>
      <c r="J21" s="3" t="str">
        <f>IFERROR(__xludf.DUMMYFUNCTION("""COMPUTED_VALUE"""),"MRI")</f>
        <v>MRI</v>
      </c>
      <c r="K21" s="3" t="str">
        <f>IFERROR(__xludf.DUMMYFUNCTION("""COMPUTED_VALUE"""),"/mnt/data-nas/med_anant/isles2022")</f>
        <v>/mnt/data-nas/med_anant/isles2022</v>
      </c>
    </row>
    <row r="22">
      <c r="A22" s="2" t="b">
        <v>1</v>
      </c>
      <c r="B22" s="16" t="s">
        <v>143</v>
      </c>
      <c r="C22" s="16" t="s">
        <v>60</v>
      </c>
      <c r="E22" s="3" t="str">
        <f t="shared" si="1"/>
        <v>/mnt/data-nas/medical_datasets/</v>
      </c>
      <c r="H22" s="3" t="b">
        <f>IFERROR(__xludf.DUMMYFUNCTION("""COMPUTED_VALUE"""),TRUE)</f>
        <v>1</v>
      </c>
      <c r="I22" s="3" t="str">
        <f>IFERROR(__xludf.DUMMYFUNCTION("""COMPUTED_VALUE"""),"Br35H")</f>
        <v>Br35H</v>
      </c>
      <c r="J22" s="3" t="str">
        <f>IFERROR(__xludf.DUMMYFUNCTION("""COMPUTED_VALUE"""),"MRI")</f>
        <v>MRI</v>
      </c>
      <c r="K22" s="3" t="str">
        <f>IFERROR(__xludf.DUMMYFUNCTION("""COMPUTED_VALUE"""),"/mnt/data-nas/med_anant/Br35H")</f>
        <v>/mnt/data-nas/med_anant/Br35H</v>
      </c>
    </row>
    <row r="23">
      <c r="A23" s="2" t="b">
        <v>1</v>
      </c>
      <c r="B23" s="16" t="s">
        <v>150</v>
      </c>
      <c r="C23" s="16" t="s">
        <v>108</v>
      </c>
      <c r="D23" s="2" t="s">
        <v>149</v>
      </c>
      <c r="E23" s="3" t="str">
        <f t="shared" si="1"/>
        <v>/mnt/data-nas/medical_datasets/Dataset_BUSI.zip</v>
      </c>
      <c r="H23" s="3" t="b">
        <f>IFERROR(__xludf.DUMMYFUNCTION("""COMPUTED_VALUE"""),TRUE)</f>
        <v>1</v>
      </c>
      <c r="I23" s="3" t="str">
        <f>IFERROR(__xludf.DUMMYFUNCTION("""COMPUTED_VALUE"""),"HaN-Seg")</f>
        <v>HaN-Seg</v>
      </c>
      <c r="J23" s="3" t="str">
        <f>IFERROR(__xludf.DUMMYFUNCTION("""COMPUTED_VALUE"""),"CT, MRI")</f>
        <v>CT, MRI</v>
      </c>
      <c r="K23" s="3" t="str">
        <f>IFERROR(__xludf.DUMMYFUNCTION("""COMPUTED_VALUE"""),"/mnt/data-nas/med_anant/HaN-Seg.zip")</f>
        <v>/mnt/data-nas/med_anant/HaN-Seg.zip</v>
      </c>
    </row>
    <row r="24">
      <c r="A24" s="2" t="b">
        <v>1</v>
      </c>
      <c r="B24" s="16" t="s">
        <v>154</v>
      </c>
      <c r="C24" s="16" t="s">
        <v>60</v>
      </c>
      <c r="D24" s="2" t="s">
        <v>154</v>
      </c>
      <c r="E24" s="3" t="str">
        <f t="shared" si="1"/>
        <v>/mnt/data-nas/medical_datasets/RIDER-LungCT-Seg</v>
      </c>
      <c r="H24" s="3" t="b">
        <f>IFERROR(__xludf.DUMMYFUNCTION("""COMPUTED_VALUE"""),TRUE)</f>
        <v>1</v>
      </c>
      <c r="I24" s="3" t="str">
        <f>IFERROR(__xludf.DUMMYFUNCTION("""COMPUTED_VALUE"""),"CrossMoDA 2023")</f>
        <v>CrossMoDA 2023</v>
      </c>
      <c r="J24" s="3" t="str">
        <f>IFERROR(__xludf.DUMMYFUNCTION("""COMPUTED_VALUE"""),"MRI")</f>
        <v>MRI</v>
      </c>
      <c r="K24" s="3" t="str">
        <f>IFERROR(__xludf.DUMMYFUNCTION("""COMPUTED_VALUE"""),"/mnt/data-nas/med_anant/crossMoDA")</f>
        <v>/mnt/data-nas/med_anant/crossMoDA</v>
      </c>
    </row>
    <row r="25">
      <c r="A25" s="2" t="b">
        <v>1</v>
      </c>
      <c r="B25" s="16" t="s">
        <v>159</v>
      </c>
      <c r="C25" s="16" t="s">
        <v>60</v>
      </c>
      <c r="D25" s="2" t="s">
        <v>159</v>
      </c>
      <c r="E25" s="3" t="str">
        <f t="shared" si="1"/>
        <v>/mnt/data-nas/medical_datasets/PleThora</v>
      </c>
      <c r="H25" s="3" t="b">
        <f>IFERROR(__xludf.DUMMYFUNCTION("""COMPUTED_VALUE"""),TRUE)</f>
        <v>1</v>
      </c>
      <c r="I25" s="3" t="str">
        <f>IFERROR(__xludf.DUMMYFUNCTION("""COMPUTED_VALUE"""),"UCSF-PDGM")</f>
        <v>UCSF-PDGM</v>
      </c>
      <c r="J25" s="3" t="str">
        <f>IFERROR(__xludf.DUMMYFUNCTION("""COMPUTED_VALUE"""),"MRI")</f>
        <v>MRI</v>
      </c>
      <c r="K25" s="3" t="str">
        <f>IFERROR(__xludf.DUMMYFUNCTION("""COMPUTED_VALUE"""),"/mnt/data-nas/medical_datasets/TCIA/UCSF-PDGM")</f>
        <v>/mnt/data-nas/medical_datasets/TCIA/UCSF-PDGM</v>
      </c>
    </row>
    <row r="26">
      <c r="A26" s="2" t="b">
        <v>1</v>
      </c>
      <c r="B26" s="16" t="s">
        <v>166</v>
      </c>
      <c r="C26" s="16" t="s">
        <v>60</v>
      </c>
      <c r="D26" s="2" t="s">
        <v>165</v>
      </c>
      <c r="E26" s="3" t="str">
        <f t="shared" si="1"/>
        <v>/mnt/data-nas/medical_datasets/sars_covid_2_ct.zip</v>
      </c>
      <c r="H26" s="3" t="b">
        <f>IFERROR(__xludf.DUMMYFUNCTION("""COMPUTED_VALUE"""),TRUE)</f>
        <v>1</v>
      </c>
      <c r="I26" s="3" t="str">
        <f>IFERROR(__xludf.DUMMYFUNCTION("""COMPUTED_VALUE"""),"IvyGAP-Radiomics")</f>
        <v>IvyGAP-Radiomics</v>
      </c>
      <c r="J26" s="3" t="str">
        <f>IFERROR(__xludf.DUMMYFUNCTION("""COMPUTED_VALUE"""),"MRI")</f>
        <v>MRI</v>
      </c>
      <c r="K26" s="3" t="str">
        <f>IFERROR(__xludf.DUMMYFUNCTION("""COMPUTED_VALUE"""),"/mnt/data-nas/med_anant/TCIA/IvyGAP-Radiomics")</f>
        <v>/mnt/data-nas/med_anant/TCIA/IvyGAP-Radiomics</v>
      </c>
    </row>
    <row r="27">
      <c r="A27" s="2" t="b">
        <v>1</v>
      </c>
      <c r="B27" s="16" t="s">
        <v>172</v>
      </c>
      <c r="C27" s="16" t="s">
        <v>60</v>
      </c>
      <c r="D27" s="2" t="s">
        <v>171</v>
      </c>
      <c r="E27" s="3" t="str">
        <f t="shared" si="1"/>
        <v>/mnt/data-nas/medical_datasets/COVID_CT_COVID-CT.zip</v>
      </c>
      <c r="H27" s="3" t="b">
        <f>IFERROR(__xludf.DUMMYFUNCTION("""COMPUTED_VALUE"""),TRUE)</f>
        <v>1</v>
      </c>
      <c r="I27" s="3" t="str">
        <f>IFERROR(__xludf.DUMMYFUNCTION("""COMPUTED_VALUE"""),"BraTS2023-SSA")</f>
        <v>BraTS2023-SSA</v>
      </c>
      <c r="J27" s="3" t="str">
        <f>IFERROR(__xludf.DUMMYFUNCTION("""COMPUTED_VALUE"""),"MRI")</f>
        <v>MRI</v>
      </c>
      <c r="K27" s="3" t="str">
        <f>IFERROR(__xludf.DUMMYFUNCTION("""COMPUTED_VALUE"""),"/mnt/data-nas/med_anant/BraTS")</f>
        <v>/mnt/data-nas/med_anant/BraTS</v>
      </c>
    </row>
    <row r="28">
      <c r="A28" s="2" t="b">
        <v>1</v>
      </c>
      <c r="B28" s="16" t="s">
        <v>178</v>
      </c>
      <c r="C28" s="16" t="s">
        <v>179</v>
      </c>
      <c r="D28" s="2" t="s">
        <v>177</v>
      </c>
      <c r="E28" s="3" t="str">
        <f t="shared" si="1"/>
        <v>/mnt/data-nas/medical_datasets/coronahack.zip</v>
      </c>
      <c r="H28" s="3" t="b">
        <f>IFERROR(__xludf.DUMMYFUNCTION("""COMPUTED_VALUE"""),TRUE)</f>
        <v>1</v>
      </c>
      <c r="I28" s="3" t="str">
        <f>IFERROR(__xludf.DUMMYFUNCTION("""COMPUTED_VALUE"""),"BraTS2023-MEN")</f>
        <v>BraTS2023-MEN</v>
      </c>
      <c r="J28" s="3" t="str">
        <f>IFERROR(__xludf.DUMMYFUNCTION("""COMPUTED_VALUE"""),"MRI")</f>
        <v>MRI</v>
      </c>
      <c r="K28" s="3" t="str">
        <f>IFERROR(__xludf.DUMMYFUNCTION("""COMPUTED_VALUE"""),"/mnt/data-nas/med_anant/BraTS")</f>
        <v>/mnt/data-nas/med_anant/BraTS</v>
      </c>
    </row>
    <row r="29">
      <c r="A29" s="2" t="b">
        <v>1</v>
      </c>
      <c r="B29" s="16" t="s">
        <v>184</v>
      </c>
      <c r="C29" s="16" t="s">
        <v>33</v>
      </c>
      <c r="D29" s="2" t="s">
        <v>183</v>
      </c>
      <c r="E29" s="3" t="str">
        <f t="shared" si="1"/>
        <v>/mnt/data-nas/medical_datasets/COVIDGR_1.0/COVIDGR_1.0.zip</v>
      </c>
      <c r="H29" s="3" t="b">
        <f>IFERROR(__xludf.DUMMYFUNCTION("""COMPUTED_VALUE"""),TRUE)</f>
        <v>1</v>
      </c>
      <c r="I29" s="3" t="str">
        <f>IFERROR(__xludf.DUMMYFUNCTION("""COMPUTED_VALUE"""),"BraTS2023-PED")</f>
        <v>BraTS2023-PED</v>
      </c>
      <c r="J29" s="3" t="str">
        <f>IFERROR(__xludf.DUMMYFUNCTION("""COMPUTED_VALUE"""),"MRI")</f>
        <v>MRI</v>
      </c>
      <c r="K29" s="3" t="str">
        <f>IFERROR(__xludf.DUMMYFUNCTION("""COMPUTED_VALUE"""),"/mnt/data-nas/med_anant/BraTS")</f>
        <v>/mnt/data-nas/med_anant/BraTS</v>
      </c>
    </row>
    <row r="30">
      <c r="A30" s="2" t="b">
        <v>1</v>
      </c>
      <c r="B30" s="16" t="s">
        <v>189</v>
      </c>
      <c r="C30" s="16" t="s">
        <v>33</v>
      </c>
      <c r="D30" s="2" t="s">
        <v>189</v>
      </c>
      <c r="E30" s="3" t="str">
        <f t="shared" si="1"/>
        <v>/mnt/data-nas/medical_datasets/CMMD</v>
      </c>
      <c r="H30" s="3" t="b">
        <f>IFERROR(__xludf.DUMMYFUNCTION("""COMPUTED_VALUE"""),TRUE)</f>
        <v>1</v>
      </c>
      <c r="I30" s="3" t="str">
        <f>IFERROR(__xludf.DUMMYFUNCTION("""COMPUTED_VALUE"""),"BraTS2023-MET")</f>
        <v>BraTS2023-MET</v>
      </c>
      <c r="J30" s="3" t="str">
        <f>IFERROR(__xludf.DUMMYFUNCTION("""COMPUTED_VALUE"""),"MRI")</f>
        <v>MRI</v>
      </c>
      <c r="K30" s="3" t="str">
        <f>IFERROR(__xludf.DUMMYFUNCTION("""COMPUTED_VALUE"""),"/mnt/data-nas/med_anant/BraTS")</f>
        <v>/mnt/data-nas/med_anant/BraTS</v>
      </c>
    </row>
    <row r="31">
      <c r="A31" s="2" t="b">
        <v>1</v>
      </c>
      <c r="B31" s="16" t="s">
        <v>194</v>
      </c>
      <c r="C31" s="16" t="s">
        <v>33</v>
      </c>
      <c r="D31" s="2" t="s">
        <v>193</v>
      </c>
      <c r="E31" s="3" t="str">
        <f t="shared" si="1"/>
        <v>/mnt/data-nas/medical_datasets/siim-covid19-detection.zip</v>
      </c>
      <c r="H31" s="3" t="b">
        <f>IFERROR(__xludf.DUMMYFUNCTION("""COMPUTED_VALUE"""),TRUE)</f>
        <v>1</v>
      </c>
      <c r="I31" s="3" t="str">
        <f>IFERROR(__xludf.DUMMYFUNCTION("""COMPUTED_VALUE"""),"MICCAI'2024 HNTS-MRG Task1")</f>
        <v>MICCAI'2024 HNTS-MRG Task1</v>
      </c>
      <c r="J31" s="3" t="str">
        <f>IFERROR(__xludf.DUMMYFUNCTION("""COMPUTED_VALUE"""),"MRI")</f>
        <v>MRI</v>
      </c>
      <c r="K31" s="3" t="str">
        <f>IFERROR(__xludf.DUMMYFUNCTION("""COMPUTED_VALUE"""),"/mnt/data-nas/med_anant/HNTS-MRG")</f>
        <v>/mnt/data-nas/med_anant/HNTS-MRG</v>
      </c>
    </row>
    <row r="32">
      <c r="A32" s="2" t="b">
        <v>1</v>
      </c>
      <c r="B32" s="16" t="s">
        <v>199</v>
      </c>
      <c r="C32" s="16" t="s">
        <v>200</v>
      </c>
      <c r="D32" s="2" t="s">
        <v>199</v>
      </c>
      <c r="E32" s="3" t="str">
        <f t="shared" si="1"/>
        <v>/mnt/data-nas/medical_datasets/WSSS4LUAD</v>
      </c>
      <c r="H32" s="3" t="b">
        <f>IFERROR(__xludf.DUMMYFUNCTION("""COMPUTED_VALUE"""),TRUE)</f>
        <v>1</v>
      </c>
      <c r="I32" s="3" t="str">
        <f>IFERROR(__xludf.DUMMYFUNCTION("""COMPUTED_VALUE"""),"MICCAI'2024 HNTS-MRG Task2")</f>
        <v>MICCAI'2024 HNTS-MRG Task2</v>
      </c>
      <c r="J32" s="3" t="str">
        <f>IFERROR(__xludf.DUMMYFUNCTION("""COMPUTED_VALUE"""),"MRI")</f>
        <v>MRI</v>
      </c>
      <c r="K32" s="3" t="str">
        <f>IFERROR(__xludf.DUMMYFUNCTION("""COMPUTED_VALUE"""),"/mnt/data-nas/med_anant/HNTS-MRG")</f>
        <v>/mnt/data-nas/med_anant/HNTS-MRG</v>
      </c>
    </row>
    <row r="33">
      <c r="A33" s="2" t="b">
        <v>1</v>
      </c>
      <c r="B33" s="16" t="s">
        <v>206</v>
      </c>
      <c r="C33" s="16" t="s">
        <v>33</v>
      </c>
      <c r="D33" s="2" t="s">
        <v>205</v>
      </c>
      <c r="E33" s="3" t="str">
        <f t="shared" si="1"/>
        <v>/mnt/data-nas/medical_datasets/COVID-19_Radiography_Database.zip</v>
      </c>
      <c r="H33" s="3" t="b">
        <f>IFERROR(__xludf.DUMMYFUNCTION("""COMPUTED_VALUE"""),TRUE)</f>
        <v>1</v>
      </c>
      <c r="I33" s="3" t="str">
        <f>IFERROR(__xludf.DUMMYFUNCTION("""COMPUTED_VALUE"""),"MMIS-2024@ACM MM 2024")</f>
        <v>MMIS-2024@ACM MM 2024</v>
      </c>
      <c r="J33" s="3" t="str">
        <f>IFERROR(__xludf.DUMMYFUNCTION("""COMPUTED_VALUE"""),"MRI")</f>
        <v>MRI</v>
      </c>
      <c r="K33" s="3" t="str">
        <f>IFERROR(__xludf.DUMMYFUNCTION("""COMPUTED_VALUE"""),"/mnt/data-nas/med_anant/MMIS-2024")</f>
        <v>/mnt/data-nas/med_anant/MMIS-2024</v>
      </c>
    </row>
    <row r="34">
      <c r="A34" s="2" t="b">
        <v>1</v>
      </c>
      <c r="B34" s="16" t="s">
        <v>212</v>
      </c>
      <c r="C34" s="16" t="s">
        <v>60</v>
      </c>
      <c r="D34" s="2" t="s">
        <v>211</v>
      </c>
      <c r="E34" s="3" t="str">
        <f t="shared" si="1"/>
        <v>/mnt/data-nas/medical_datasets/chest-ctscan/chest-ctscan-images_datasets.zip</v>
      </c>
      <c r="H34" s="3" t="b">
        <f>IFERROR(__xludf.DUMMYFUNCTION("""COMPUTED_VALUE"""),TRUE)</f>
        <v>1</v>
      </c>
      <c r="I34" s="3" t="str">
        <f>IFERROR(__xludf.DUMMYFUNCTION("""COMPUTED_VALUE"""),"3D-MR-MS")</f>
        <v>3D-MR-MS</v>
      </c>
      <c r="J34" s="3" t="str">
        <f>IFERROR(__xludf.DUMMYFUNCTION("""COMPUTED_VALUE"""),"MRI")</f>
        <v>MRI</v>
      </c>
      <c r="K34" s="3" t="str">
        <f>IFERROR(__xludf.DUMMYFUNCTION("""COMPUTED_VALUE"""),"/mnt/data-nas/medical_datasets/3D-MR-MS/")</f>
        <v>/mnt/data-nas/medical_datasets/3D-MR-MS/</v>
      </c>
    </row>
    <row r="35">
      <c r="A35" s="2" t="b">
        <v>1</v>
      </c>
      <c r="B35" s="16" t="s">
        <v>217</v>
      </c>
      <c r="C35" s="16" t="s">
        <v>60</v>
      </c>
      <c r="D35" s="2" t="s">
        <v>216</v>
      </c>
      <c r="E35" s="3" t="str">
        <f t="shared" si="1"/>
        <v>/mnt/data-nas/medical_datasets/COVID-19-CT/COVID-19-CT_SCAN_IMAGES_datasets.zip</v>
      </c>
      <c r="H35" s="3" t="b">
        <f>IFERROR(__xludf.DUMMYFUNCTION("""COMPUTED_VALUE"""),TRUE)</f>
        <v>1</v>
      </c>
      <c r="I35" s="3" t="str">
        <f>IFERROR(__xludf.DUMMYFUNCTION("""COMPUTED_VALUE"""),"3D VoTEM")</f>
        <v>3D VoTEM</v>
      </c>
      <c r="J35" s="3" t="str">
        <f>IFERROR(__xludf.DUMMYFUNCTION("""COMPUTED_VALUE"""),"Diffusion MRI")</f>
        <v>Diffusion MRI</v>
      </c>
      <c r="K35" s="3" t="str">
        <f>IFERROR(__xludf.DUMMYFUNCTION("""COMPUTED_VALUE"""),"/mnt/data-nas/medical_datasets/Diffusion_MRI/")</f>
        <v>/mnt/data-nas/medical_datasets/Diffusion_MRI/</v>
      </c>
    </row>
    <row r="36">
      <c r="A36" s="2" t="b">
        <v>1</v>
      </c>
      <c r="B36" s="16" t="s">
        <v>223</v>
      </c>
      <c r="C36" s="16" t="s">
        <v>33</v>
      </c>
      <c r="D36" s="2" t="s">
        <v>222</v>
      </c>
      <c r="E36" s="3" t="str">
        <f t="shared" si="1"/>
        <v>/mnt/data-nas/medical_datasets/xray-pd.zip</v>
      </c>
      <c r="H36" s="3" t="b">
        <f>IFERROR(__xludf.DUMMYFUNCTION("""COMPUTED_VALUE"""),TRUE)</f>
        <v>1</v>
      </c>
      <c r="I36" s="3" t="str">
        <f>IFERROR(__xludf.DUMMYFUNCTION("""COMPUTED_VALUE"""),"7-Tesla resting-state fMRI test-retest")</f>
        <v>7-Tesla resting-state fMRI test-retest</v>
      </c>
      <c r="J36" s="3" t="str">
        <f>IFERROR(__xludf.DUMMYFUNCTION("""COMPUTED_VALUE"""),"fMRI")</f>
        <v>fMRI</v>
      </c>
      <c r="K36" s="3" t="str">
        <f>IFERROR(__xludf.DUMMYFUNCTION("""COMPUTED_VALUE"""),"/mnt/data-nas/medical_datasets/7-Tesla/")</f>
        <v>/mnt/data-nas/medical_datasets/7-Tesla/</v>
      </c>
    </row>
    <row r="37">
      <c r="A37" s="2" t="b">
        <v>1</v>
      </c>
      <c r="B37" s="16" t="s">
        <v>228</v>
      </c>
      <c r="C37" s="16"/>
      <c r="D37" s="2" t="s">
        <v>227</v>
      </c>
      <c r="E37" s="3" t="str">
        <f t="shared" si="1"/>
        <v>/mnt/data-nas/medical_datasets/ChinaSet_AllFIles.zip</v>
      </c>
      <c r="H37" s="3" t="b">
        <f>IFERROR(__xludf.DUMMYFUNCTION("""COMPUTED_VALUE"""),TRUE)</f>
        <v>1</v>
      </c>
      <c r="I37" s="3" t="str">
        <f>IFERROR(__xludf.DUMMYFUNCTION("""COMPUTED_VALUE"""),"ABIDE")</f>
        <v>ABIDE</v>
      </c>
      <c r="J37" s="3" t="str">
        <f>IFERROR(__xludf.DUMMYFUNCTION("""COMPUTED_VALUE"""),"MRI, fMRI")</f>
        <v>MRI, fMRI</v>
      </c>
      <c r="K37" s="3" t="str">
        <f>IFERROR(__xludf.DUMMYFUNCTION("""COMPUTED_VALUE"""),"/mnt/data-nas/medical_datasets/ABIDE/")</f>
        <v>/mnt/data-nas/medical_datasets/ABIDE/</v>
      </c>
    </row>
    <row r="38">
      <c r="A38" s="2" t="b">
        <v>0</v>
      </c>
      <c r="B38" s="16" t="s">
        <v>234</v>
      </c>
      <c r="C38" s="16" t="s">
        <v>235</v>
      </c>
      <c r="D38" s="2" t="s">
        <v>233</v>
      </c>
      <c r="E38" s="3" t="str">
        <f t="shared" si="1"/>
        <v/>
      </c>
      <c r="H38" s="3" t="b">
        <f>IFERROR(__xludf.DUMMYFUNCTION("""COMPUTED_VALUE"""),TRUE)</f>
        <v>1</v>
      </c>
      <c r="I38" s="3" t="str">
        <f>IFERROR(__xludf.DUMMYFUNCTION("""COMPUTED_VALUE"""),"ACPI DU LaBar")</f>
        <v>ACPI DU LaBar</v>
      </c>
      <c r="J38" s="3" t="str">
        <f>IFERROR(__xludf.DUMMYFUNCTION("""COMPUTED_VALUE"""),"fMRI")</f>
        <v>fMRI</v>
      </c>
      <c r="K38" s="3" t="str">
        <f>IFERROR(__xludf.DUMMYFUNCTION("""COMPUTED_VALUE"""),"/mnt/data-nas/medical_datasets/ACPI_DU_LaBar/")</f>
        <v>/mnt/data-nas/medical_datasets/ACPI_DU_LaBar/</v>
      </c>
    </row>
    <row r="39">
      <c r="A39" s="2" t="b">
        <v>0</v>
      </c>
      <c r="B39" s="16" t="s">
        <v>239</v>
      </c>
      <c r="C39" s="16" t="s">
        <v>33</v>
      </c>
      <c r="E39" s="3" t="str">
        <f t="shared" si="1"/>
        <v/>
      </c>
      <c r="H39" s="3" t="b">
        <f>IFERROR(__xludf.DUMMYFUNCTION("""COMPUTED_VALUE"""),TRUE)</f>
        <v>1</v>
      </c>
      <c r="I39" s="3" t="str">
        <f>IFERROR(__xludf.DUMMYFUNCTION("""COMPUTED_VALUE"""),"ACPI MTA")</f>
        <v>ACPI MTA</v>
      </c>
      <c r="J39" s="3" t="str">
        <f>IFERROR(__xludf.DUMMYFUNCTION("""COMPUTED_VALUE"""),"MRI, fMRI")</f>
        <v>MRI, fMRI</v>
      </c>
      <c r="K39" s="3" t="str">
        <f>IFERROR(__xludf.DUMMYFUNCTION("""COMPUTED_VALUE"""),"/mnt/data-nas/medical_datasets/ACPI_MTA/")</f>
        <v>/mnt/data-nas/medical_datasets/ACPI_MTA/</v>
      </c>
    </row>
    <row r="40">
      <c r="A40" s="2" t="b">
        <v>0</v>
      </c>
      <c r="B40" s="16" t="s">
        <v>246</v>
      </c>
      <c r="C40" s="16" t="s">
        <v>60</v>
      </c>
      <c r="E40" s="3" t="str">
        <f t="shared" si="1"/>
        <v/>
      </c>
      <c r="H40" s="3" t="b">
        <f>IFERROR(__xludf.DUMMYFUNCTION("""COMPUTED_VALUE"""),TRUE)</f>
        <v>1</v>
      </c>
      <c r="I40" s="3" t="str">
        <f>IFERROR(__xludf.DUMMYFUNCTION("""COMPUTED_VALUE"""),"ACPI NYU")</f>
        <v>ACPI NYU</v>
      </c>
      <c r="J40" s="3" t="str">
        <f>IFERROR(__xludf.DUMMYFUNCTION("""COMPUTED_VALUE"""),"fMRI")</f>
        <v>fMRI</v>
      </c>
      <c r="K40" s="3" t="str">
        <f>IFERROR(__xludf.DUMMYFUNCTION("""COMPUTED_VALUE"""),"/mnt/data-nas/medical_datasets/ACPI_NYU/")</f>
        <v>/mnt/data-nas/medical_datasets/ACPI_NYU/</v>
      </c>
    </row>
    <row r="41">
      <c r="A41" s="2" t="b">
        <v>0</v>
      </c>
      <c r="B41" s="16" t="s">
        <v>252</v>
      </c>
      <c r="C41" s="16" t="s">
        <v>60</v>
      </c>
      <c r="E41" s="3" t="str">
        <f t="shared" si="1"/>
        <v/>
      </c>
      <c r="H41" s="3" t="b">
        <f>IFERROR(__xludf.DUMMYFUNCTION("""COMPUTED_VALUE"""),TRUE)</f>
        <v>1</v>
      </c>
      <c r="I41" s="3" t="str">
        <f>IFERROR(__xludf.DUMMYFUNCTION("""COMPUTED_VALUE"""),"ADHD-200")</f>
        <v>ADHD-200</v>
      </c>
      <c r="J41" s="3" t="str">
        <f>IFERROR(__xludf.DUMMYFUNCTION("""COMPUTED_VALUE"""),"MRI, fMRI")</f>
        <v>MRI, fMRI</v>
      </c>
      <c r="K41" s="3" t="str">
        <f>IFERROR(__xludf.DUMMYFUNCTION("""COMPUTED_VALUE"""),"/mnt/data-nas/medical_datasets/ADHD-200/")</f>
        <v>/mnt/data-nas/medical_datasets/ADHD-200/</v>
      </c>
    </row>
    <row r="42">
      <c r="A42" s="2" t="b">
        <v>0</v>
      </c>
      <c r="B42" s="16" t="s">
        <v>258</v>
      </c>
      <c r="C42" s="16" t="s">
        <v>33</v>
      </c>
      <c r="E42" s="3" t="str">
        <f t="shared" si="1"/>
        <v/>
      </c>
      <c r="H42" s="3" t="b">
        <f>IFERROR(__xludf.DUMMYFUNCTION("""COMPUTED_VALUE"""),TRUE)</f>
        <v>1</v>
      </c>
      <c r="I42" s="3" t="str">
        <f>IFERROR(__xludf.DUMMYFUNCTION("""COMPUTED_VALUE"""),"ATLAS R1.1")</f>
        <v>ATLAS R1.1</v>
      </c>
      <c r="J42" s="3" t="str">
        <f>IFERROR(__xludf.DUMMYFUNCTION("""COMPUTED_VALUE"""),"T1-weighted MRI")</f>
        <v>T1-weighted MRI</v>
      </c>
      <c r="K42" s="3" t="str">
        <f>IFERROR(__xludf.DUMMYFUNCTION("""COMPUTED_VALUE"""),"/mnt/data-nas/medical_datasets/ATLAS/")</f>
        <v>/mnt/data-nas/medical_datasets/ATLAS/</v>
      </c>
    </row>
    <row r="43">
      <c r="A43" s="2" t="b">
        <v>1</v>
      </c>
      <c r="B43" s="16" t="s">
        <v>264</v>
      </c>
      <c r="C43" s="16" t="s">
        <v>265</v>
      </c>
      <c r="D43" s="2" t="s">
        <v>263</v>
      </c>
      <c r="E43" s="3" t="str">
        <f t="shared" si="1"/>
        <v>/mnt/data-nas/medical_datasets/mvseg2023</v>
      </c>
      <c r="H43" s="3" t="b">
        <f>IFERROR(__xludf.DUMMYFUNCTION("""COMPUTED_VALUE"""),TRUE)</f>
        <v>1</v>
      </c>
      <c r="I43" s="3" t="str">
        <f>IFERROR(__xludf.DUMMYFUNCTION("""COMPUTED_VALUE"""),"Beijing Enhanced")</f>
        <v>Beijing Enhanced</v>
      </c>
      <c r="J43" s="3" t="str">
        <f>IFERROR(__xludf.DUMMYFUNCTION("""COMPUTED_VALUE"""),"Resting-state fMRI, T1-weighted MRI, DTI")</f>
        <v>Resting-state fMRI, T1-weighted MRI, DTI</v>
      </c>
      <c r="K43" s="3" t="str">
        <f>IFERROR(__xludf.DUMMYFUNCTION("""COMPUTED_VALUE"""),"/mnt/data-nas/medical_datasets/Enhanced/")</f>
        <v>/mnt/data-nas/medical_datasets/Enhanced/</v>
      </c>
    </row>
    <row r="44">
      <c r="A44" s="2" t="b">
        <v>0</v>
      </c>
      <c r="B44" s="16" t="s">
        <v>271</v>
      </c>
      <c r="C44" s="16" t="s">
        <v>108</v>
      </c>
      <c r="E44" s="3" t="str">
        <f t="shared" si="1"/>
        <v/>
      </c>
      <c r="H44" s="3" t="b">
        <f>IFERROR(__xludf.DUMMYFUNCTION("""COMPUTED_VALUE"""),TRUE)</f>
        <v>1</v>
      </c>
      <c r="I44" s="3" t="str">
        <f>IFERROR(__xludf.DUMMYFUNCTION("""COMPUTED_VALUE"""),"Beijing Short TR Sample")</f>
        <v>Beijing Short TR Sample</v>
      </c>
      <c r="J44" s="3" t="str">
        <f>IFERROR(__xludf.DUMMYFUNCTION("""COMPUTED_VALUE"""),"Resting-state fMRI, MPRAGE, DTI")</f>
        <v>Resting-state fMRI, MPRAGE, DTI</v>
      </c>
      <c r="K44" s="3" t="str">
        <f>IFERROR(__xludf.DUMMYFUNCTION("""COMPUTED_VALUE"""),"/mnt/data-nas/medical_datasets/short/")</f>
        <v>/mnt/data-nas/medical_datasets/short/</v>
      </c>
    </row>
    <row r="45">
      <c r="A45" s="2" t="b">
        <v>0</v>
      </c>
      <c r="B45" s="16" t="s">
        <v>277</v>
      </c>
      <c r="C45" s="16" t="s">
        <v>60</v>
      </c>
      <c r="D45" s="16" t="s">
        <v>277</v>
      </c>
      <c r="E45" s="3" t="str">
        <f t="shared" si="1"/>
        <v/>
      </c>
      <c r="H45" s="3" t="b">
        <f>IFERROR(__xludf.DUMMYFUNCTION("""COMPUTED_VALUE"""),TRUE)</f>
        <v>1</v>
      </c>
      <c r="I45" s="3" t="str">
        <f>IFERROR(__xludf.DUMMYFUNCTION("""COMPUTED_VALUE"""),"BeijingEOEC")</f>
        <v>BeijingEOEC</v>
      </c>
      <c r="J45" s="3" t="str">
        <f>IFERROR(__xludf.DUMMYFUNCTION("""COMPUTED_VALUE"""),"Resting-state fMRI, DTI")</f>
        <v>Resting-state fMRI, DTI</v>
      </c>
      <c r="K45" s="3" t="str">
        <f>IFERROR(__xludf.DUMMYFUNCTION("""COMPUTED_VALUE"""),"/mnt/data-nas/medical_datasets/EOEC/")</f>
        <v>/mnt/data-nas/medical_datasets/EOEC/</v>
      </c>
    </row>
    <row r="46">
      <c r="A46" s="2" t="b">
        <v>0</v>
      </c>
      <c r="B46" s="16" t="s">
        <v>282</v>
      </c>
      <c r="C46" s="16" t="s">
        <v>283</v>
      </c>
      <c r="E46" s="3" t="str">
        <f t="shared" si="1"/>
        <v/>
      </c>
      <c r="H46" s="3" t="b">
        <f>IFERROR(__xludf.DUMMYFUNCTION("""COMPUTED_VALUE"""),TRUE)</f>
        <v>1</v>
      </c>
      <c r="I46" s="3" t="str">
        <f>IFERROR(__xludf.DUMMYFUNCTION("""COMPUTED_VALUE"""),"BONBID-HIE2023")</f>
        <v>BONBID-HIE2023</v>
      </c>
      <c r="J46" s="3" t="str">
        <f>IFERROR(__xludf.DUMMYFUNCTION("""COMPUTED_VALUE"""),"Diffusion MRI (ADC, Z_ADC)")</f>
        <v>Diffusion MRI (ADC, Z_ADC)</v>
      </c>
      <c r="K46" s="3" t="str">
        <f>IFERROR(__xludf.DUMMYFUNCTION("""COMPUTED_VALUE"""),"/mnt/data-nas/medical_datasets/BONBID-HIE2023/")</f>
        <v>/mnt/data-nas/medical_datasets/BONBID-HIE2023/</v>
      </c>
    </row>
    <row r="47">
      <c r="A47" s="2" t="b">
        <v>1</v>
      </c>
      <c r="B47" s="16" t="s">
        <v>289</v>
      </c>
      <c r="C47" s="16" t="s">
        <v>60</v>
      </c>
      <c r="D47" s="2" t="s">
        <v>288</v>
      </c>
      <c r="E47" s="3" t="str">
        <f t="shared" si="1"/>
        <v>/mnt/data-nas/medical_datasets/LNQ_2023</v>
      </c>
      <c r="H47" s="3" t="b">
        <f>IFERROR(__xludf.DUMMYFUNCTION("""COMPUTED_VALUE"""),TRUE)</f>
        <v>1</v>
      </c>
      <c r="I47" s="3" t="str">
        <f>IFERROR(__xludf.DUMMYFUNCTION("""COMPUTED_VALUE"""),"BONBID-HIE2024")</f>
        <v>BONBID-HIE2024</v>
      </c>
      <c r="J47" s="3" t="str">
        <f>IFERROR(__xludf.DUMMYFUNCTION("""COMPUTED_VALUE"""),"Diffusion MRI (ADC maps)")</f>
        <v>Diffusion MRI (ADC maps)</v>
      </c>
      <c r="K47" s="3" t="str">
        <f>IFERROR(__xludf.DUMMYFUNCTION("""COMPUTED_VALUE"""),"/mnt/data-nas/medical_datasets/BONBID-HIE2024/")</f>
        <v>/mnt/data-nas/medical_datasets/BONBID-HIE2024/</v>
      </c>
    </row>
    <row r="48">
      <c r="A48" s="2" t="b">
        <v>0</v>
      </c>
      <c r="B48" s="16" t="s">
        <v>295</v>
      </c>
      <c r="C48" s="16" t="s">
        <v>60</v>
      </c>
      <c r="E48" s="3" t="str">
        <f t="shared" si="1"/>
        <v/>
      </c>
      <c r="H48" s="3" t="b">
        <f>IFERROR(__xludf.DUMMYFUNCTION("""COMPUTED_VALUE"""),TRUE)</f>
        <v>1</v>
      </c>
      <c r="I48" s="3" t="str">
        <f>IFERROR(__xludf.DUMMYFUNCTION("""COMPUTED_VALUE"""),"BR35H")</f>
        <v>BR35H</v>
      </c>
      <c r="J48" s="3" t="str">
        <f>IFERROR(__xludf.DUMMYFUNCTION("""COMPUTED_VALUE"""),"MRI")</f>
        <v>MRI</v>
      </c>
      <c r="K48" s="3" t="str">
        <f>IFERROR(__xludf.DUMMYFUNCTION("""COMPUTED_VALUE"""),"/mnt/data-nas/medical_datasets/BR35H/")</f>
        <v>/mnt/data-nas/medical_datasets/BR35H/</v>
      </c>
    </row>
    <row r="49">
      <c r="A49" s="2" t="b">
        <v>1</v>
      </c>
      <c r="B49" s="16" t="s">
        <v>300</v>
      </c>
      <c r="C49" s="16" t="s">
        <v>301</v>
      </c>
      <c r="D49" s="2" t="s">
        <v>299</v>
      </c>
      <c r="E49" s="3" t="str">
        <f t="shared" si="1"/>
        <v>/mnt/data-nas/medical_datasets/LungHist700.rar</v>
      </c>
      <c r="H49" s="3" t="b">
        <f>IFERROR(__xludf.DUMMYFUNCTION("""COMPUTED_VALUE"""),TRUE)</f>
        <v>1</v>
      </c>
      <c r="I49" s="3" t="str">
        <f>IFERROR(__xludf.DUMMYFUNCTION("""COMPUTED_VALUE"""),"Brain Tumor Classification")</f>
        <v>Brain Tumor Classification</v>
      </c>
      <c r="J49" s="3" t="str">
        <f>IFERROR(__xludf.DUMMYFUNCTION("""COMPUTED_VALUE"""),"MRI (T1-weighted contrast-enhanced)")</f>
        <v>MRI (T1-weighted contrast-enhanced)</v>
      </c>
      <c r="K49" s="3" t="str">
        <f>IFERROR(__xludf.DUMMYFUNCTION("""COMPUTED_VALUE"""),"/mnt/data-nas/medical_datasets/BTC/")</f>
        <v>/mnt/data-nas/medical_datasets/BTC/</v>
      </c>
    </row>
    <row r="50">
      <c r="A50" s="2" t="b">
        <v>1</v>
      </c>
      <c r="B50" s="16" t="s">
        <v>306</v>
      </c>
      <c r="C50" s="16" t="s">
        <v>60</v>
      </c>
      <c r="D50" s="4" t="s">
        <v>305</v>
      </c>
      <c r="E50" s="3" t="str">
        <f t="shared" si="1"/>
        <v>/mnt/data-nas/medical_datasets/VESSEL12.zip</v>
      </c>
      <c r="H50" s="3" t="b">
        <f>IFERROR(__xludf.DUMMYFUNCTION("""COMPUTED_VALUE"""),TRUE)</f>
        <v>1</v>
      </c>
      <c r="I50" s="3" t="str">
        <f>IFERROR(__xludf.DUMMYFUNCTION("""COMPUTED_VALUE"""),"brain tumor dataset")</f>
        <v>brain tumor dataset</v>
      </c>
      <c r="J50" s="3" t="str">
        <f>IFERROR(__xludf.DUMMYFUNCTION("""COMPUTED_VALUE"""),"T1-weighted contrast-enhanced MRI")</f>
        <v>T1-weighted contrast-enhanced MRI</v>
      </c>
      <c r="K50" s="3" t="str">
        <f>IFERROR(__xludf.DUMMYFUNCTION("""COMPUTED_VALUE"""),"/mnt/data-nas/medical_datasets/brain_tumor/")</f>
        <v>/mnt/data-nas/medical_datasets/brain_tumor/</v>
      </c>
    </row>
    <row r="51">
      <c r="A51" s="2" t="b">
        <v>1</v>
      </c>
      <c r="B51" s="2" t="s">
        <v>311</v>
      </c>
      <c r="C51" s="2" t="s">
        <v>33</v>
      </c>
      <c r="D51" s="2" t="s">
        <v>311</v>
      </c>
      <c r="E51" s="3" t="str">
        <f t="shared" si="1"/>
        <v>/mnt/data-nas/medical_datasets/CBIS-DDSM</v>
      </c>
      <c r="H51" s="3" t="b">
        <f>IFERROR(__xludf.DUMMYFUNCTION("""COMPUTED_VALUE"""),TRUE)</f>
        <v>1</v>
      </c>
      <c r="I51" s="3" t="str">
        <f>IFERROR(__xludf.DUMMYFUNCTION("""COMPUTED_VALUE"""),"BrainMetShare")</f>
        <v>BrainMetShare</v>
      </c>
      <c r="J51" s="3" t="str">
        <f>IFERROR(__xludf.DUMMYFUNCTION("""COMPUTED_VALUE"""),"MRI (T1-weighted contrast-enhanced)")</f>
        <v>MRI (T1-weighted contrast-enhanced)</v>
      </c>
      <c r="K51" s="3" t="str">
        <f>IFERROR(__xludf.DUMMYFUNCTION("""COMPUTED_VALUE"""),"/mnt/data-nas/medical_datasets/BrainMetShare/")</f>
        <v>/mnt/data-nas/medical_datasets/BrainMetShare/</v>
      </c>
    </row>
    <row r="52">
      <c r="A52" s="2" t="b">
        <v>1</v>
      </c>
      <c r="B52" s="2" t="s">
        <v>317</v>
      </c>
      <c r="C52" s="2" t="s">
        <v>33</v>
      </c>
      <c r="D52" s="2" t="s">
        <v>316</v>
      </c>
      <c r="E52" s="3" t="str">
        <f t="shared" si="1"/>
        <v>/mnt/data-nas/medical_datasets/mias-mammography.zip</v>
      </c>
      <c r="H52" s="3" t="b">
        <f>IFERROR(__xludf.DUMMYFUNCTION("""COMPUTED_VALUE"""),TRUE)</f>
        <v>1</v>
      </c>
      <c r="I52" s="3" t="str">
        <f>IFERROR(__xludf.DUMMYFUNCTION("""COMPUTED_VALUE"""),"BRAINS")</f>
        <v>BRAINS</v>
      </c>
      <c r="J52" s="3" t="str">
        <f>IFERROR(__xludf.DUMMYFUNCTION("""COMPUTED_VALUE"""),"MRI (T1-weighted)")</f>
        <v>MRI (T1-weighted)</v>
      </c>
      <c r="K52" s="3" t="str">
        <f>IFERROR(__xludf.DUMMYFUNCTION("""COMPUTED_VALUE"""),"/mnt/data-nas/medical_datasets/BRAINS/")</f>
        <v>/mnt/data-nas/medical_datasets/BRAINS/</v>
      </c>
    </row>
    <row r="53">
      <c r="A53" s="2" t="b">
        <v>1</v>
      </c>
      <c r="B53" s="2" t="s">
        <v>322</v>
      </c>
      <c r="C53" s="2" t="s">
        <v>60</v>
      </c>
      <c r="D53" s="2" t="s">
        <v>322</v>
      </c>
      <c r="E53" s="3" t="str">
        <f t="shared" si="1"/>
        <v>/mnt/data-nas/medical_datasets/DeepLesion</v>
      </c>
      <c r="H53" s="3" t="b">
        <f>IFERROR(__xludf.DUMMYFUNCTION("""COMPUTED_VALUE"""),TRUE)</f>
        <v>1</v>
      </c>
      <c r="I53" s="3" t="str">
        <f>IFERROR(__xludf.DUMMYFUNCTION("""COMPUTED_VALUE"""),"BRATS2023")</f>
        <v>BRATS2023</v>
      </c>
      <c r="J53" s="3" t="str">
        <f>IFERROR(__xludf.DUMMYFUNCTION("""COMPUTED_VALUE"""),"MRI (T1, T1Gd, T2, FLAIR)")</f>
        <v>MRI (T1, T1Gd, T2, FLAIR)</v>
      </c>
      <c r="K53" s="3" t="str">
        <f>IFERROR(__xludf.DUMMYFUNCTION("""COMPUTED_VALUE"""),"/mnt/data-nas/medical_datasets/BRATS2023/")</f>
        <v>/mnt/data-nas/medical_datasets/BRATS2023/</v>
      </c>
    </row>
    <row r="54">
      <c r="A54" s="2" t="b">
        <v>1</v>
      </c>
      <c r="B54" s="2" t="s">
        <v>327</v>
      </c>
      <c r="C54" s="3" t="s">
        <v>328</v>
      </c>
      <c r="D54" s="2" t="s">
        <v>326</v>
      </c>
      <c r="E54" s="3" t="str">
        <f t="shared" si="1"/>
        <v>/mnt/data-nas/medical_datasets/ACRIN_6688</v>
      </c>
      <c r="H54" s="3" t="b">
        <f>IFERROR(__xludf.DUMMYFUNCTION("""COMPUTED_VALUE"""),TRUE)</f>
        <v>1</v>
      </c>
      <c r="I54" s="3" t="str">
        <f>IFERROR(__xludf.DUMMYFUNCTION("""COMPUTED_VALUE"""),"BRATS2024")</f>
        <v>BRATS2024</v>
      </c>
      <c r="J54" s="3" t="str">
        <f>IFERROR(__xludf.DUMMYFUNCTION("""COMPUTED_VALUE"""),"MRI (T1, T1Gd, T2, FLAIR)")</f>
        <v>MRI (T1, T1Gd, T2, FLAIR)</v>
      </c>
      <c r="K54" s="3" t="str">
        <f>IFERROR(__xludf.DUMMYFUNCTION("""COMPUTED_VALUE"""),"/mnt/data-nas/medical_datasets/BRATS2024/")</f>
        <v>/mnt/data-nas/medical_datasets/BRATS2024/</v>
      </c>
    </row>
    <row r="55">
      <c r="A55" s="2" t="b">
        <v>1</v>
      </c>
      <c r="B55" s="2" t="s">
        <v>337</v>
      </c>
      <c r="C55" s="3" t="s">
        <v>338</v>
      </c>
      <c r="D55" s="2" t="s">
        <v>336</v>
      </c>
      <c r="E55" s="2" t="s">
        <v>5117</v>
      </c>
      <c r="H55" s="3" t="b">
        <f>IFERROR(__xludf.DUMMYFUNCTION("""COMPUTED_VALUE"""),TRUE)</f>
        <v>1</v>
      </c>
      <c r="I55" s="3" t="str">
        <f>IFERROR(__xludf.DUMMYFUNCTION("""COMPUTED_VALUE"""),"Calgary-Campinas")</f>
        <v>Calgary-Campinas</v>
      </c>
      <c r="J55" s="3" t="str">
        <f>IFERROR(__xludf.DUMMYFUNCTION("""COMPUTED_VALUE"""),"MRI (T1-weighted)")</f>
        <v>MRI (T1-weighted)</v>
      </c>
      <c r="K55" s="3" t="str">
        <f>IFERROR(__xludf.DUMMYFUNCTION("""COMPUTED_VALUE"""),"/mnt/data-nas/medical_datasets/Calgary/")</f>
        <v>/mnt/data-nas/medical_datasets/Calgary/</v>
      </c>
    </row>
    <row r="56">
      <c r="A56" s="2" t="b">
        <v>1</v>
      </c>
      <c r="B56" s="2" t="s">
        <v>348</v>
      </c>
      <c r="C56" s="3" t="s">
        <v>349</v>
      </c>
      <c r="D56" s="2" t="s">
        <v>348</v>
      </c>
      <c r="E56" s="3" t="str">
        <f t="shared" ref="E56:E98" si="2">IF(A56=True, "/mnt/data-nas/medical_datasets/" &amp; D56, "")</f>
        <v>/mnt/data-nas/medical_datasets/Advanced-MRI-Breast-Lesions</v>
      </c>
      <c r="H56" s="3" t="b">
        <f>IFERROR(__xludf.DUMMYFUNCTION("""COMPUTED_VALUE"""),TRUE)</f>
        <v>1</v>
      </c>
      <c r="I56" s="3" t="str">
        <f>IFERROR(__xludf.DUMMYFUNCTION("""COMPUTED_VALUE"""),"CAUSE07")</f>
        <v>CAUSE07</v>
      </c>
      <c r="J56" s="3" t="str">
        <f>IFERROR(__xludf.DUMMYFUNCTION("""COMPUTED_VALUE"""),"T1-weighted MRI")</f>
        <v>T1-weighted MRI</v>
      </c>
      <c r="K56" s="3" t="str">
        <f>IFERROR(__xludf.DUMMYFUNCTION("""COMPUTED_VALUE"""),"/mnt/data-nas/medical_datasets/CAUSE07/")</f>
        <v>/mnt/data-nas/medical_datasets/CAUSE07/</v>
      </c>
    </row>
    <row r="57">
      <c r="A57" s="2" t="b">
        <v>1</v>
      </c>
      <c r="B57" s="2" t="s">
        <v>354</v>
      </c>
      <c r="C57" s="3" t="s">
        <v>355</v>
      </c>
      <c r="D57" s="2" t="s">
        <v>354</v>
      </c>
      <c r="E57" s="3" t="str">
        <f t="shared" si="2"/>
        <v>/mnt/data-nas/medical_datasets/BCNB</v>
      </c>
      <c r="H57" s="3" t="b">
        <f>IFERROR(__xludf.DUMMYFUNCTION("""COMPUTED_VALUE"""),TRUE)</f>
        <v>1</v>
      </c>
      <c r="I57" s="3" t="str">
        <f>IFERROR(__xludf.DUMMYFUNCTION("""COMPUTED_VALUE"""),"Changes Associated with Heavy Cannabis Use")</f>
        <v>Changes Associated with Heavy Cannabis Use</v>
      </c>
      <c r="J57" s="3" t="str">
        <f>IFERROR(__xludf.DUMMYFUNCTION("""COMPUTED_VALUE"""),"fMRI")</f>
        <v>fMRI</v>
      </c>
      <c r="K57" s="3" t="str">
        <f>IFERROR(__xludf.DUMMYFUNCTION("""COMPUTED_VALUE"""),"/mnt/data-nas/medical_datasets/ds174_R1.0.0_all_data.tgz")</f>
        <v>/mnt/data-nas/medical_datasets/ds174_R1.0.0_all_data.tgz</v>
      </c>
    </row>
    <row r="58">
      <c r="A58" s="2" t="b">
        <v>1</v>
      </c>
      <c r="B58" s="2" t="s">
        <v>363</v>
      </c>
      <c r="C58" s="3" t="s">
        <v>364</v>
      </c>
      <c r="D58" s="2" t="s">
        <v>363</v>
      </c>
      <c r="E58" s="3" t="str">
        <f t="shared" si="2"/>
        <v>/mnt/data-nas/medical_datasets/BCSS</v>
      </c>
      <c r="H58" s="3" t="b">
        <f>IFERROR(__xludf.DUMMYFUNCTION("""COMPUTED_VALUE"""),TRUE)</f>
        <v>1</v>
      </c>
      <c r="I58" s="3" t="str">
        <f>IFERROR(__xludf.DUMMYFUNCTION("""COMPUTED_VALUE"""),"CoRR")</f>
        <v>CoRR</v>
      </c>
      <c r="J58" s="3" t="str">
        <f>IFERROR(__xludf.DUMMYFUNCTION("""COMPUTED_VALUE"""),"Resting-state fMRI")</f>
        <v>Resting-state fMRI</v>
      </c>
      <c r="K58" s="3" t="str">
        <f>IFERROR(__xludf.DUMMYFUNCTION("""COMPUTED_VALUE"""),"/mnt/data-nas/medical_datasets/CoRR/")</f>
        <v>/mnt/data-nas/medical_datasets/CoRR/</v>
      </c>
    </row>
    <row r="59">
      <c r="A59" s="2" t="b">
        <v>1</v>
      </c>
      <c r="B59" s="2" t="s">
        <v>374</v>
      </c>
      <c r="C59" s="3" t="s">
        <v>375</v>
      </c>
      <c r="D59" s="2" t="s">
        <v>373</v>
      </c>
      <c r="E59" s="3" t="str">
        <f t="shared" si="2"/>
        <v>/mnt/data-nas/medical_datasets/BreakHis.zip</v>
      </c>
      <c r="H59" s="3" t="b">
        <f>IFERROR(__xludf.DUMMYFUNCTION("""COMPUTED_VALUE"""),TRUE)</f>
        <v>1</v>
      </c>
      <c r="I59" s="3" t="str">
        <f>IFERROR(__xludf.DUMMYFUNCTION("""COMPUTED_VALUE"""),"crossMoDA 2022")</f>
        <v>crossMoDA 2022</v>
      </c>
      <c r="J59" s="3" t="str">
        <f>IFERROR(__xludf.DUMMYFUNCTION("""COMPUTED_VALUE"""),"MRI (T1, FLAIR)")</f>
        <v>MRI (T1, FLAIR)</v>
      </c>
      <c r="K59" s="3" t="str">
        <f>IFERROR(__xludf.DUMMYFUNCTION("""COMPUTED_VALUE"""),"/mnt/data-nas/medical_datasets/crossMoDA2022/")</f>
        <v>/mnt/data-nas/medical_datasets/crossMoDA2022/</v>
      </c>
    </row>
    <row r="60">
      <c r="A60" s="2" t="b">
        <v>1</v>
      </c>
      <c r="B60" s="2" t="s">
        <v>384</v>
      </c>
      <c r="C60" s="3" t="s">
        <v>60</v>
      </c>
      <c r="D60" s="2" t="s">
        <v>383</v>
      </c>
      <c r="E60" s="3" t="str">
        <f t="shared" si="2"/>
        <v>/mnt/data-nas/medical_datasets/bcfpp.zip</v>
      </c>
      <c r="H60" s="3" t="b">
        <f>IFERROR(__xludf.DUMMYFUNCTION("""COMPUTED_VALUE"""),TRUE)</f>
        <v>1</v>
      </c>
      <c r="I60" s="3" t="str">
        <f>IFERROR(__xludf.DUMMYFUNCTION("""COMPUTED_VALUE"""),"DFCI-BCH-BWH-PEDs-HGG")</f>
        <v>DFCI-BCH-BWH-PEDs-HGG</v>
      </c>
      <c r="J60" s="3" t="str">
        <f>IFERROR(__xludf.DUMMYFUNCTION("""COMPUTED_VALUE"""),"MRI (T1, T2)")</f>
        <v>MRI (T1, T2)</v>
      </c>
      <c r="K60" s="3" t="str">
        <f>IFERROR(__xludf.DUMMYFUNCTION("""COMPUTED_VALUE"""),"/mnt/data-nas/medical_datasets/DFCI/")</f>
        <v>/mnt/data-nas/medical_datasets/DFCI/</v>
      </c>
    </row>
    <row r="61">
      <c r="A61" s="2" t="b">
        <v>1</v>
      </c>
      <c r="B61" s="2" t="s">
        <v>389</v>
      </c>
      <c r="C61" s="3" t="s">
        <v>390</v>
      </c>
      <c r="D61" s="2" t="s">
        <v>388</v>
      </c>
      <c r="E61" s="3" t="str">
        <f t="shared" si="2"/>
        <v>/mnt/data-nas/medical_datasets/breast-cancer-screening-dbt</v>
      </c>
      <c r="H61" s="3" t="b">
        <f>IFERROR(__xludf.DUMMYFUNCTION("""COMPUTED_VALUE"""),TRUE)</f>
        <v>1</v>
      </c>
      <c r="I61" s="3" t="str">
        <f>IFERROR(__xludf.DUMMYFUNCTION("""COMPUTED_VALUE"""),"DLBS")</f>
        <v>DLBS</v>
      </c>
      <c r="J61" s="3" t="str">
        <f>IFERROR(__xludf.DUMMYFUNCTION("""COMPUTED_VALUE"""),"Structural MRI, DTI, task-based fMRI, resting-state fMRI, amyloid PET")</f>
        <v>Structural MRI, DTI, task-based fMRI, resting-state fMRI, amyloid PET</v>
      </c>
      <c r="K61" s="3" t="str">
        <f>IFERROR(__xludf.DUMMYFUNCTION("""COMPUTED_VALUE"""),"/mnt/data-nas/medical_datasets/DLBS")</f>
        <v>/mnt/data-nas/medical_datasets/DLBS</v>
      </c>
    </row>
    <row r="62">
      <c r="A62" s="2" t="b">
        <v>1</v>
      </c>
      <c r="B62" s="2" t="s">
        <v>395</v>
      </c>
      <c r="C62" s="3" t="s">
        <v>396</v>
      </c>
      <c r="D62" s="2" t="s">
        <v>395</v>
      </c>
      <c r="E62" s="3" t="str">
        <f t="shared" si="2"/>
        <v>/mnt/data-nas/medical_datasets/BREAST-DIAGNOSIS</v>
      </c>
      <c r="H62" s="3" t="b">
        <f>IFERROR(__xludf.DUMMYFUNCTION("""COMPUTED_VALUE"""),TRUE)</f>
        <v>1</v>
      </c>
      <c r="I62" s="3" t="str">
        <f>IFERROR(__xludf.DUMMYFUNCTION("""COMPUTED_VALUE"""),"EPISURG")</f>
        <v>EPISURG</v>
      </c>
      <c r="J62" s="3" t="str">
        <f>IFERROR(__xludf.DUMMYFUNCTION("""COMPUTED_VALUE"""),"T1-weighted MRI")</f>
        <v>T1-weighted MRI</v>
      </c>
      <c r="K62" s="3" t="str">
        <f>IFERROR(__xludf.DUMMYFUNCTION("""COMPUTED_VALUE"""),"/mnt/data-nas/medical_datasets/EPISURG")</f>
        <v>/mnt/data-nas/medical_datasets/EPISURG</v>
      </c>
    </row>
    <row r="63">
      <c r="A63" s="2" t="b">
        <v>1</v>
      </c>
      <c r="B63" s="2" t="s">
        <v>401</v>
      </c>
      <c r="C63" s="3" t="s">
        <v>349</v>
      </c>
      <c r="D63" s="2" t="s">
        <v>401</v>
      </c>
      <c r="E63" s="3" t="str">
        <f t="shared" si="2"/>
        <v>/mnt/data-nas/medical_datasets/Breast-MRI-NACT-Pilot</v>
      </c>
      <c r="H63" s="3" t="b">
        <f>IFERROR(__xludf.DUMMYFUNCTION("""COMPUTED_VALUE"""),TRUE)</f>
        <v>1</v>
      </c>
      <c r="I63" s="3" t="str">
        <f>IFERROR(__xludf.DUMMYFUNCTION("""COMPUTED_VALUE"""),"FeTS 2022")</f>
        <v>FeTS 2022</v>
      </c>
      <c r="J63" s="3" t="str">
        <f>IFERROR(__xludf.DUMMYFUNCTION("""COMPUTED_VALUE"""),"mpMRI (T1, T1-Gd, T2, T2-FLAIR)")</f>
        <v>mpMRI (T1, T1-Gd, T2, T2-FLAIR)</v>
      </c>
      <c r="K63" s="3" t="str">
        <f>IFERROR(__xludf.DUMMYFUNCTION("""COMPUTED_VALUE"""),"/mnt/data-nas/medical_datasets/synapse")</f>
        <v>/mnt/data-nas/medical_datasets/synapse</v>
      </c>
    </row>
    <row r="64">
      <c r="A64" s="2" t="b">
        <v>1</v>
      </c>
      <c r="B64" s="2" t="s">
        <v>407</v>
      </c>
      <c r="C64" s="3" t="s">
        <v>364</v>
      </c>
      <c r="D64" s="2" t="s">
        <v>407</v>
      </c>
      <c r="E64" s="3" t="str">
        <f t="shared" si="2"/>
        <v>/mnt/data-nas/medical_datasets/BreastPathQ</v>
      </c>
      <c r="H64" s="3" t="b">
        <f>IFERROR(__xludf.DUMMYFUNCTION("""COMPUTED_VALUE"""),TRUE)</f>
        <v>1</v>
      </c>
      <c r="I64" s="3" t="str">
        <f>IFERROR(__xludf.DUMMYFUNCTION("""COMPUTED_VALUE"""),"FeTS 2024")</f>
        <v>FeTS 2024</v>
      </c>
      <c r="J64" s="3" t="str">
        <f>IFERROR(__xludf.DUMMYFUNCTION("""COMPUTED_VALUE"""),"mpMRI (T1, T1-Gd, T2, T2-FLAIR)")</f>
        <v>mpMRI (T1, T1-Gd, T2, T2-FLAIR)</v>
      </c>
      <c r="K64" s="3" t="str">
        <f>IFERROR(__xludf.DUMMYFUNCTION("""COMPUTED_VALUE"""),"/mnt/data-nas/medical_datasets/synapse")</f>
        <v>/mnt/data-nas/medical_datasets/synapse</v>
      </c>
    </row>
    <row r="65">
      <c r="A65" s="2" t="b">
        <v>1</v>
      </c>
      <c r="B65" s="2" t="s">
        <v>416</v>
      </c>
      <c r="C65" s="3" t="s">
        <v>108</v>
      </c>
      <c r="D65" s="2" t="s">
        <v>415</v>
      </c>
      <c r="E65" s="3" t="str">
        <f t="shared" si="2"/>
        <v>/mnt/data-nas/medical_datasets/BUS-UCLM.zip</v>
      </c>
      <c r="H65" s="3" t="b">
        <f>IFERROR(__xludf.DUMMYFUNCTION("""COMPUTED_VALUE"""),TRUE)</f>
        <v>1</v>
      </c>
      <c r="I65" s="3" t="str">
        <f>IFERROR(__xludf.DUMMYFUNCTION("""COMPUTED_VALUE"""),"FIND Lab")</f>
        <v>FIND Lab</v>
      </c>
      <c r="J65" s="3" t="str">
        <f>IFERROR(__xludf.DUMMYFUNCTION("""COMPUTED_VALUE"""),"Structural MRI, task-based fMRI")</f>
        <v>Structural MRI, task-based fMRI</v>
      </c>
      <c r="K65" s="3" t="str">
        <f>IFERROR(__xludf.DUMMYFUNCTION("""COMPUTED_VALUE"""),"/mnt/data-nas/medical_datasets/FIND_Lab")</f>
        <v>/mnt/data-nas/medical_datasets/FIND_Lab</v>
      </c>
    </row>
    <row r="66">
      <c r="A66" s="2" t="b">
        <v>0</v>
      </c>
      <c r="B66" s="2" t="s">
        <v>425</v>
      </c>
      <c r="C66" s="3" t="s">
        <v>426</v>
      </c>
      <c r="E66" s="3" t="str">
        <f t="shared" si="2"/>
        <v/>
      </c>
      <c r="H66" s="3" t="b">
        <f>IFERROR(__xludf.DUMMYFUNCTION("""COMPUTED_VALUE"""),TRUE)</f>
        <v>1</v>
      </c>
      <c r="I66" s="3" t="str">
        <f>IFERROR(__xludf.DUMMYFUNCTION("""COMPUTED_VALUE"""),"Gray matter segmentation at 7T MRI")</f>
        <v>Gray matter segmentation at 7T MRI</v>
      </c>
      <c r="J66" s="3" t="str">
        <f>IFERROR(__xludf.DUMMYFUNCTION("""COMPUTED_VALUE"""),"7T MRI (MP2RAGE, multi-echo GRE)")</f>
        <v>7T MRI (MP2RAGE, multi-echo GRE)</v>
      </c>
      <c r="K66" s="3" t="str">
        <f>IFERROR(__xludf.DUMMYFUNCTION("""COMPUTED_VALUE"""),"/mnt/data-nas/medical_datasets/shared_data.zip")</f>
        <v>/mnt/data-nas/medical_datasets/shared_data.zip</v>
      </c>
    </row>
    <row r="67">
      <c r="A67" s="2" t="b">
        <v>1</v>
      </c>
      <c r="B67" s="2" t="s">
        <v>436</v>
      </c>
      <c r="C67" s="3" t="s">
        <v>349</v>
      </c>
      <c r="D67" s="2" t="s">
        <v>434</v>
      </c>
      <c r="E67" s="3" t="str">
        <f t="shared" si="2"/>
        <v>/mnt/data-nas/medical_datasets/duke_breast_cancer_mri</v>
      </c>
      <c r="H67" s="3" t="b">
        <f>IFERROR(__xludf.DUMMYFUNCTION("""COMPUTED_VALUE"""),TRUE)</f>
        <v>1</v>
      </c>
      <c r="I67" s="3" t="str">
        <f>IFERROR(__xludf.DUMMYFUNCTION("""COMPUTED_VALUE"""),"HARDI 2013")</f>
        <v>HARDI 2013</v>
      </c>
      <c r="J67" s="3" t="str">
        <f>IFERROR(__xludf.DUMMYFUNCTION("""COMPUTED_VALUE"""),"Diffusion MRI (HARDI)")</f>
        <v>Diffusion MRI (HARDI)</v>
      </c>
      <c r="K67" s="3" t="str">
        <f>IFERROR(__xludf.DUMMYFUNCTION("""COMPUTED_VALUE"""),"/mnt/data-nas/medical_datasets/HARDI2013")</f>
        <v>/mnt/data-nas/medical_datasets/HARDI2013</v>
      </c>
    </row>
    <row r="68">
      <c r="A68" s="2" t="b">
        <v>1</v>
      </c>
      <c r="B68" s="2" t="s">
        <v>442</v>
      </c>
      <c r="C68" s="3" t="s">
        <v>364</v>
      </c>
      <c r="D68" s="2" t="s">
        <v>442</v>
      </c>
      <c r="E68" s="3" t="str">
        <f t="shared" si="2"/>
        <v>/mnt/data-nas/medical_datasets/HEROHE</v>
      </c>
      <c r="H68" s="3" t="b">
        <f>IFERROR(__xludf.DUMMYFUNCTION("""COMPUTED_VALUE"""),TRUE)</f>
        <v>1</v>
      </c>
      <c r="I68" s="3" t="str">
        <f>IFERROR(__xludf.DUMMYFUNCTION("""COMPUTED_VALUE"""),"HBN-SSI")</f>
        <v>HBN-SSI</v>
      </c>
      <c r="J68" s="3" t="str">
        <f>IFERROR(__xludf.DUMMYFUNCTION("""COMPUTED_VALUE"""),"sMRI, resting-state fMRI, DKI, EEG")</f>
        <v>sMRI, resting-state fMRI, DKI, EEG</v>
      </c>
      <c r="K68" s="3" t="str">
        <f>IFERROR(__xludf.DUMMYFUNCTION("""COMPUTED_VALUE"""),"/mnt/data-nas/medical_datasets/HBN-SSI")</f>
        <v>/mnt/data-nas/medical_datasets/HBN-SSI</v>
      </c>
    </row>
    <row r="69">
      <c r="A69" s="2" t="b">
        <v>1</v>
      </c>
      <c r="B69" s="2" t="s">
        <v>451</v>
      </c>
      <c r="D69" s="2" t="s">
        <v>450</v>
      </c>
      <c r="E69" s="3" t="str">
        <f t="shared" si="2"/>
        <v>/mnt/data-nas/medical_datasets/INbreast.zip</v>
      </c>
      <c r="H69" s="3" t="b">
        <f>IFERROR(__xludf.DUMMYFUNCTION("""COMPUTED_VALUE"""),TRUE)</f>
        <v>1</v>
      </c>
      <c r="I69" s="3" t="str">
        <f>IFERROR(__xludf.DUMMYFUNCTION("""COMPUTED_VALUE"""),"HCP")</f>
        <v>HCP</v>
      </c>
      <c r="J69" s="3" t="str">
        <f>IFERROR(__xludf.DUMMYFUNCTION("""COMPUTED_VALUE"""),"Structural MRI (T1w, T2w), diffusion MRI, fMRI")</f>
        <v>Structural MRI (T1w, T2w), diffusion MRI, fMRI</v>
      </c>
      <c r="K69" s="3" t="str">
        <f>IFERROR(__xludf.DUMMYFUNCTION("""COMPUTED_VALUE"""),"/mnt/data-nas/medical_datasets/HCP")</f>
        <v>/mnt/data-nas/medical_datasets/HCP</v>
      </c>
    </row>
    <row r="70">
      <c r="A70" s="2" t="b">
        <v>1</v>
      </c>
      <c r="B70" s="2" t="s">
        <v>454</v>
      </c>
      <c r="C70" s="2" t="s">
        <v>235</v>
      </c>
      <c r="D70" s="2" t="s">
        <v>453</v>
      </c>
      <c r="E70" s="3" t="str">
        <f t="shared" si="2"/>
        <v>/mnt/data-nas/medical_datasets/ispy1_trial</v>
      </c>
      <c r="H70" s="3" t="b">
        <f>IFERROR(__xludf.DUMMYFUNCTION("""COMPUTED_VALUE"""),TRUE)</f>
        <v>1</v>
      </c>
      <c r="I70" s="3" t="str">
        <f>IFERROR(__xludf.DUMMYFUNCTION("""COMPUTED_VALUE"""),"Hippocampus Segmentation")</f>
        <v>Hippocampus Segmentation</v>
      </c>
      <c r="J70" s="3" t="str">
        <f>IFERROR(__xludf.DUMMYFUNCTION("""COMPUTED_VALUE"""),"T1-weighted MRI")</f>
        <v>T1-weighted MRI</v>
      </c>
      <c r="K70" s="3" t="str">
        <f>IFERROR(__xludf.DUMMYFUNCTION("""COMPUTED_VALUE"""),"/mnt/data-nas/medical_datasets/MSD")</f>
        <v>/mnt/data-nas/medical_datasets/MSD</v>
      </c>
    </row>
    <row r="71">
      <c r="A71" s="2" t="b">
        <v>1</v>
      </c>
      <c r="B71" s="2" t="s">
        <v>463</v>
      </c>
      <c r="C71" s="2" t="s">
        <v>235</v>
      </c>
      <c r="D71" s="2" t="s">
        <v>462</v>
      </c>
      <c r="E71" s="3" t="str">
        <f t="shared" si="2"/>
        <v>/mnt/data-nas/medical_datasets/ispy2_trial</v>
      </c>
      <c r="H71" s="3" t="b">
        <f>IFERROR(__xludf.DUMMYFUNCTION("""COMPUTED_VALUE"""),TRUE)</f>
        <v>1</v>
      </c>
      <c r="I71" s="3" t="str">
        <f>IFERROR(__xludf.DUMMYFUNCTION("""COMPUTED_VALUE"""),"HNU Short TR")</f>
        <v>HNU Short TR</v>
      </c>
      <c r="J71" s="3" t="str">
        <f>IFERROR(__xludf.DUMMYFUNCTION("""COMPUTED_VALUE"""),"Resting-state fMRI (eyes open/closed)")</f>
        <v>Resting-state fMRI (eyes open/closed)</v>
      </c>
      <c r="K71" s="3" t="str">
        <f>IFERROR(__xludf.DUMMYFUNCTION("""COMPUTED_VALUE"""),"/mnt/data-nas/medical_datasets/HNU")</f>
        <v>/mnt/data-nas/medical_datasets/HNU</v>
      </c>
    </row>
    <row r="72">
      <c r="A72" s="2" t="b">
        <v>1</v>
      </c>
      <c r="B72" s="2" t="s">
        <v>468</v>
      </c>
      <c r="C72" s="2" t="s">
        <v>469</v>
      </c>
      <c r="D72" s="2" t="s">
        <v>467</v>
      </c>
      <c r="E72" s="3" t="str">
        <f t="shared" si="2"/>
        <v>/mnt/data-nas/medical_datasets/midog2021</v>
      </c>
      <c r="H72" s="3" t="b">
        <f>IFERROR(__xludf.DUMMYFUNCTION("""COMPUTED_VALUE"""),TRUE)</f>
        <v>1</v>
      </c>
      <c r="I72" s="3" t="str">
        <f>IFERROR(__xludf.DUMMYFUNCTION("""COMPUTED_VALUE"""),"Hypothalamus Segmentation")</f>
        <v>Hypothalamus Segmentation</v>
      </c>
      <c r="J72" s="3" t="str">
        <f>IFERROR(__xludf.DUMMYFUNCTION("""COMPUTED_VALUE"""),"T1-weighted MRI")</f>
        <v>T1-weighted MRI</v>
      </c>
      <c r="K72" s="3" t="str">
        <f>IFERROR(__xludf.DUMMYFUNCTION("""COMPUTED_VALUE"""),"/mnt/data-nas/medical_datasets/Hypo-Seg")</f>
        <v>/mnt/data-nas/medical_datasets/Hypo-Seg</v>
      </c>
    </row>
    <row r="73">
      <c r="A73" s="2" t="b">
        <v>1</v>
      </c>
      <c r="B73" s="2" t="s">
        <v>477</v>
      </c>
      <c r="C73" s="2" t="s">
        <v>469</v>
      </c>
      <c r="D73" s="2" t="s">
        <v>476</v>
      </c>
      <c r="E73" s="3" t="str">
        <f t="shared" si="2"/>
        <v>/mnt/data-nas/medical_datasets/midog2022</v>
      </c>
      <c r="H73" s="3" t="b">
        <f>IFERROR(__xludf.DUMMYFUNCTION("""COMPUTED_VALUE"""),TRUE)</f>
        <v>1</v>
      </c>
      <c r="I73" s="3" t="str">
        <f>IFERROR(__xludf.DUMMYFUNCTION("""COMPUTED_VALUE"""),"IBSR")</f>
        <v>IBSR</v>
      </c>
      <c r="J73" s="3" t="str">
        <f>IFERROR(__xludf.DUMMYFUNCTION("""COMPUTED_VALUE"""),"T1-weighted MRI")</f>
        <v>T1-weighted MRI</v>
      </c>
      <c r="K73" s="3" t="str">
        <f>IFERROR(__xludf.DUMMYFUNCTION("""COMPUTED_VALUE"""),"/mnt/data-nas/medical_datasets/IBSR")</f>
        <v>/mnt/data-nas/medical_datasets/IBSR</v>
      </c>
    </row>
    <row r="74">
      <c r="A74" s="2" t="b">
        <v>1</v>
      </c>
      <c r="B74" s="2" t="s">
        <v>483</v>
      </c>
      <c r="C74" s="2" t="s">
        <v>484</v>
      </c>
      <c r="D74" s="2" t="s">
        <v>482</v>
      </c>
      <c r="E74" s="3" t="str">
        <f t="shared" si="2"/>
        <v>/mnt/data-nas/medical_datasets/Mini-DDSM.zip</v>
      </c>
      <c r="H74" s="3" t="b">
        <f>IFERROR(__xludf.DUMMYFUNCTION("""COMPUTED_VALUE"""),TRUE)</f>
        <v>1</v>
      </c>
      <c r="I74" s="3" t="str">
        <f>IFERROR(__xludf.DUMMYFUNCTION("""COMPUTED_VALUE"""),"IXI")</f>
        <v>IXI</v>
      </c>
      <c r="J74" s="3" t="str">
        <f>IFERROR(__xludf.DUMMYFUNCTION("""COMPUTED_VALUE"""),"T1, T2, PD-weighted MRI")</f>
        <v>T1, T2, PD-weighted MRI</v>
      </c>
      <c r="K74" s="3" t="str">
        <f>IFERROR(__xludf.DUMMYFUNCTION("""COMPUTED_VALUE"""),"/mnt/data-nas/medical_datasets/Hypo-Seg/IXI")</f>
        <v>/mnt/data-nas/medical_datasets/Hypo-Seg/IXI</v>
      </c>
    </row>
    <row r="75">
      <c r="A75" s="2" t="b">
        <v>1</v>
      </c>
      <c r="B75" s="2" t="s">
        <v>490</v>
      </c>
      <c r="C75" s="2" t="s">
        <v>469</v>
      </c>
      <c r="D75" s="2" t="s">
        <v>490</v>
      </c>
      <c r="E75" s="3" t="str">
        <f t="shared" si="2"/>
        <v>/mnt/data-nas/medical_datasets/MITOS-ATYPIA-14</v>
      </c>
      <c r="H75" s="3" t="b">
        <f>IFERROR(__xludf.DUMMYFUNCTION("""COMPUTED_VALUE"""),TRUE)</f>
        <v>1</v>
      </c>
      <c r="I75" s="3" t="str">
        <f>IFERROR(__xludf.DUMMYFUNCTION("""COMPUTED_VALUE"""),"long-MR-MS")</f>
        <v>long-MR-MS</v>
      </c>
      <c r="J75" s="3" t="str">
        <f>IFERROR(__xludf.DUMMYFUNCTION("""COMPUTED_VALUE"""),"T1, T2, FLAIR MRI")</f>
        <v>T1, T2, FLAIR MRI</v>
      </c>
      <c r="K75" s="3" t="str">
        <f>IFERROR(__xludf.DUMMYFUNCTION("""COMPUTED_VALUE"""),"/mnt/data-nas/medical_datasets/long-MR-MS")</f>
        <v>/mnt/data-nas/medical_datasets/long-MR-MS</v>
      </c>
    </row>
    <row r="76">
      <c r="A76" s="2" t="b">
        <v>1</v>
      </c>
      <c r="B76" s="2" t="s">
        <v>499</v>
      </c>
      <c r="C76" s="2" t="s">
        <v>469</v>
      </c>
      <c r="D76" s="2" t="s">
        <v>499</v>
      </c>
      <c r="E76" s="3" t="str">
        <f t="shared" si="2"/>
        <v>/mnt/data-nas/medical_datasets/Post-NAT-BRCA</v>
      </c>
      <c r="H76" s="3" t="b">
        <f>IFERROR(__xludf.DUMMYFUNCTION("""COMPUTED_VALUE"""),TRUE)</f>
        <v>1</v>
      </c>
      <c r="I76" s="3" t="str">
        <f>IFERROR(__xludf.DUMMYFUNCTION("""COMPUTED_VALUE"""),"M4Raw")</f>
        <v>M4Raw</v>
      </c>
      <c r="J76" s="3" t="str">
        <f>IFERROR(__xludf.DUMMYFUNCTION("""COMPUTED_VALUE"""),"Multi-channel raw k-space MRI")</f>
        <v>Multi-channel raw k-space MRI</v>
      </c>
      <c r="K76" s="3" t="str">
        <f>IFERROR(__xludf.DUMMYFUNCTION("""COMPUTED_VALUE"""),"/mnt/data-nas/medical_datasets/M4Raw.zip")</f>
        <v>/mnt/data-nas/medical_datasets/M4Raw.zip</v>
      </c>
    </row>
    <row r="77">
      <c r="A77" s="2" t="b">
        <v>1</v>
      </c>
      <c r="B77" s="2" t="s">
        <v>507</v>
      </c>
      <c r="C77" s="2" t="s">
        <v>235</v>
      </c>
      <c r="D77" s="2" t="s">
        <v>507</v>
      </c>
      <c r="E77" s="3" t="str">
        <f t="shared" si="2"/>
        <v>/mnt/data-nas/medical_datasets/QIN-Breast</v>
      </c>
      <c r="H77" s="3" t="b">
        <f>IFERROR(__xludf.DUMMYFUNCTION("""COMPUTED_VALUE"""),TRUE)</f>
        <v>1</v>
      </c>
      <c r="I77" s="3" t="str">
        <f>IFERROR(__xludf.DUMMYFUNCTION("""COMPUTED_VALUE"""),"MASSIVE")</f>
        <v>MASSIVE</v>
      </c>
      <c r="J77" s="3" t="str">
        <f>IFERROR(__xludf.DUMMYFUNCTION("""COMPUTED_VALUE"""),"Diffusion MRI, T1, T2, FLAIR")</f>
        <v>Diffusion MRI, T1, T2, FLAIR</v>
      </c>
      <c r="K77" s="3" t="str">
        <f>IFERROR(__xludf.DUMMYFUNCTION("""COMPUTED_VALUE"""),"/mnt/data-nas/medical_datasets/MASSIVE")</f>
        <v>/mnt/data-nas/medical_datasets/MASSIVE</v>
      </c>
    </row>
    <row r="78">
      <c r="A78" s="2" t="b">
        <v>1</v>
      </c>
      <c r="B78" s="2" t="s">
        <v>510</v>
      </c>
      <c r="C78" s="2" t="s">
        <v>235</v>
      </c>
      <c r="D78" s="2" t="s">
        <v>510</v>
      </c>
      <c r="E78" s="3" t="str">
        <f t="shared" si="2"/>
        <v>/mnt/data-nas/medical_datasets/QIN-Breast-02</v>
      </c>
      <c r="H78" s="3" t="b">
        <f>IFERROR(__xludf.DUMMYFUNCTION("""COMPUTED_VALUE"""),TRUE)</f>
        <v>1</v>
      </c>
      <c r="I78" s="3" t="str">
        <f>IFERROR(__xludf.DUMMYFUNCTION("""COMPUTED_VALUE"""),"MICA-MICs")</f>
        <v>MICA-MICs</v>
      </c>
      <c r="J78" s="3" t="str">
        <f>IFERROR(__xludf.DUMMYFUNCTION("""COMPUTED_VALUE"""),"T1, qT1, DWI, fMRI")</f>
        <v>T1, qT1, DWI, fMRI</v>
      </c>
      <c r="K78" s="3" t="str">
        <f>IFERROR(__xludf.DUMMYFUNCTION("""COMPUTED_VALUE"""),"/mnt/data-nas/medical_datasets/MICA-MICs")</f>
        <v>/mnt/data-nas/medical_datasets/MICA-MICs</v>
      </c>
    </row>
    <row r="79">
      <c r="A79" s="2" t="b">
        <v>1</v>
      </c>
      <c r="B79" s="2" t="s">
        <v>516</v>
      </c>
      <c r="C79" s="2" t="s">
        <v>235</v>
      </c>
      <c r="D79" s="2" t="s">
        <v>515</v>
      </c>
      <c r="E79" s="3" t="str">
        <f t="shared" si="2"/>
        <v>/mnt/data-nas/medical_datasets/RIDER_Breast_MRI</v>
      </c>
      <c r="H79" s="3" t="b">
        <f>IFERROR(__xludf.DUMMYFUNCTION("""COMPUTED_VALUE"""),TRUE)</f>
        <v>1</v>
      </c>
      <c r="I79" s="3" t="str">
        <f>IFERROR(__xludf.DUMMYFUNCTION("""COMPUTED_VALUE"""),"Mindboggle")</f>
        <v>Mindboggle</v>
      </c>
      <c r="J79" s="3" t="str">
        <f>IFERROR(__xludf.DUMMYFUNCTION("""COMPUTED_VALUE"""),"T1-weighted MRI")</f>
        <v>T1-weighted MRI</v>
      </c>
      <c r="K79" s="3" t="str">
        <f>IFERROR(__xludf.DUMMYFUNCTION("""COMPUTED_VALUE"""),"/mnt/data-nas/medical_datasets/Mindboggle")</f>
        <v>/mnt/data-nas/medical_datasets/Mindboggle</v>
      </c>
    </row>
    <row r="80">
      <c r="A80" s="2" t="b">
        <v>1</v>
      </c>
      <c r="B80" s="2" t="s">
        <v>521</v>
      </c>
      <c r="C80" s="2" t="s">
        <v>522</v>
      </c>
      <c r="D80" s="2" t="s">
        <v>520</v>
      </c>
      <c r="E80" s="3" t="str">
        <f t="shared" si="2"/>
        <v>/mnt/data-nas/medical_datasets/RSNAScreeningMammographyBreastCancerDetection</v>
      </c>
      <c r="H80" s="3" t="b">
        <f>IFERROR(__xludf.DUMMYFUNCTION("""COMPUTED_VALUE"""),TRUE)</f>
        <v>1</v>
      </c>
      <c r="I80" s="3" t="str">
        <f>IFERROR(__xludf.DUMMYFUNCTION("""COMPUTED_VALUE"""),"MIRIAD")</f>
        <v>MIRIAD</v>
      </c>
      <c r="J80" s="3" t="str">
        <f>IFERROR(__xludf.DUMMYFUNCTION("""COMPUTED_VALUE"""),"T1-weighted MRI")</f>
        <v>T1-weighted MRI</v>
      </c>
      <c r="K80" s="3" t="str">
        <f>IFERROR(__xludf.DUMMYFUNCTION("""COMPUTED_VALUE"""),"/mnt/data-nas/medical_datasets/MIRIAD")</f>
        <v>/mnt/data-nas/medical_datasets/MIRIAD</v>
      </c>
    </row>
    <row r="81">
      <c r="A81" s="2" t="b">
        <v>1</v>
      </c>
      <c r="B81" s="2" t="s">
        <v>530</v>
      </c>
      <c r="C81" s="2" t="s">
        <v>469</v>
      </c>
      <c r="D81" s="2" t="s">
        <v>529</v>
      </c>
      <c r="E81" s="3" t="str">
        <f t="shared" si="2"/>
        <v>/mnt/data-nas/medical_datasets/sln-breast</v>
      </c>
      <c r="H81" s="3" t="b">
        <f>IFERROR(__xludf.DUMMYFUNCTION("""COMPUTED_VALUE"""),TRUE)</f>
        <v>1</v>
      </c>
      <c r="I81" s="3" t="str">
        <f>IFERROR(__xludf.DUMMYFUNCTION("""COMPUTED_VALUE"""),"mm-brain-MR")</f>
        <v>mm-brain-MR</v>
      </c>
      <c r="J81" s="3" t="str">
        <f>IFERROR(__xludf.DUMMYFUNCTION("""COMPUTED_VALUE"""),"T1, T2, PD, FLAIR MRI")</f>
        <v>T1, T2, PD, FLAIR MRI</v>
      </c>
      <c r="K81" s="3" t="str">
        <f>IFERROR(__xludf.DUMMYFUNCTION("""COMPUTED_VALUE"""),"/mnt/data-nas/medical_datasets/mm-brain-MR")</f>
        <v>/mnt/data-nas/medical_datasets/mm-brain-MR</v>
      </c>
    </row>
    <row r="82">
      <c r="A82" s="2" t="b">
        <v>1</v>
      </c>
      <c r="B82" s="2" t="s">
        <v>536</v>
      </c>
      <c r="C82" s="2" t="s">
        <v>537</v>
      </c>
      <c r="D82" s="2" t="s">
        <v>536</v>
      </c>
      <c r="E82" s="3" t="str">
        <f t="shared" si="2"/>
        <v>/mnt/data-nas/medical_datasets/TCGA-BRCA</v>
      </c>
      <c r="H82" s="3" t="b">
        <f>IFERROR(__xludf.DUMMYFUNCTION("""COMPUTED_VALUE"""),TRUE)</f>
        <v>1</v>
      </c>
      <c r="I82" s="3" t="str">
        <f>IFERROR(__xludf.DUMMYFUNCTION("""COMPUTED_VALUE"""),"MMRR")</f>
        <v>MMRR</v>
      </c>
      <c r="J82" s="3" t="str">
        <f>IFERROR(__xludf.DUMMYFUNCTION("""COMPUTED_VALUE"""),"T1-weighted MRI, DTI")</f>
        <v>T1-weighted MRI, DTI</v>
      </c>
      <c r="K82" s="3" t="str">
        <f>IFERROR(__xludf.DUMMYFUNCTION("""COMPUTED_VALUE"""),"/mnt/data-nas/medical_datasets/MMRR")</f>
        <v>/mnt/data-nas/medical_datasets/MMRR</v>
      </c>
    </row>
    <row r="83">
      <c r="A83" s="2" t="b">
        <v>1</v>
      </c>
      <c r="B83" s="2" t="s">
        <v>544</v>
      </c>
      <c r="C83" s="2" t="s">
        <v>469</v>
      </c>
      <c r="D83" s="2" t="s">
        <v>544</v>
      </c>
      <c r="E83" s="3" t="str">
        <f t="shared" si="2"/>
        <v>/mnt/data-nas/medical_datasets/TIGER</v>
      </c>
      <c r="H83" s="3" t="b">
        <f>IFERROR(__xludf.DUMMYFUNCTION("""COMPUTED_VALUE"""),TRUE)</f>
        <v>1</v>
      </c>
      <c r="I83" s="3" t="str">
        <f>IFERROR(__xludf.DUMMYFUNCTION("""COMPUTED_VALUE"""),"MNI-HiSUB25")</f>
        <v>MNI-HiSUB25</v>
      </c>
      <c r="J83" s="3" t="str">
        <f>IFERROR(__xludf.DUMMYFUNCTION("""COMPUTED_VALUE"""),"T1, T2-weighted MRI")</f>
        <v>T1, T2-weighted MRI</v>
      </c>
      <c r="K83" s="3" t="str">
        <f>IFERROR(__xludf.DUMMYFUNCTION("""COMPUTED_VALUE"""),"/mnt/data-nas/medical_datasets/MNI-HiSUB25")</f>
        <v>/mnt/data-nas/medical_datasets/MNI-HiSUB25</v>
      </c>
    </row>
    <row r="84">
      <c r="A84" s="2" t="b">
        <v>1</v>
      </c>
      <c r="B84" s="2" t="s">
        <v>555</v>
      </c>
      <c r="C84" s="2" t="s">
        <v>364</v>
      </c>
      <c r="D84" s="2" t="s">
        <v>555</v>
      </c>
      <c r="E84" s="3" t="str">
        <f t="shared" si="2"/>
        <v>/mnt/data-nas/medical_datasets/TUPAC</v>
      </c>
      <c r="H84" s="3" t="b">
        <f>IFERROR(__xludf.DUMMYFUNCTION("""COMPUTED_VALUE"""),TRUE)</f>
        <v>1</v>
      </c>
      <c r="I84" s="3" t="str">
        <f>IFERROR(__xludf.DUMMYFUNCTION("""COMPUTED_VALUE"""),"MRBrainS18")</f>
        <v>MRBrainS18</v>
      </c>
      <c r="J84" s="3" t="str">
        <f>IFERROR(__xludf.DUMMYFUNCTION("""COMPUTED_VALUE"""),"MRI (T1, T1-IR, T2-FLAIR)")</f>
        <v>MRI (T1, T1-IR, T2-FLAIR)</v>
      </c>
      <c r="K84" s="3" t="str">
        <f>IFERROR(__xludf.DUMMYFUNCTION("""COMPUTED_VALUE"""),"/mnt/data-nas/medical_datasets/MRBrainS18.zip")</f>
        <v>/mnt/data-nas/medical_datasets/MRBrainS18.zip</v>
      </c>
    </row>
    <row r="85">
      <c r="A85" s="2" t="b">
        <v>0</v>
      </c>
      <c r="B85" s="2" t="s">
        <v>563</v>
      </c>
      <c r="C85" s="2" t="s">
        <v>564</v>
      </c>
      <c r="D85" s="2" t="s">
        <v>563</v>
      </c>
      <c r="E85" s="3" t="str">
        <f t="shared" si="2"/>
        <v/>
      </c>
      <c r="H85" s="3" t="b">
        <f>IFERROR(__xludf.DUMMYFUNCTION("""COMPUTED_VALUE"""),TRUE)</f>
        <v>1</v>
      </c>
      <c r="I85" s="3" t="str">
        <f>IFERROR(__xludf.DUMMYFUNCTION("""COMPUTED_VALUE"""),"MRI and Alzheimers")</f>
        <v>MRI and Alzheimers</v>
      </c>
      <c r="J85" s="3" t="str">
        <f>IFERROR(__xludf.DUMMYFUNCTION("""COMPUTED_VALUE"""),"MRI")</f>
        <v>MRI</v>
      </c>
      <c r="K85" s="3" t="str">
        <f>IFERROR(__xludf.DUMMYFUNCTION("""COMPUTED_VALUE"""),"/mnt/data-nas/medical_datasets/mri-and-alzheimers.zip")</f>
        <v>/mnt/data-nas/medical_datasets/mri-and-alzheimers.zip</v>
      </c>
    </row>
    <row r="86">
      <c r="A86" s="2" t="b">
        <v>1</v>
      </c>
      <c r="B86" s="2" t="s">
        <v>571</v>
      </c>
      <c r="C86" s="3" t="s">
        <v>573</v>
      </c>
      <c r="D86" s="2" t="s">
        <v>570</v>
      </c>
      <c r="E86" s="3" t="str">
        <f t="shared" si="2"/>
        <v>/mnt/data-nas/medical_datasets/4D-Lung</v>
      </c>
      <c r="H86" s="3" t="b">
        <f>IFERROR(__xludf.DUMMYFUNCTION("""COMPUTED_VALUE"""),TRUE)</f>
        <v>1</v>
      </c>
      <c r="I86" s="3" t="str">
        <f>IFERROR(__xludf.DUMMYFUNCTION("""COMPUTED_VALUE"""),"MSSeg 2008")</f>
        <v>MSSeg 2008</v>
      </c>
      <c r="J86" s="3" t="str">
        <f>IFERROR(__xludf.DUMMYFUNCTION("""COMPUTED_VALUE"""),"MRI (T1, FLAIR)")</f>
        <v>MRI (T1, FLAIR)</v>
      </c>
      <c r="K86" s="3" t="str">
        <f>IFERROR(__xludf.DUMMYFUNCTION("""COMPUTED_VALUE"""),"/mnt/data-nas/medical_datasets/MSSeg/msseg2008")</f>
        <v>/mnt/data-nas/medical_datasets/MSSeg/msseg2008</v>
      </c>
    </row>
    <row r="87">
      <c r="A87" s="2" t="b">
        <v>0</v>
      </c>
      <c r="B87" s="2" t="s">
        <v>580</v>
      </c>
      <c r="C87" s="3" t="s">
        <v>60</v>
      </c>
      <c r="D87" s="2" t="s">
        <v>580</v>
      </c>
      <c r="E87" s="3" t="str">
        <f t="shared" si="2"/>
        <v/>
      </c>
      <c r="H87" s="3" t="b">
        <f>IFERROR(__xludf.DUMMYFUNCTION("""COMPUTED_VALUE"""),TRUE)</f>
        <v>1</v>
      </c>
      <c r="I87" s="3" t="str">
        <f>IFERROR(__xludf.DUMMYFUNCTION("""COMPUTED_VALUE"""),"MSSEG 2016")</f>
        <v>MSSEG 2016</v>
      </c>
      <c r="J87" s="3" t="str">
        <f>IFERROR(__xludf.DUMMYFUNCTION("""COMPUTED_VALUE"""),"MRI (T1, T2, PD, T2-FLAIR)")</f>
        <v>MRI (T1, T2, PD, T2-FLAIR)</v>
      </c>
      <c r="K87" s="3" t="str">
        <f>IFERROR(__xludf.DUMMYFUNCTION("""COMPUTED_VALUE"""),"/mnt/data-nas/medical_datasets/MSSeg/msseg2016")</f>
        <v>/mnt/data-nas/medical_datasets/MSSeg/msseg2016</v>
      </c>
    </row>
    <row r="88">
      <c r="A88" s="2" t="b">
        <v>1</v>
      </c>
      <c r="B88" s="2" t="s">
        <v>588</v>
      </c>
      <c r="C88" s="3" t="s">
        <v>589</v>
      </c>
      <c r="D88" s="2" t="s">
        <v>588</v>
      </c>
      <c r="E88" s="3" t="str">
        <f t="shared" si="2"/>
        <v>/mnt/data-nas/medical_datasets/ACRIN-NSCLC-FDG-PET</v>
      </c>
      <c r="H88" s="3" t="b">
        <f>IFERROR(__xludf.DUMMYFUNCTION("""COMPUTED_VALUE"""),TRUE)</f>
        <v>1</v>
      </c>
      <c r="I88" s="3" t="str">
        <f>IFERROR(__xludf.DUMMYFUNCTION("""COMPUTED_VALUE"""),"Multi-shell diffusion MRI")</f>
        <v>Multi-shell diffusion MRI</v>
      </c>
      <c r="J88" s="3" t="str">
        <f>IFERROR(__xludf.DUMMYFUNCTION("""COMPUTED_VALUE"""),"MRI (T1, multi-shell DWI)")</f>
        <v>MRI (T1, multi-shell DWI)</v>
      </c>
      <c r="K88" s="3" t="str">
        <f>IFERROR(__xludf.DUMMYFUNCTION("""COMPUTED_VALUE"""),"/mnt/data-nas/medical_datasets/multishell_diffu_MRI")</f>
        <v>/mnt/data-nas/medical_datasets/multishell_diffu_MRI</v>
      </c>
    </row>
    <row r="89">
      <c r="A89" s="2" t="b">
        <v>1</v>
      </c>
      <c r="B89" s="2" t="s">
        <v>593</v>
      </c>
      <c r="C89" s="3" t="s">
        <v>60</v>
      </c>
      <c r="D89" s="2" t="s">
        <v>593</v>
      </c>
      <c r="E89" s="3" t="str">
        <f t="shared" si="2"/>
        <v>/mnt/data-nas/medical_datasets/Airway</v>
      </c>
      <c r="H89" s="3" t="b">
        <f>IFERROR(__xludf.DUMMYFUNCTION("""COMPUTED_VALUE"""),TRUE)</f>
        <v>1</v>
      </c>
      <c r="I89" s="3" t="str">
        <f>IFERROR(__xludf.DUMMYFUNCTION("""COMPUTED_VALUE"""),"Multimodal MRI of chess players")</f>
        <v>Multimodal MRI of chess players</v>
      </c>
      <c r="J89" s="3" t="str">
        <f>IFERROR(__xludf.DUMMYFUNCTION("""COMPUTED_VALUE"""),"MRI (T1, fMRI, DTI)")</f>
        <v>MRI (T1, fMRI, DTI)</v>
      </c>
      <c r="K89" s="3" t="str">
        <f>IFERROR(__xludf.DUMMYFUNCTION("""COMPUTED_VALUE"""),"/mnt/data-nas/medical_datasets/MMCP")</f>
        <v>/mnt/data-nas/medical_datasets/MMCP</v>
      </c>
    </row>
    <row r="90">
      <c r="A90" s="2" t="b">
        <v>1</v>
      </c>
      <c r="B90" s="2" t="s">
        <v>602</v>
      </c>
      <c r="C90" s="3" t="s">
        <v>60</v>
      </c>
      <c r="D90" s="2" t="s">
        <v>601</v>
      </c>
      <c r="E90" s="3" t="str">
        <f t="shared" si="2"/>
        <v>/mnt/data-nas/medical_datasets/ANODE09.zip</v>
      </c>
      <c r="H90" s="3" t="b">
        <f>IFERROR(__xludf.DUMMYFUNCTION("""COMPUTED_VALUE"""),TRUE)</f>
        <v>1</v>
      </c>
      <c r="I90" s="3" t="str">
        <f>IFERROR(__xludf.DUMMYFUNCTION("""COMPUTED_VALUE"""),"Narratives")</f>
        <v>Narratives</v>
      </c>
      <c r="J90" s="3" t="str">
        <f>IFERROR(__xludf.DUMMYFUNCTION("""COMPUTED_VALUE"""),"fMRI, anatomical MRI")</f>
        <v>fMRI, anatomical MRI</v>
      </c>
      <c r="K90" s="3" t="str">
        <f>IFERROR(__xludf.DUMMYFUNCTION("""COMPUTED_VALUE"""),"/mnt/data-nas/medical_datasets/Narratives")</f>
        <v>/mnt/data-nas/medical_datasets/Narratives</v>
      </c>
    </row>
    <row r="91">
      <c r="A91" s="2" t="b">
        <v>0</v>
      </c>
      <c r="B91" s="2" t="s">
        <v>609</v>
      </c>
      <c r="C91" s="3" t="s">
        <v>610</v>
      </c>
      <c r="D91" s="2" t="s">
        <v>607</v>
      </c>
      <c r="E91" s="3" t="str">
        <f t="shared" si="2"/>
        <v/>
      </c>
      <c r="H91" s="3" t="b">
        <f>IFERROR(__xludf.DUMMYFUNCTION("""COMPUTED_VALUE"""),TRUE)</f>
        <v>1</v>
      </c>
      <c r="I91" s="3" t="str">
        <f>IFERROR(__xludf.DUMMYFUNCTION("""COMPUTED_VALUE"""),"Naturalistic Viewing")</f>
        <v>Naturalistic Viewing</v>
      </c>
      <c r="J91" s="3" t="str">
        <f>IFERROR(__xludf.DUMMYFUNCTION("""COMPUTED_VALUE"""),"fMRI, EEG")</f>
        <v>fMRI, EEG</v>
      </c>
      <c r="K91" s="3" t="str">
        <f>IFERROR(__xludf.DUMMYFUNCTION("""COMPUTED_VALUE"""),"/mnt/data-nas/medical_datasets/Naturalistic_Viewing")</f>
        <v>/mnt/data-nas/medical_datasets/Naturalistic_Viewing</v>
      </c>
    </row>
    <row r="92">
      <c r="A92" s="2" t="b">
        <v>1</v>
      </c>
      <c r="B92" s="2" t="s">
        <v>616</v>
      </c>
      <c r="C92" s="3" t="s">
        <v>617</v>
      </c>
      <c r="D92" s="2" t="s">
        <v>616</v>
      </c>
      <c r="E92" s="3" t="str">
        <f t="shared" si="2"/>
        <v>/mnt/data-nas/medical_datasets/BrixIA</v>
      </c>
      <c r="H92" s="3" t="b">
        <f>IFERROR(__xludf.DUMMYFUNCTION("""COMPUTED_VALUE"""),TRUE)</f>
        <v>1</v>
      </c>
      <c r="I92" s="3" t="str">
        <f>IFERROR(__xludf.DUMMYFUNCTION("""COMPUTED_VALUE"""),"NeuAtlas Labeled Brain Scans")</f>
        <v>NeuAtlas Labeled Brain Scans</v>
      </c>
      <c r="J92" s="3" t="str">
        <f>IFERROR(__xludf.DUMMYFUNCTION("""COMPUTED_VALUE"""),"MRI (T1)")</f>
        <v>MRI (T1)</v>
      </c>
      <c r="K92" s="3" t="str">
        <f>IFERROR(__xludf.DUMMYFUNCTION("""COMPUTED_VALUE"""),"/mnt/data-nas/medical_datasets//NeuAtlas")</f>
        <v>/mnt/data-nas/medical_datasets//NeuAtlas</v>
      </c>
    </row>
    <row r="93">
      <c r="A93" s="2" t="b">
        <v>0</v>
      </c>
      <c r="B93" s="2" t="s">
        <v>623</v>
      </c>
      <c r="C93" s="3" t="s">
        <v>33</v>
      </c>
      <c r="E93" s="3" t="str">
        <f t="shared" si="2"/>
        <v/>
      </c>
      <c r="H93" s="3" t="b">
        <f>IFERROR(__xludf.DUMMYFUNCTION("""COMPUTED_VALUE"""),TRUE)</f>
        <v>1</v>
      </c>
      <c r="I93" s="3" t="str">
        <f>IFERROR(__xludf.DUMMYFUNCTION("""COMPUTED_VALUE"""),"Parkinson's Disease Datasets")</f>
        <v>Parkinson's Disease Datasets</v>
      </c>
      <c r="J93" s="3" t="str">
        <f>IFERROR(__xludf.DUMMYFUNCTION("""COMPUTED_VALUE"""),"MRI (T1w, rs-fMRI)")</f>
        <v>MRI (T1w, rs-fMRI)</v>
      </c>
      <c r="K93" s="3" t="str">
        <f>IFERROR(__xludf.DUMMYFUNCTION("""COMPUTED_VALUE"""),"/mnt/data-nas/medical_datasets/Parkinson")</f>
        <v>/mnt/data-nas/medical_datasets/Parkinson</v>
      </c>
    </row>
    <row r="94">
      <c r="A94" s="2" t="b">
        <v>0</v>
      </c>
      <c r="B94" s="2" t="s">
        <v>628</v>
      </c>
      <c r="C94" s="3" t="s">
        <v>33</v>
      </c>
      <c r="E94" s="3" t="str">
        <f t="shared" si="2"/>
        <v/>
      </c>
      <c r="H94" s="3" t="b">
        <f>IFERROR(__xludf.DUMMYFUNCTION("""COMPUTED_VALUE"""),TRUE)</f>
        <v>1</v>
      </c>
      <c r="I94" s="3" t="str">
        <f>IFERROR(__xludf.DUMMYFUNCTION("""COMPUTED_VALUE"""),"PPMI")</f>
        <v>PPMI</v>
      </c>
      <c r="J94" s="3" t="str">
        <f>IFERROR(__xludf.DUMMYFUNCTION("""COMPUTED_VALUE"""),"MRI, DaT-SPECT")</f>
        <v>MRI, DaT-SPECT</v>
      </c>
      <c r="K94" s="3" t="str">
        <f>IFERROR(__xludf.DUMMYFUNCTION("""COMPUTED_VALUE"""),"/mnt/data-nas/medical_datasets/PPMI")</f>
        <v>/mnt/data-nas/medical_datasets/PPMI</v>
      </c>
    </row>
    <row r="95">
      <c r="A95" s="2" t="b">
        <v>1</v>
      </c>
      <c r="B95" s="2" t="s">
        <v>636</v>
      </c>
      <c r="C95" s="3" t="s">
        <v>33</v>
      </c>
      <c r="D95" s="2" t="s">
        <v>635</v>
      </c>
      <c r="E95" s="3" t="str">
        <f t="shared" si="2"/>
        <v>/mnt/data-nas/medical_datasets/chest-xray-pneumonia.zip</v>
      </c>
      <c r="H95" s="3" t="b">
        <f>IFERROR(__xludf.DUMMYFUNCTION("""COMPUTED_VALUE"""),TRUE)</f>
        <v>1</v>
      </c>
      <c r="I95" s="3" t="str">
        <f>IFERROR(__xludf.DUMMYFUNCTION("""COMPUTED_VALUE"""),"Prenatal brain")</f>
        <v>Prenatal brain</v>
      </c>
      <c r="J95" s="3" t="str">
        <f>IFERROR(__xludf.DUMMYFUNCTION("""COMPUTED_VALUE"""),"MRI (fetal brain)")</f>
        <v>MRI (fetal brain)</v>
      </c>
      <c r="K95" s="3" t="str">
        <f>IFERROR(__xludf.DUMMYFUNCTION("""COMPUTED_VALUE"""),"/mnt/data-nas/medical_datasets/Prenatal_brain")</f>
        <v>/mnt/data-nas/medical_datasets/Prenatal_brain</v>
      </c>
    </row>
    <row r="96">
      <c r="A96" s="2" t="b">
        <v>0</v>
      </c>
      <c r="B96" s="2" t="s">
        <v>639</v>
      </c>
      <c r="C96" s="3" t="s">
        <v>33</v>
      </c>
      <c r="E96" s="3" t="str">
        <f t="shared" si="2"/>
        <v/>
      </c>
      <c r="H96" s="3" t="b">
        <f>IFERROR(__xludf.DUMMYFUNCTION("""COMPUTED_VALUE"""),TRUE)</f>
        <v>1</v>
      </c>
      <c r="I96" s="3" t="str">
        <f>IFERROR(__xludf.DUMMYFUNCTION("""COMPUTED_VALUE"""),"PREVENT-AD")</f>
        <v>PREVENT-AD</v>
      </c>
      <c r="J96" s="3" t="str">
        <f>IFERROR(__xludf.DUMMYFUNCTION("""COMPUTED_VALUE"""),"MRI (structural)")</f>
        <v>MRI (structural)</v>
      </c>
      <c r="K96" s="3" t="str">
        <f>IFERROR(__xludf.DUMMYFUNCTION("""COMPUTED_VALUE"""),"/mnt/data-nas/medical_datasets/conp/conp-dataset/projects/preventad-open")</f>
        <v>/mnt/data-nas/medical_datasets/conp/conp-dataset/projects/preventad-open</v>
      </c>
    </row>
    <row r="97">
      <c r="A97" s="2" t="b">
        <v>0</v>
      </c>
      <c r="B97" s="2" t="s">
        <v>642</v>
      </c>
      <c r="C97" s="3" t="s">
        <v>33</v>
      </c>
      <c r="E97" s="3" t="str">
        <f t="shared" si="2"/>
        <v/>
      </c>
      <c r="H97" s="3" t="b">
        <f>IFERROR(__xludf.DUMMYFUNCTION("""COMPUTED_VALUE"""),TRUE)</f>
        <v>1</v>
      </c>
      <c r="I97" s="3" t="str">
        <f>IFERROR(__xludf.DUMMYFUNCTION("""COMPUTED_VALUE"""),"PRIME-DE")</f>
        <v>PRIME-DE</v>
      </c>
      <c r="J97" s="3" t="str">
        <f>IFERROR(__xludf.DUMMYFUNCTION("""COMPUTED_VALUE"""),"MRI (T1w, T2w, rs-fMRI, DWI, MRS)")</f>
        <v>MRI (T1w, T2w, rs-fMRI, DWI, MRS)</v>
      </c>
      <c r="K97" s="3" t="str">
        <f>IFERROR(__xludf.DUMMYFUNCTION("""COMPUTED_VALUE"""),"/mnt/data-nas/medical_datasets/PRIME-DE")</f>
        <v>/mnt/data-nas/medical_datasets/PRIME-DE</v>
      </c>
    </row>
    <row r="98">
      <c r="A98" s="2" t="b">
        <v>0</v>
      </c>
      <c r="B98" s="2" t="s">
        <v>647</v>
      </c>
      <c r="C98" s="3" t="s">
        <v>33</v>
      </c>
      <c r="E98" s="3" t="str">
        <f t="shared" si="2"/>
        <v/>
      </c>
      <c r="H98" s="3" t="b">
        <f>IFERROR(__xludf.DUMMYFUNCTION("""COMPUTED_VALUE"""),TRUE)</f>
        <v>1</v>
      </c>
      <c r="I98" s="3" t="str">
        <f>IFERROR(__xludf.DUMMYFUNCTION("""COMPUTED_VALUE"""),"RealNoiseMRI")</f>
        <v>RealNoiseMRI</v>
      </c>
      <c r="J98" s="3" t="str">
        <f>IFERROR(__xludf.DUMMYFUNCTION("""COMPUTED_VALUE"""),"MRI (brain)")</f>
        <v>MRI (brain)</v>
      </c>
      <c r="K98" s="3" t="str">
        <f>IFERROR(__xludf.DUMMYFUNCTION("""COMPUTED_VALUE"""),"/mnt/data-nas/medical_datasets/realnoiseMRI")</f>
        <v>/mnt/data-nas/medical_datasets/realnoiseMRI</v>
      </c>
    </row>
    <row r="99">
      <c r="A99" s="2" t="b">
        <v>1</v>
      </c>
      <c r="B99" s="2" t="s">
        <v>655</v>
      </c>
      <c r="C99" s="3" t="s">
        <v>33</v>
      </c>
      <c r="D99" s="2" t="s">
        <v>654</v>
      </c>
      <c r="E99" s="2" t="s">
        <v>654</v>
      </c>
      <c r="H99" s="3" t="b">
        <f>IFERROR(__xludf.DUMMYFUNCTION("""COMPUTED_VALUE"""),TRUE)</f>
        <v>1</v>
      </c>
      <c r="I99" s="3" t="str">
        <f>IFERROR(__xludf.DUMMYFUNCTION("""COMPUTED_VALUE"""),"RSNA Brain Tumor")</f>
        <v>RSNA Brain Tumor</v>
      </c>
      <c r="J99" s="3" t="str">
        <f>IFERROR(__xludf.DUMMYFUNCTION("""COMPUTED_VALUE"""),"MRI (mpMRI)")</f>
        <v>MRI (mpMRI)</v>
      </c>
      <c r="K99" s="3" t="str">
        <f>IFERROR(__xludf.DUMMYFUNCTION("""COMPUTED_VALUE"""),"/mnt/data-nas/medical_datasets/RSNA_BrainTumorRC")</f>
        <v>/mnt/data-nas/medical_datasets/RSNA_BrainTumorRC</v>
      </c>
    </row>
    <row r="100">
      <c r="A100" s="2" t="b">
        <v>0</v>
      </c>
      <c r="B100" s="2" t="s">
        <v>660</v>
      </c>
      <c r="C100" s="3" t="s">
        <v>33</v>
      </c>
      <c r="E100" s="3" t="str">
        <f t="shared" ref="E100:E111" si="3">IF(A100=True, "/mnt/data-nas/medical_datasets/" &amp; D100, "")</f>
        <v/>
      </c>
      <c r="H100" s="3" t="b">
        <f>IFERROR(__xludf.DUMMYFUNCTION("""COMPUTED_VALUE"""),TRUE)</f>
        <v>1</v>
      </c>
      <c r="I100" s="3" t="str">
        <f>IFERROR(__xludf.DUMMYFUNCTION("""COMPUTED_VALUE"""),"SALD")</f>
        <v>SALD</v>
      </c>
      <c r="J100" s="3" t="str">
        <f>IFERROR(__xludf.DUMMYFUNCTION("""COMPUTED_VALUE"""),"sMRI, fMRI")</f>
        <v>sMRI, fMRI</v>
      </c>
      <c r="K100" s="3" t="str">
        <f>IFERROR(__xludf.DUMMYFUNCTION("""COMPUTED_VALUE"""),"/mnt/data-nas/medical_datasets/SALD")</f>
        <v>/mnt/data-nas/medical_datasets/SALD</v>
      </c>
    </row>
    <row r="101">
      <c r="A101" s="2" t="b">
        <v>0</v>
      </c>
      <c r="B101" s="2" t="s">
        <v>667</v>
      </c>
      <c r="C101" s="3" t="s">
        <v>33</v>
      </c>
      <c r="E101" s="3" t="str">
        <f t="shared" si="3"/>
        <v/>
      </c>
      <c r="H101" s="3" t="b">
        <f>IFERROR(__xludf.DUMMYFUNCTION("""COMPUTED_VALUE"""),TRUE)</f>
        <v>1</v>
      </c>
      <c r="I101" s="3" t="str">
        <f>IFERROR(__xludf.DUMMYFUNCTION("""COMPUTED_VALUE"""),"SIMON")</f>
        <v>SIMON</v>
      </c>
      <c r="J101" s="3" t="str">
        <f>IFERROR(__xludf.DUMMYFUNCTION("""COMPUTED_VALUE"""),"MRI (T1, T2, PD, T2*, DWI, rs-fMRI, ASL)")</f>
        <v>MRI (T1, T2, PD, T2*, DWI, rs-fMRI, ASL)</v>
      </c>
      <c r="K101" s="3" t="str">
        <f>IFERROR(__xludf.DUMMYFUNCTION("""COMPUTED_VALUE"""),"/mnt/data-nas/medical_datasets/SIMON/")</f>
        <v>/mnt/data-nas/medical_datasets/SIMON/</v>
      </c>
    </row>
    <row r="102">
      <c r="A102" s="2" t="b">
        <v>0</v>
      </c>
      <c r="B102" s="2" t="s">
        <v>674</v>
      </c>
      <c r="C102" s="3" t="s">
        <v>33</v>
      </c>
      <c r="E102" s="3" t="str">
        <f t="shared" si="3"/>
        <v/>
      </c>
      <c r="H102" s="3" t="b">
        <f>IFERROR(__xludf.DUMMYFUNCTION("""COMPUTED_VALUE"""),TRUE)</f>
        <v>1</v>
      </c>
      <c r="I102" s="3" t="str">
        <f>IFERROR(__xludf.DUMMYFUNCTION("""COMPUTED_VALUE"""),"SLIM")</f>
        <v>SLIM</v>
      </c>
      <c r="J102" s="3" t="str">
        <f>IFERROR(__xludf.DUMMYFUNCTION("""COMPUTED_VALUE"""),"MRI (sMRI, dMRI, rs-fMRI)")</f>
        <v>MRI (sMRI, dMRI, rs-fMRI)</v>
      </c>
      <c r="K102" s="3" t="str">
        <f>IFERROR(__xludf.DUMMYFUNCTION("""COMPUTED_VALUE"""),"/mnt/data-nas/medical_datasets/SLIM")</f>
        <v>/mnt/data-nas/medical_datasets/SLIM</v>
      </c>
    </row>
    <row r="103">
      <c r="A103" s="2" t="b">
        <v>0</v>
      </c>
      <c r="B103" s="2" t="s">
        <v>679</v>
      </c>
      <c r="C103" s="3" t="s">
        <v>680</v>
      </c>
      <c r="E103" s="3" t="str">
        <f t="shared" si="3"/>
        <v/>
      </c>
      <c r="H103" s="3" t="b">
        <f>IFERROR(__xludf.DUMMYFUNCTION("""COMPUTED_VALUE"""),TRUE)</f>
        <v>1</v>
      </c>
      <c r="I103" s="3" t="str">
        <f>IFERROR(__xludf.DUMMYFUNCTION("""COMPUTED_VALUE"""),"StudyForrest")</f>
        <v>StudyForrest</v>
      </c>
      <c r="J103" s="3" t="str">
        <f>IFERROR(__xludf.DUMMYFUNCTION("""COMPUTED_VALUE"""),"fMRI, structural MRI, eye tracking")</f>
        <v>fMRI, structural MRI, eye tracking</v>
      </c>
      <c r="K103" s="3" t="str">
        <f>IFERROR(__xludf.DUMMYFUNCTION("""COMPUTED_VALUE"""),"/mnt/data-nas/medical_datasets/StudyForest/studyforrest_openneuro")</f>
        <v>/mnt/data-nas/medical_datasets/StudyForest/studyforrest_openneuro</v>
      </c>
    </row>
    <row r="104">
      <c r="A104" s="2" t="b">
        <v>0</v>
      </c>
      <c r="B104" s="2" t="s">
        <v>684</v>
      </c>
      <c r="C104" s="3" t="s">
        <v>60</v>
      </c>
      <c r="E104" s="3" t="str">
        <f t="shared" si="3"/>
        <v/>
      </c>
      <c r="H104" s="3" t="b">
        <f>IFERROR(__xludf.DUMMYFUNCTION("""COMPUTED_VALUE"""),TRUE)</f>
        <v>1</v>
      </c>
      <c r="I104" s="3" t="str">
        <f>IFERROR(__xludf.DUMMYFUNCTION("""COMPUTED_VALUE"""),"SynthStrip")</f>
        <v>SynthStrip</v>
      </c>
      <c r="J104" s="3" t="str">
        <f>IFERROR(__xludf.DUMMYFUNCTION("""COMPUTED_VALUE"""),"MRI, CT, PET")</f>
        <v>MRI, CT, PET</v>
      </c>
      <c r="K104" s="3" t="str">
        <f>IFERROR(__xludf.DUMMYFUNCTION("""COMPUTED_VALUE"""),"/mnt/data-nas/medical_datasets/SynthStrip/")</f>
        <v>/mnt/data-nas/medical_datasets/SynthStrip/</v>
      </c>
    </row>
    <row r="105">
      <c r="A105" s="2" t="b">
        <v>0</v>
      </c>
      <c r="B105" s="2" t="s">
        <v>694</v>
      </c>
      <c r="C105" s="3" t="s">
        <v>60</v>
      </c>
      <c r="E105" s="3" t="str">
        <f t="shared" si="3"/>
        <v/>
      </c>
      <c r="H105" s="3" t="b">
        <f>IFERROR(__xludf.DUMMYFUNCTION("""COMPUTED_VALUE"""),TRUE)</f>
        <v>1</v>
      </c>
      <c r="I105" s="3" t="str">
        <f>IFERROR(__xludf.DUMMYFUNCTION("""COMPUTED_VALUE"""),"T1-weighted with 250 μm resolution")</f>
        <v>T1-weighted with 250 μm resolution</v>
      </c>
      <c r="J105" s="3" t="str">
        <f>IFERROR(__xludf.DUMMYFUNCTION("""COMPUTED_VALUE"""),"MRI")</f>
        <v>MRI</v>
      </c>
      <c r="K105" s="3" t="str">
        <f>IFERROR(__xludf.DUMMYFUNCTION("""COMPUTED_VALUE"""),"/mnt/data-nas/medical_datasets/T1w/")</f>
        <v>/mnt/data-nas/medical_datasets/T1w/</v>
      </c>
    </row>
    <row r="106">
      <c r="A106" s="2" t="b">
        <v>0</v>
      </c>
      <c r="B106" s="2" t="s">
        <v>701</v>
      </c>
      <c r="C106" s="3" t="s">
        <v>702</v>
      </c>
      <c r="E106" s="3" t="str">
        <f t="shared" si="3"/>
        <v/>
      </c>
      <c r="H106" s="3" t="b">
        <f>IFERROR(__xludf.DUMMYFUNCTION("""COMPUTED_VALUE"""),TRUE)</f>
        <v>1</v>
      </c>
      <c r="I106" s="3" t="str">
        <f>IFERROR(__xludf.DUMMYFUNCTION("""COMPUTED_VALUE"""),"TADPOLE")</f>
        <v>TADPOLE</v>
      </c>
      <c r="J106" s="3" t="str">
        <f>IFERROR(__xludf.DUMMYFUNCTION("""COMPUTED_VALUE"""),"MRI, PET")</f>
        <v>MRI, PET</v>
      </c>
      <c r="K106" s="3" t="str">
        <f>IFERROR(__xludf.DUMMYFUNCTION("""COMPUTED_VALUE"""),"/mnt/data-nas/medical_datasets/TADPOLE/tadpole_challenge.zip")</f>
        <v>/mnt/data-nas/medical_datasets/TADPOLE/tadpole_challenge.zip</v>
      </c>
    </row>
    <row r="107">
      <c r="A107" s="2" t="b">
        <v>1</v>
      </c>
      <c r="B107" s="2" t="s">
        <v>709</v>
      </c>
      <c r="C107" s="3" t="s">
        <v>710</v>
      </c>
      <c r="D107" s="2" t="s">
        <v>708</v>
      </c>
      <c r="E107" s="3" t="str">
        <f t="shared" si="3"/>
        <v>/mnt/data-nas/medical_datasets/covid-chest-xray.zip</v>
      </c>
      <c r="H107" s="3" t="b">
        <f>IFERROR(__xludf.DUMMYFUNCTION("""COMPUTED_VALUE"""),TRUE)</f>
        <v>1</v>
      </c>
      <c r="I107" s="3" t="str">
        <f>IFERROR(__xludf.DUMMYFUNCTION("""COMPUTED_VALUE"""),"TrackRAD2025")</f>
        <v>TrackRAD2025</v>
      </c>
      <c r="J107" s="3" t="str">
        <f>IFERROR(__xludf.DUMMYFUNCTION("""COMPUTED_VALUE"""),"2D cine-MRI")</f>
        <v>2D cine-MRI</v>
      </c>
      <c r="K107" s="3" t="str">
        <f>IFERROR(__xludf.DUMMYFUNCTION("""COMPUTED_VALUE"""),"/mnt/data-nas/medical_datasets/TrackRAD/")</f>
        <v>/mnt/data-nas/medical_datasets/TrackRAD/</v>
      </c>
    </row>
    <row r="108">
      <c r="A108" s="2" t="b">
        <v>0</v>
      </c>
      <c r="B108" s="2" t="s">
        <v>716</v>
      </c>
      <c r="C108" s="3" t="s">
        <v>60</v>
      </c>
      <c r="E108" s="3" t="str">
        <f t="shared" si="3"/>
        <v/>
      </c>
      <c r="H108" s="3" t="b">
        <f>IFERROR(__xludf.DUMMYFUNCTION("""COMPUTED_VALUE"""),TRUE)</f>
        <v>1</v>
      </c>
      <c r="I108" s="3" t="str">
        <f>IFERROR(__xludf.DUMMYFUNCTION("""COMPUTED_VALUE"""),"UNAM Hynosis")</f>
        <v>UNAM Hynosis</v>
      </c>
      <c r="J108" s="3" t="str">
        <f>IFERROR(__xludf.DUMMYFUNCTION("""COMPUTED_VALUE"""),"sMRI, rs-fMRI")</f>
        <v>sMRI, rs-fMRI</v>
      </c>
      <c r="K108" s="3" t="str">
        <f>IFERROR(__xludf.DUMMYFUNCTION("""COMPUTED_VALUE"""),"/mnt/data-nas/medical_datasets/UNAMH")</f>
        <v>/mnt/data-nas/medical_datasets/UNAMH</v>
      </c>
    </row>
    <row r="109">
      <c r="A109" s="2" t="b">
        <v>0</v>
      </c>
      <c r="B109" s="2" t="s">
        <v>722</v>
      </c>
      <c r="C109" s="3" t="s">
        <v>60</v>
      </c>
      <c r="E109" s="3" t="str">
        <f t="shared" si="3"/>
        <v/>
      </c>
      <c r="H109" s="3" t="b">
        <f>IFERROR(__xludf.DUMMYFUNCTION("""COMPUTED_VALUE"""),TRUE)</f>
        <v>1</v>
      </c>
      <c r="I109" s="3" t="str">
        <f>IFERROR(__xludf.DUMMYFUNCTION("""COMPUTED_VALUE"""),"UPenn-GBM")</f>
        <v>UPenn-GBM</v>
      </c>
      <c r="J109" s="3" t="str">
        <f>IFERROR(__xludf.DUMMYFUNCTION("""COMPUTED_VALUE"""),"MRI (T1, T1c, T2, FLAIR)")</f>
        <v>MRI (T1, T1c, T2, FLAIR)</v>
      </c>
      <c r="K109" s="3" t="str">
        <f>IFERROR(__xludf.DUMMYFUNCTION("""COMPUTED_VALUE"""),"/mnt/data-nas/medical_datasets/UPenn-GBM/")</f>
        <v>/mnt/data-nas/medical_datasets/UPenn-GBM/</v>
      </c>
    </row>
    <row r="110">
      <c r="A110" s="2" t="b">
        <v>1</v>
      </c>
      <c r="B110" s="2" t="s">
        <v>727</v>
      </c>
      <c r="C110" s="3" t="s">
        <v>60</v>
      </c>
      <c r="D110" s="2" t="s">
        <v>726</v>
      </c>
      <c r="E110" s="3" t="str">
        <f t="shared" si="3"/>
        <v>/mnt/data-nas/medical_datasets/covid19-ct-scans.zip</v>
      </c>
      <c r="H110" s="3" t="b">
        <f>IFERROR(__xludf.DUMMYFUNCTION("""COMPUTED_VALUE"""),TRUE)</f>
        <v>1</v>
      </c>
      <c r="I110" s="3" t="str">
        <f>IFERROR(__xludf.DUMMYFUNCTION("""COMPUTED_VALUE"""),"VALDO")</f>
        <v>VALDO</v>
      </c>
      <c r="J110" s="3" t="str">
        <f>IFERROR(__xludf.DUMMYFUNCTION("""COMPUTED_VALUE"""),"MRI (T1, T2, FLAIR, T2*)")</f>
        <v>MRI (T1, T2, FLAIR, T2*)</v>
      </c>
      <c r="K110" s="3" t="str">
        <f>IFERROR(__xludf.DUMMYFUNCTION("""COMPUTED_VALUE"""),"/mnt/data-nas/medical_datasets/VALDO/")</f>
        <v>/mnt/data-nas/medical_datasets/VALDO/</v>
      </c>
    </row>
    <row r="111">
      <c r="A111" s="2" t="b">
        <v>1</v>
      </c>
      <c r="B111" s="2" t="s">
        <v>732</v>
      </c>
      <c r="C111" s="3" t="s">
        <v>33</v>
      </c>
      <c r="D111" s="2" t="s">
        <v>731</v>
      </c>
      <c r="E111" s="3" t="str">
        <f t="shared" si="3"/>
        <v>/mnt/data-nas/medical_datasets/covid19-image-dataset.zip</v>
      </c>
      <c r="H111" s="3" t="b">
        <f>IFERROR(__xludf.DUMMYFUNCTION("""COMPUTED_VALUE"""),TRUE)</f>
        <v>1</v>
      </c>
      <c r="I111" s="3" t="str">
        <f>IFERROR(__xludf.DUMMYFUNCTION("""COMPUTED_VALUE"""),"Wayne 10")</f>
        <v>Wayne 10</v>
      </c>
      <c r="J111" s="3" t="str">
        <f>IFERROR(__xludf.DUMMYFUNCTION("""COMPUTED_VALUE"""),"T1 MRI")</f>
        <v>T1 MRI</v>
      </c>
      <c r="K111" s="3" t="str">
        <f>IFERROR(__xludf.DUMMYFUNCTION("""COMPUTED_VALUE"""),"/mnt/data-nas/medical_datasets/WayneState")</f>
        <v>/mnt/data-nas/medical_datasets/WayneState</v>
      </c>
    </row>
    <row r="112">
      <c r="A112" s="2" t="b">
        <v>1</v>
      </c>
      <c r="B112" s="2" t="s">
        <v>737</v>
      </c>
      <c r="C112" s="3" t="s">
        <v>60</v>
      </c>
      <c r="D112" s="2" t="s">
        <v>736</v>
      </c>
      <c r="E112" s="3" t="str">
        <f t="shared" ref="E112:E222" si="4">IF(A112=True, IF(D112="/mnt/data-nas/med_anant", D112 &amp; "/" &amp; B112, D112), "")</f>
        <v>/mnt/data-nas/med_anant/covid19-IR</v>
      </c>
      <c r="H112" s="3" t="b">
        <f>IFERROR(__xludf.DUMMYFUNCTION("""COMPUTED_VALUE"""),TRUE)</f>
        <v>1</v>
      </c>
      <c r="I112" s="3" t="str">
        <f>IFERROR(__xludf.DUMMYFUNCTION("""COMPUTED_VALUE"""),"Wayne 11")</f>
        <v>Wayne 11</v>
      </c>
      <c r="J112" s="3" t="str">
        <f>IFERROR(__xludf.DUMMYFUNCTION("""COMPUTED_VALUE"""),"MRI structural")</f>
        <v>MRI structural</v>
      </c>
      <c r="K112" s="3" t="str">
        <f>IFERROR(__xludf.DUMMYFUNCTION("""COMPUTED_VALUE"""),"/mnt/data-nas/medical_datasets/WayneState")</f>
        <v>/mnt/data-nas/medical_datasets/WayneState</v>
      </c>
    </row>
    <row r="113">
      <c r="A113" s="47" t="b">
        <v>1</v>
      </c>
      <c r="B113" s="47" t="s">
        <v>742</v>
      </c>
      <c r="C113" s="46" t="s">
        <v>60</v>
      </c>
      <c r="D113" s="47" t="s">
        <v>5118</v>
      </c>
      <c r="E113" s="3" t="str">
        <f t="shared" si="4"/>
        <v>/mnt/data-nas/med_anant/Covid19-IP-Estimation</v>
      </c>
      <c r="H113" s="3" t="b">
        <f>IFERROR(__xludf.DUMMYFUNCTION("""COMPUTED_VALUE"""),TRUE)</f>
        <v>1</v>
      </c>
      <c r="I113" s="3" t="str">
        <f>IFERROR(__xludf.DUMMYFUNCTION("""COMPUTED_VALUE"""),"Wayne EF")</f>
        <v>Wayne EF</v>
      </c>
      <c r="J113" s="3" t="str">
        <f>IFERROR(__xludf.DUMMYFUNCTION("""COMPUTED_VALUE"""),"MRI structural")</f>
        <v>MRI structural</v>
      </c>
      <c r="K113" s="3" t="str">
        <f>IFERROR(__xludf.DUMMYFUNCTION("""COMPUTED_VALUE"""),"/mnt/data-nas/medical_datasets/WayneState")</f>
        <v>/mnt/data-nas/medical_datasets/WayneState</v>
      </c>
    </row>
    <row r="114">
      <c r="A114" s="2" t="b">
        <v>1</v>
      </c>
      <c r="B114" s="2" t="s">
        <v>752</v>
      </c>
      <c r="C114" s="3" t="s">
        <v>753</v>
      </c>
      <c r="D114" s="2" t="s">
        <v>751</v>
      </c>
      <c r="E114" s="3" t="str">
        <f t="shared" si="4"/>
        <v>/mnt/data-nas/med_anant/TCIA-DICOM/COVID-19-NY-SBU</v>
      </c>
      <c r="H114" s="3" t="b">
        <f>IFERROR(__xludf.DUMMYFUNCTION("""COMPUTED_VALUE"""),TRUE)</f>
        <v>1</v>
      </c>
      <c r="I114" s="3" t="str">
        <f>IFERROR(__xludf.DUMMYFUNCTION("""COMPUTED_VALUE"""),"Yale Hires")</f>
        <v>Yale Hires</v>
      </c>
      <c r="J114" s="3" t="str">
        <f>IFERROR(__xludf.DUMMYFUNCTION("""COMPUTED_VALUE"""),"T1 MRI, rs-fMRI")</f>
        <v>T1 MRI, rs-fMRI</v>
      </c>
      <c r="K114" s="3" t="str">
        <f>IFERROR(__xludf.DUMMYFUNCTION("""COMPUTED_VALUE"""),"/mnt/data-nas/medical_datasets/Yale/highres")</f>
        <v>/mnt/data-nas/medical_datasets/Yale/highres</v>
      </c>
    </row>
    <row r="115">
      <c r="A115" s="2" t="b">
        <v>1</v>
      </c>
      <c r="B115" s="2" t="s">
        <v>757</v>
      </c>
      <c r="C115" s="3" t="s">
        <v>33</v>
      </c>
      <c r="D115" s="2" t="s">
        <v>5119</v>
      </c>
      <c r="E115" s="3" t="str">
        <f t="shared" si="4"/>
        <v>/mnt/data-nas/med_anant/covid19-radiography-database.zip</v>
      </c>
      <c r="H115" s="3" t="b">
        <f>IFERROR(__xludf.DUMMYFUNCTION("""COMPUTED_VALUE"""),TRUE)</f>
        <v>1</v>
      </c>
      <c r="I115" s="3" t="str">
        <f>IFERROR(__xludf.DUMMYFUNCTION("""COMPUTED_VALUE"""),"Yale Lowres")</f>
        <v>Yale Lowres</v>
      </c>
      <c r="J115" s="3" t="str">
        <f>IFERROR(__xludf.DUMMYFUNCTION("""COMPUTED_VALUE"""),"T1 MRI, rs-fMRI")</f>
        <v>T1 MRI, rs-fMRI</v>
      </c>
      <c r="K115" s="3" t="str">
        <f>IFERROR(__xludf.DUMMYFUNCTION("""COMPUTED_VALUE"""),"/mnt/data-nas/medical_datasets/Yale/lowres")</f>
        <v>/mnt/data-nas/medical_datasets/Yale/lowres</v>
      </c>
    </row>
    <row r="116">
      <c r="A116" s="2" t="b">
        <v>1</v>
      </c>
      <c r="B116" s="2" t="s">
        <v>762</v>
      </c>
      <c r="C116" s="3" t="s">
        <v>108</v>
      </c>
      <c r="D116" s="2" t="s">
        <v>5120</v>
      </c>
      <c r="E116" s="3" t="str">
        <f t="shared" si="4"/>
        <v>/mnt/data-nas/med_anant/covid19_ultrasound</v>
      </c>
      <c r="H116" s="3" t="b">
        <f>IFERROR(__xludf.DUMMYFUNCTION("""COMPUTED_VALUE"""),TRUE)</f>
        <v>1</v>
      </c>
      <c r="I116" s="3" t="str">
        <f>IFERROR(__xludf.DUMMYFUNCTION("""COMPUTED_VALUE"""),"Yale TRT")</f>
        <v>Yale TRT</v>
      </c>
      <c r="J116" s="3" t="str">
        <f>IFERROR(__xludf.DUMMYFUNCTION("""COMPUTED_VALUE"""),"T1 MRI, rs-fMRI")</f>
        <v>T1 MRI, rs-fMRI</v>
      </c>
      <c r="K116" s="3" t="str">
        <f>IFERROR(__xludf.DUMMYFUNCTION("""COMPUTED_VALUE"""),"/mnt/data-nas/medical_datasets/Yale/test_retest")</f>
        <v>/mnt/data-nas/medical_datasets/Yale/test_retest</v>
      </c>
    </row>
    <row r="117">
      <c r="A117" s="2" t="b">
        <v>0</v>
      </c>
      <c r="B117" s="2" t="s">
        <v>768</v>
      </c>
      <c r="C117" s="3" t="s">
        <v>33</v>
      </c>
      <c r="E117" s="3" t="str">
        <f t="shared" si="4"/>
        <v/>
      </c>
      <c r="H117" s="3" t="b">
        <f>IFERROR(__xludf.DUMMYFUNCTION("""COMPUTED_VALUE"""),TRUE)</f>
        <v>1</v>
      </c>
      <c r="I117" s="3" t="str">
        <f>IFERROR(__xludf.DUMMYFUNCTION("""COMPUTED_VALUE"""),"SegThy")</f>
        <v>SegThy</v>
      </c>
      <c r="J117" s="3" t="str">
        <f>IFERROR(__xludf.DUMMYFUNCTION("""COMPUTED_VALUE"""),"MRI, Ultrasound")</f>
        <v>MRI, Ultrasound</v>
      </c>
      <c r="K117" s="3" t="str">
        <f>IFERROR(__xludf.DUMMYFUNCTION("""COMPUTED_VALUE"""),"/mnt/data-nas/medical_datasets/SegThy")</f>
        <v>/mnt/data-nas/medical_datasets/SegThy</v>
      </c>
    </row>
    <row r="118">
      <c r="A118" s="2" t="b">
        <v>1</v>
      </c>
      <c r="B118" s="2" t="s">
        <v>773</v>
      </c>
      <c r="C118" s="3" t="s">
        <v>108</v>
      </c>
      <c r="D118" s="2" t="s">
        <v>5121</v>
      </c>
      <c r="E118" s="3" t="str">
        <f t="shared" si="4"/>
        <v>/mnt/data-nas/med_anant/COVID-BLUES</v>
      </c>
      <c r="H118" s="3" t="b">
        <f>IFERROR(__xludf.DUMMYFUNCTION("""COMPUTED_VALUE"""),TRUE)</f>
        <v>1</v>
      </c>
      <c r="I118" s="3" t="str">
        <f>IFERROR(__xludf.DUMMYFUNCTION("""COMPUTED_VALUE"""),"Vestibular Schwannoma SEG")</f>
        <v>Vestibular Schwannoma SEG</v>
      </c>
      <c r="J118" s="3" t="str">
        <f>IFERROR(__xludf.DUMMYFUNCTION("""COMPUTED_VALUE"""),"MRI")</f>
        <v>MRI</v>
      </c>
      <c r="K118" s="3" t="str">
        <f>IFERROR(__xludf.DUMMYFUNCTION("""COMPUTED_VALUE"""),"/mnt/data-nas/medical_datasets/VSSEG")</f>
        <v>/mnt/data-nas/medical_datasets/VSSEG</v>
      </c>
    </row>
    <row r="119">
      <c r="A119" s="2" t="b">
        <v>1</v>
      </c>
      <c r="B119" s="2" t="s">
        <v>778</v>
      </c>
      <c r="C119" s="3" t="s">
        <v>779</v>
      </c>
      <c r="D119" s="2" t="s">
        <v>5122</v>
      </c>
      <c r="E119" s="3" t="str">
        <f t="shared" si="4"/>
        <v>/mnt/data-nas/med_anant/covid-chestxray-dataset</v>
      </c>
      <c r="H119" s="3" t="b">
        <f>IFERROR(__xludf.DUMMYFUNCTION("""COMPUTED_VALUE"""),TRUE)</f>
        <v>1</v>
      </c>
      <c r="I119" s="3" t="str">
        <f>IFERROR(__xludf.DUMMYFUNCTION("""COMPUTED_VALUE"""),"ANT")</f>
        <v>ANT</v>
      </c>
      <c r="J119" s="3" t="str">
        <f>IFERROR(__xludf.DUMMYFUNCTION("""COMPUTED_VALUE"""),"fMRI, Structural MRI")</f>
        <v>fMRI, Structural MRI</v>
      </c>
      <c r="K119" s="3" t="str">
        <f>IFERROR(__xludf.DUMMYFUNCTION("""COMPUTED_VALUE"""),"/mnt/data-nas/medical_datasets/ANT")</f>
        <v>/mnt/data-nas/medical_datasets/ANT</v>
      </c>
    </row>
    <row r="120">
      <c r="A120" s="2" t="b">
        <v>1</v>
      </c>
      <c r="B120" s="2" t="s">
        <v>785</v>
      </c>
      <c r="C120" s="3" t="s">
        <v>60</v>
      </c>
      <c r="D120" s="2" t="s">
        <v>5123</v>
      </c>
      <c r="E120" s="3" t="str">
        <f t="shared" si="4"/>
        <v>/mnt/data-nas/med_anant/COVID-CT-MD</v>
      </c>
      <c r="H120" s="3" t="b">
        <f>IFERROR(__xludf.DUMMYFUNCTION("""COMPUTED_VALUE"""),TRUE)</f>
        <v>1</v>
      </c>
      <c r="I120" s="3" t="str">
        <f>IFERROR(__xludf.DUMMYFUNCTION("""COMPUTED_VALUE"""),"CEREBRuM")</f>
        <v>CEREBRuM</v>
      </c>
      <c r="J120" s="3" t="str">
        <f>IFERROR(__xludf.DUMMYFUNCTION("""COMPUTED_VALUE"""),"MRI")</f>
        <v>MRI</v>
      </c>
      <c r="K120" s="3" t="str">
        <f>IFERROR(__xludf.DUMMYFUNCTION("""COMPUTED_VALUE"""),"/mnt/data-nas/medical_datasets/CEREBRuM")</f>
        <v>/mnt/data-nas/medical_datasets/CEREBRuM</v>
      </c>
    </row>
    <row r="121">
      <c r="A121" s="2" t="b">
        <v>1</v>
      </c>
      <c r="B121" s="2" t="s">
        <v>791</v>
      </c>
      <c r="C121" s="3" t="s">
        <v>60</v>
      </c>
      <c r="D121" s="2" t="s">
        <v>5124</v>
      </c>
      <c r="E121" s="3" t="str">
        <f t="shared" si="4"/>
        <v>/mnt/data-nas/med_anant/covidctset-a-large-covid19-ct-scans-dataset.zip</v>
      </c>
      <c r="H121" s="3" t="b">
        <f>IFERROR(__xludf.DUMMYFUNCTION("""COMPUTED_VALUE"""),TRUE)</f>
        <v>1</v>
      </c>
      <c r="I121" s="3" t="str">
        <f>IFERROR(__xludf.DUMMYFUNCTION("""COMPUTED_VALUE"""),"Cross-Sectional Multidomain Lexical Processing")</f>
        <v>Cross-Sectional Multidomain Lexical Processing</v>
      </c>
      <c r="J121" s="3" t="str">
        <f>IFERROR(__xludf.DUMMYFUNCTION("""COMPUTED_VALUE"""),"fMRI, Structural MRI")</f>
        <v>fMRI, Structural MRI</v>
      </c>
      <c r="K121" s="3" t="str">
        <f>IFERROR(__xludf.DUMMYFUNCTION("""COMPUTED_VALUE"""),"/mnt/data-nas/medical_datasets/CSMLP")</f>
        <v>/mnt/data-nas/medical_datasets/CSMLP</v>
      </c>
    </row>
    <row r="122">
      <c r="A122" s="2" t="b">
        <v>1</v>
      </c>
      <c r="B122" s="2" t="s">
        <v>798</v>
      </c>
      <c r="C122" s="3" t="s">
        <v>60</v>
      </c>
      <c r="D122" s="2" t="s">
        <v>5125</v>
      </c>
      <c r="E122" s="3" t="str">
        <f t="shared" si="4"/>
        <v>/mnt/data-nas/med_anant/COVID19-CT</v>
      </c>
      <c r="H122" s="3" t="b">
        <f>IFERROR(__xludf.DUMMYFUNCTION("""COMPUTED_VALUE"""),TRUE)</f>
        <v>1</v>
      </c>
      <c r="I122" s="3" t="str">
        <f>IFERROR(__xludf.DUMMYFUNCTION("""COMPUTED_VALUE"""),"Human V4 size predicts crowding distance")</f>
        <v>Human V4 size predicts crowding distance</v>
      </c>
      <c r="J122" s="3" t="str">
        <f>IFERROR(__xludf.DUMMYFUNCTION("""COMPUTED_VALUE"""),"fMRI")</f>
        <v>fMRI</v>
      </c>
      <c r="K122" s="3" t="str">
        <f>IFERROR(__xludf.DUMMYFUNCTION("""COMPUTED_VALUE"""),"/mnt/data-nas/medical_datasets/HVSPCD")</f>
        <v>/mnt/data-nas/medical_datasets/HVSPCD</v>
      </c>
    </row>
    <row r="123">
      <c r="A123" s="2" t="b">
        <v>1</v>
      </c>
      <c r="B123" s="2" t="s">
        <v>804</v>
      </c>
      <c r="C123" s="3" t="s">
        <v>33</v>
      </c>
      <c r="D123" s="2" t="s">
        <v>5126</v>
      </c>
      <c r="E123" s="3" t="str">
        <f t="shared" si="4"/>
        <v>/mnt/data-nas/med_anant/covidx-cxr2.zip</v>
      </c>
      <c r="H123" s="3" t="b">
        <f>IFERROR(__xludf.DUMMYFUNCTION("""COMPUTED_VALUE"""),TRUE)</f>
        <v>1</v>
      </c>
      <c r="I123" s="3" t="str">
        <f>IFERROR(__xludf.DUMMYFUNCTION("""COMPUTED_VALUE"""),"Longitudinal Neuroimaging on Arithmetic Processing")</f>
        <v>Longitudinal Neuroimaging on Arithmetic Processing</v>
      </c>
      <c r="J123" s="3" t="str">
        <f>IFERROR(__xludf.DUMMYFUNCTION("""COMPUTED_VALUE"""),"fMRI, Structural MRI")</f>
        <v>fMRI, Structural MRI</v>
      </c>
      <c r="K123" s="3" t="str">
        <f>IFERROR(__xludf.DUMMYFUNCTION("""COMPUTED_VALUE"""),"/mnt/data-nas/medical_datasets/LNAP")</f>
        <v>/mnt/data-nas/medical_datasets/LNAP</v>
      </c>
    </row>
    <row r="124">
      <c r="A124" s="2" t="b">
        <v>1</v>
      </c>
      <c r="B124" s="2" t="s">
        <v>810</v>
      </c>
      <c r="C124" s="3" t="s">
        <v>811</v>
      </c>
      <c r="D124" s="2" t="s">
        <v>809</v>
      </c>
      <c r="E124" s="3" t="str">
        <f t="shared" si="4"/>
        <v>/mnt/data-nas/med_anant/TCIA/CIC19</v>
      </c>
      <c r="H124" s="3" t="b">
        <f>IFERROR(__xludf.DUMMYFUNCTION("""COMPUTED_VALUE"""),TRUE)</f>
        <v>1</v>
      </c>
      <c r="I124" s="3" t="str">
        <f>IFERROR(__xludf.DUMMYFUNCTION("""COMPUTED_VALUE"""),"Longitudinal Neuroimaging on Multisensory Lexical Processing")</f>
        <v>Longitudinal Neuroimaging on Multisensory Lexical Processing</v>
      </c>
      <c r="J124" s="3" t="str">
        <f>IFERROR(__xludf.DUMMYFUNCTION("""COMPUTED_VALUE"""),"fMRI, DWI, Structural MRI")</f>
        <v>fMRI, DWI, Structural MRI</v>
      </c>
      <c r="K124" s="3" t="str">
        <f>IFERROR(__xludf.DUMMYFUNCTION("""COMPUTED_VALUE"""),"/mnt/data-nas/medical_datasets/LNMLP")</f>
        <v>/mnt/data-nas/medical_datasets/LNMLP</v>
      </c>
    </row>
    <row r="125">
      <c r="A125" s="2" t="b">
        <v>1</v>
      </c>
      <c r="B125" s="2" t="s">
        <v>814</v>
      </c>
      <c r="C125" s="3" t="s">
        <v>60</v>
      </c>
      <c r="D125" s="2" t="s">
        <v>809</v>
      </c>
      <c r="E125" s="3" t="str">
        <f t="shared" si="4"/>
        <v>/mnt/data-nas/med_anant/TCIA/CIC19</v>
      </c>
      <c r="H125" s="3" t="b">
        <f>IFERROR(__xludf.DUMMYFUNCTION("""COMPUTED_VALUE"""),TRUE)</f>
        <v>1</v>
      </c>
      <c r="I125" s="3" t="str">
        <f>IFERROR(__xludf.DUMMYFUNCTION("""COMPUTED_VALUE"""),"Maclaren test-retest brain volume")</f>
        <v>Maclaren test-retest brain volume</v>
      </c>
      <c r="J125" s="3" t="str">
        <f>IFERROR(__xludf.DUMMYFUNCTION("""COMPUTED_VALUE"""),"Structural MRI (T1)")</f>
        <v>Structural MRI (T1)</v>
      </c>
      <c r="K125" s="3" t="str">
        <f>IFERROR(__xludf.DUMMYFUNCTION("""COMPUTED_VALUE"""),"/mnt/data-nas/medical_datasets/Maclaren")</f>
        <v>/mnt/data-nas/medical_datasets/Maclaren</v>
      </c>
    </row>
    <row r="126">
      <c r="A126" s="49" t="b">
        <v>1</v>
      </c>
      <c r="B126" s="16" t="s">
        <v>818</v>
      </c>
      <c r="C126" s="16" t="s">
        <v>60</v>
      </c>
      <c r="D126" s="4" t="s">
        <v>5127</v>
      </c>
      <c r="E126" s="3" t="str">
        <f t="shared" si="4"/>
        <v>/mnt/data-nas/med_anant/MSD/MSD/Task07_Pancreas.tar</v>
      </c>
      <c r="H126" s="3" t="b">
        <f>IFERROR(__xludf.DUMMYFUNCTION("""COMPUTED_VALUE"""),TRUE)</f>
        <v>1</v>
      </c>
      <c r="I126" s="3" t="str">
        <f>IFERROR(__xludf.DUMMYFUNCTION("""COMPUTED_VALUE"""),"MPILMBB")</f>
        <v>MPILMBB</v>
      </c>
      <c r="J126" s="3" t="str">
        <f>IFERROR(__xludf.DUMMYFUNCTION("""COMPUTED_VALUE"""),"MRI (T1 MP2RAGE, T2, FLAIR, SWI, DWI, resting-state fMRI)")</f>
        <v>MRI (T1 MP2RAGE, T2, FLAIR, SWI, DWI, resting-state fMRI)</v>
      </c>
      <c r="K126" s="3" t="str">
        <f>IFERROR(__xludf.DUMMYFUNCTION("""COMPUTED_VALUE"""),"/mnt/data-nas/medical_datasets/MPILMBB")</f>
        <v>/mnt/data-nas/medical_datasets/MPILMBB</v>
      </c>
    </row>
    <row r="127">
      <c r="A127" s="49" t="b">
        <v>1</v>
      </c>
      <c r="B127" s="16" t="s">
        <v>821</v>
      </c>
      <c r="C127" s="16" t="s">
        <v>60</v>
      </c>
      <c r="D127" s="4" t="s">
        <v>5128</v>
      </c>
      <c r="E127" s="3" t="str">
        <f t="shared" si="4"/>
        <v>/mnt/data-nas/med_anant/MSD/MSD/Task08_HepaticVessel.tar</v>
      </c>
      <c r="H127" s="3" t="b">
        <f>IFERROR(__xludf.DUMMYFUNCTION("""COMPUTED_VALUE"""),TRUE)</f>
        <v>1</v>
      </c>
      <c r="I127" s="3" t="str">
        <f>IFERROR(__xludf.DUMMYFUNCTION("""COMPUTED_VALUE"""),"MSC")</f>
        <v>MSC</v>
      </c>
      <c r="J127" s="3" t="str">
        <f>IFERROR(__xludf.DUMMYFUNCTION("""COMPUTED_VALUE"""),"fMRI, Structural MRI")</f>
        <v>fMRI, Structural MRI</v>
      </c>
      <c r="K127" s="3" t="str">
        <f>IFERROR(__xludf.DUMMYFUNCTION("""COMPUTED_VALUE"""),"/mnt/data-nas/medical_datasets/MSC")</f>
        <v>/mnt/data-nas/medical_datasets/MSC</v>
      </c>
    </row>
    <row r="128">
      <c r="A128" s="49" t="b">
        <v>1</v>
      </c>
      <c r="B128" s="16" t="s">
        <v>824</v>
      </c>
      <c r="C128" s="16" t="s">
        <v>60</v>
      </c>
      <c r="D128" s="4" t="s">
        <v>5129</v>
      </c>
      <c r="E128" s="3" t="str">
        <f t="shared" si="4"/>
        <v>/mnt/data-nas/med_anant/MSD/MSD/Task09_Spleen.tar</v>
      </c>
      <c r="H128" s="3" t="b">
        <f>IFERROR(__xludf.DUMMYFUNCTION("""COMPUTED_VALUE"""),TRUE)</f>
        <v>1</v>
      </c>
      <c r="I128" s="3" t="str">
        <f>IFERROR(__xludf.DUMMYFUNCTION("""COMPUTED_VALUE"""),"NKI-RS")</f>
        <v>NKI-RS</v>
      </c>
      <c r="J128" s="3" t="str">
        <f>IFERROR(__xludf.DUMMYFUNCTION("""COMPUTED_VALUE"""),"MRI (structural, resting-state fMRI, DTI), genetics")</f>
        <v>MRI (structural, resting-state fMRI, DTI), genetics</v>
      </c>
      <c r="K128" s="3" t="str">
        <f>IFERROR(__xludf.DUMMYFUNCTION("""COMPUTED_VALUE"""),"/mnt/data-nas/medical_datasets/NKI-RS")</f>
        <v>/mnt/data-nas/medical_datasets/NKI-RS</v>
      </c>
    </row>
    <row r="129">
      <c r="A129" s="49" t="b">
        <v>1</v>
      </c>
      <c r="B129" s="16" t="s">
        <v>826</v>
      </c>
      <c r="C129" s="16" t="s">
        <v>60</v>
      </c>
      <c r="D129" s="4" t="s">
        <v>5130</v>
      </c>
      <c r="E129" s="3" t="str">
        <f t="shared" si="4"/>
        <v>/mnt/data-nas/med_anant/MSD/MSD/Task10_Colon.tar</v>
      </c>
      <c r="H129" s="3" t="b">
        <f>IFERROR(__xludf.DUMMYFUNCTION("""COMPUTED_VALUE"""),TRUE)</f>
        <v>1</v>
      </c>
      <c r="I129" s="3" t="str">
        <f>IFERROR(__xludf.DUMMYFUNCTION("""COMPUTED_VALUE"""),"SCA2 Diffusion Tensor Imaging")</f>
        <v>SCA2 Diffusion Tensor Imaging</v>
      </c>
      <c r="J129" s="3" t="str">
        <f>IFERROR(__xludf.DUMMYFUNCTION("""COMPUTED_VALUE"""),"Structural MRI (T1), Diffusion MRI")</f>
        <v>Structural MRI (T1), Diffusion MRI</v>
      </c>
      <c r="K129" s="3" t="str">
        <f>IFERROR(__xludf.DUMMYFUNCTION("""COMPUTED_VALUE"""),"/mnt/data-nas/medical_datasets/SCA2")</f>
        <v>/mnt/data-nas/medical_datasets/SCA2</v>
      </c>
    </row>
    <row r="130">
      <c r="A130" s="49" t="b">
        <v>1</v>
      </c>
      <c r="B130" s="16" t="s">
        <v>828</v>
      </c>
      <c r="C130" s="16" t="s">
        <v>60</v>
      </c>
      <c r="D130" s="4" t="s">
        <v>5131</v>
      </c>
      <c r="E130" s="3" t="str">
        <f t="shared" si="4"/>
        <v>/mnt/data-nas/med_anant/MSD/MSD/Task05_Prostate.tar</v>
      </c>
      <c r="H130" s="3" t="b">
        <f>IFERROR(__xludf.DUMMYFUNCTION("""COMPUTED_VALUE"""),TRUE)</f>
        <v>1</v>
      </c>
      <c r="I130" s="3" t="str">
        <f>IFERROR(__xludf.DUMMYFUNCTION("""COMPUTED_VALUE"""),"PROMISE12")</f>
        <v>PROMISE12</v>
      </c>
      <c r="J130" s="3" t="str">
        <f>IFERROR(__xludf.DUMMYFUNCTION("""COMPUTED_VALUE"""),"MRI")</f>
        <v>MRI</v>
      </c>
      <c r="K130" s="3" t="str">
        <f>IFERROR(__xludf.DUMMYFUNCTION("""COMPUTED_VALUE"""),"/mnt/data-nas/medical_datasets/PROMISE12.zip")</f>
        <v>/mnt/data-nas/medical_datasets/PROMISE12.zip</v>
      </c>
    </row>
    <row r="131">
      <c r="A131" s="2" t="b">
        <v>1</v>
      </c>
      <c r="B131" s="2" t="s">
        <v>830</v>
      </c>
      <c r="C131" s="3" t="s">
        <v>60</v>
      </c>
      <c r="D131" s="2" t="s">
        <v>5132</v>
      </c>
      <c r="E131" s="3" t="str">
        <f t="shared" si="4"/>
        <v>/mnt/data-nas/med_anant/empire10</v>
      </c>
      <c r="H131" s="3" t="b">
        <f>IFERROR(__xludf.DUMMYFUNCTION("""COMPUTED_VALUE"""),TRUE)</f>
        <v>1</v>
      </c>
      <c r="I131" s="3" t="str">
        <f>IFERROR(__xludf.DUMMYFUNCTION("""COMPUTED_VALUE"""),"CHAOS")</f>
        <v>CHAOS</v>
      </c>
      <c r="J131" s="3" t="str">
        <f>IFERROR(__xludf.DUMMYFUNCTION("""COMPUTED_VALUE"""),"CT, MRI")</f>
        <v>CT, MRI</v>
      </c>
      <c r="K131" s="3" t="str">
        <f>IFERROR(__xludf.DUMMYFUNCTION("""COMPUTED_VALUE"""),"/mnt/data-nas/medical_datasets/CHAOS.zip")</f>
        <v>/mnt/data-nas/medical_datasets/CHAOS.zip</v>
      </c>
    </row>
    <row r="132">
      <c r="A132" s="2" t="b">
        <v>0</v>
      </c>
      <c r="B132" s="2" t="s">
        <v>838</v>
      </c>
      <c r="C132" s="3" t="s">
        <v>60</v>
      </c>
      <c r="E132" s="3" t="str">
        <f t="shared" si="4"/>
        <v/>
      </c>
      <c r="H132" s="3" t="b">
        <f>IFERROR(__xludf.DUMMYFUNCTION("""COMPUTED_VALUE"""),TRUE)</f>
        <v>1</v>
      </c>
      <c r="I132" s="3" t="str">
        <f>IFERROR(__xludf.DUMMYFUNCTION("""COMPUTED_VALUE"""),"QIN-PROSTATE-Repeatability")</f>
        <v>QIN-PROSTATE-Repeatability</v>
      </c>
      <c r="J132" s="3" t="str">
        <f>IFERROR(__xludf.DUMMYFUNCTION("""COMPUTED_VALUE"""),"MRI")</f>
        <v>MRI</v>
      </c>
      <c r="K132" s="3" t="str">
        <f>IFERROR(__xludf.DUMMYFUNCTION("""COMPUTED_VALUE"""),"/mnt/data-nas/medical_datasets/QIN-PROSTATE-Repeatability")</f>
        <v>/mnt/data-nas/medical_datasets/QIN-PROSTATE-Repeatability</v>
      </c>
    </row>
    <row r="133">
      <c r="A133" s="2" t="b">
        <v>1</v>
      </c>
      <c r="B133" s="2" t="s">
        <v>847</v>
      </c>
      <c r="C133" s="3" t="s">
        <v>848</v>
      </c>
      <c r="D133" s="2" t="s">
        <v>5133</v>
      </c>
      <c r="E133" s="3" t="str">
        <f t="shared" si="4"/>
        <v>/mnt/data-nas/med_anant/chest-xrays-indiana-university.zip</v>
      </c>
      <c r="H133" s="3" t="b">
        <f>IFERROR(__xludf.DUMMYFUNCTION("""COMPUTED_VALUE"""),TRUE)</f>
        <v>1</v>
      </c>
      <c r="I133" s="3" t="str">
        <f>IFERROR(__xludf.DUMMYFUNCTION("""COMPUTED_VALUE"""),"UW-Madison GI Tract Image Segmentation")</f>
        <v>UW-Madison GI Tract Image Segmentation</v>
      </c>
      <c r="J133" s="3" t="str">
        <f>IFERROR(__xludf.DUMMYFUNCTION("""COMPUTED_VALUE"""),"MRI")</f>
        <v>MRI</v>
      </c>
      <c r="K133" s="3" t="str">
        <f>IFERROR(__xludf.DUMMYFUNCTION("""COMPUTED_VALUE"""),"/mnt/data-nas/medical_datasets/uw-madison-gi-tract-image-segmentation")</f>
        <v>/mnt/data-nas/medical_datasets/uw-madison-gi-tract-image-segmentation</v>
      </c>
    </row>
    <row r="134">
      <c r="A134" s="2" t="b">
        <v>0</v>
      </c>
      <c r="B134" s="2" t="s">
        <v>858</v>
      </c>
      <c r="C134" s="3" t="s">
        <v>859</v>
      </c>
      <c r="E134" s="3" t="str">
        <f t="shared" si="4"/>
        <v/>
      </c>
      <c r="H134" s="3" t="b">
        <f>IFERROR(__xludf.DUMMYFUNCTION("""COMPUTED_VALUE"""),TRUE)</f>
        <v>1</v>
      </c>
      <c r="I134" s="3" t="str">
        <f>IFERROR(__xludf.DUMMYFUNCTION("""COMPUTED_VALUE"""),"AMOS 2022")</f>
        <v>AMOS 2022</v>
      </c>
      <c r="J134" s="3" t="str">
        <f>IFERROR(__xludf.DUMMYFUNCTION("""COMPUTED_VALUE"""),"CT, MRI")</f>
        <v>CT, MRI</v>
      </c>
      <c r="K134" s="3" t="str">
        <f>IFERROR(__xludf.DUMMYFUNCTION("""COMPUTED_VALUE"""),"/mnt/data-nas/medical_datasets/AMOS2022")</f>
        <v>/mnt/data-nas/medical_datasets/AMOS2022</v>
      </c>
    </row>
    <row r="135">
      <c r="A135" s="2" t="b">
        <v>1</v>
      </c>
      <c r="B135" s="2" t="s">
        <v>869</v>
      </c>
      <c r="C135" s="3" t="s">
        <v>60</v>
      </c>
      <c r="D135" s="2" t="s">
        <v>5134</v>
      </c>
      <c r="E135" s="3" t="str">
        <f t="shared" si="4"/>
        <v>/mnt/data-nas/med_anant/the-iqothnccd-lung-cancer-dataset.zip</v>
      </c>
      <c r="H135" s="3" t="b">
        <f>IFERROR(__xludf.DUMMYFUNCTION("""COMPUTED_VALUE"""),TRUE)</f>
        <v>1</v>
      </c>
      <c r="I135" s="3" t="str">
        <f>IFERROR(__xludf.DUMMYFUNCTION("""COMPUTED_VALUE"""),"PI-CAI")</f>
        <v>PI-CAI</v>
      </c>
      <c r="J135" s="3" t="str">
        <f>IFERROR(__xludf.DUMMYFUNCTION("""COMPUTED_VALUE"""),"MRI")</f>
        <v>MRI</v>
      </c>
      <c r="K135" s="3" t="str">
        <f>IFERROR(__xludf.DUMMYFUNCTION("""COMPUTED_VALUE"""),"/mnt/data-nas/medical_datasets/PI-CAI")</f>
        <v>/mnt/data-nas/medical_datasets/PI-CAI</v>
      </c>
    </row>
    <row r="136">
      <c r="A136" s="2" t="b">
        <v>1</v>
      </c>
      <c r="B136" s="2" t="s">
        <v>879</v>
      </c>
      <c r="C136" s="3" t="s">
        <v>60</v>
      </c>
      <c r="D136" s="2" t="s">
        <v>878</v>
      </c>
      <c r="E136" s="3" t="str">
        <f t="shared" si="4"/>
        <v>/mnt/data-nas/medical_datasets/TCIA-DICOM/LCTSC</v>
      </c>
      <c r="H136" s="3" t="b">
        <f>IFERROR(__xludf.DUMMYFUNCTION("""COMPUTED_VALUE"""),TRUE)</f>
        <v>1</v>
      </c>
      <c r="I136" s="3" t="str">
        <f>IFERROR(__xludf.DUMMYFUNCTION("""COMPUTED_VALUE"""),"SPPIN")</f>
        <v>SPPIN</v>
      </c>
      <c r="J136" s="3" t="str">
        <f>IFERROR(__xludf.DUMMYFUNCTION("""COMPUTED_VALUE"""),"MRI")</f>
        <v>MRI</v>
      </c>
      <c r="K136" s="3" t="str">
        <f>IFERROR(__xludf.DUMMYFUNCTION("""COMPUTED_VALUE"""),"/mnt/data-nas/medical_datasets/SPPIN.zip")</f>
        <v>/mnt/data-nas/medical_datasets/SPPIN.zip</v>
      </c>
    </row>
    <row r="137">
      <c r="A137" s="2" t="b">
        <v>1</v>
      </c>
      <c r="B137" s="2" t="s">
        <v>889</v>
      </c>
      <c r="C137" s="3" t="s">
        <v>60</v>
      </c>
      <c r="D137" s="2" t="s">
        <v>888</v>
      </c>
      <c r="E137" s="3" t="str">
        <f t="shared" si="4"/>
        <v>/mnt/data-nas/med_anant/LOLA11</v>
      </c>
      <c r="H137" s="3" t="b">
        <f>IFERROR(__xludf.DUMMYFUNCTION("""COMPUTED_VALUE"""),TRUE)</f>
        <v>1</v>
      </c>
      <c r="I137" s="3" t="str">
        <f>IFERROR(__xludf.DUMMYFUNCTION("""COMPUTED_VALUE"""),"ATLAS (MICCAI2023)")</f>
        <v>ATLAS (MICCAI2023)</v>
      </c>
      <c r="J137" s="3" t="str">
        <f>IFERROR(__xludf.DUMMYFUNCTION("""COMPUTED_VALUE"""),"Ce-mri")</f>
        <v>Ce-mri</v>
      </c>
      <c r="K137" s="3" t="str">
        <f>IFERROR(__xludf.DUMMYFUNCTION("""COMPUTED_VALUE"""),"/mnt/data-nas/medical_datasets/atlas-train-dataset-1.0.1.zip")</f>
        <v>/mnt/data-nas/medical_datasets/atlas-train-dataset-1.0.1.zip</v>
      </c>
    </row>
    <row r="138">
      <c r="A138" s="2" t="b">
        <v>1</v>
      </c>
      <c r="B138" s="2" t="s">
        <v>901</v>
      </c>
      <c r="C138" s="3" t="s">
        <v>902</v>
      </c>
      <c r="D138" s="2" t="s">
        <v>900</v>
      </c>
      <c r="E138" s="3" t="str">
        <f t="shared" si="4"/>
        <v>/mnt/data-nas/med_anant/LUMIC</v>
      </c>
      <c r="H138" s="3" t="b">
        <f>IFERROR(__xludf.DUMMYFUNCTION("""COMPUTED_VALUE"""),TRUE)</f>
        <v>1</v>
      </c>
      <c r="I138" s="3" t="str">
        <f>IFERROR(__xludf.DUMMYFUNCTION("""COMPUTED_VALUE"""),"TCGA-READ")</f>
        <v>TCGA-READ</v>
      </c>
      <c r="J138" s="3" t="str">
        <f>IFERROR(__xludf.DUMMYFUNCTION("""COMPUTED_VALUE"""),"Histopathology &amp; CT/MRI")</f>
        <v>Histopathology &amp; CT/MRI</v>
      </c>
      <c r="K138" s="3" t="str">
        <f>IFERROR(__xludf.DUMMYFUNCTION("""COMPUTED_VALUE"""),"/mnt/data-nas/medical_datasets/TCGA-READ")</f>
        <v>/mnt/data-nas/medical_datasets/TCGA-READ</v>
      </c>
    </row>
    <row r="139">
      <c r="A139" s="2" t="b">
        <v>0</v>
      </c>
      <c r="B139" s="2" t="s">
        <v>910</v>
      </c>
      <c r="C139" s="3" t="s">
        <v>911</v>
      </c>
      <c r="D139" s="2"/>
      <c r="E139" s="3" t="str">
        <f t="shared" si="4"/>
        <v/>
      </c>
      <c r="H139" s="3" t="b">
        <f>IFERROR(__xludf.DUMMYFUNCTION("""COMPUTED_VALUE"""),TRUE)</f>
        <v>1</v>
      </c>
      <c r="I139" s="3" t="str">
        <f>IFERROR(__xludf.DUMMYFUNCTION("""COMPUTED_VALUE"""),"Multi-site Dataset for Prostate MRI Segmentation")</f>
        <v>Multi-site Dataset for Prostate MRI Segmentation</v>
      </c>
      <c r="J139" s="3" t="str">
        <f>IFERROR(__xludf.DUMMYFUNCTION("""COMPUTED_VALUE"""),"MRI (T2-weighted)")</f>
        <v>MRI (T2-weighted)</v>
      </c>
      <c r="K139" s="3" t="str">
        <f>IFERROR(__xludf.DUMMYFUNCTION("""COMPUTED_VALUE"""),"/mnt/data-nas/medical_datasets/Processed_data_nii.zip")</f>
        <v>/mnt/data-nas/medical_datasets/Processed_data_nii.zip</v>
      </c>
    </row>
    <row r="140">
      <c r="A140" s="2" t="b">
        <v>1</v>
      </c>
      <c r="B140" s="2" t="s">
        <v>923</v>
      </c>
      <c r="C140" s="3" t="s">
        <v>328</v>
      </c>
      <c r="D140" s="2" t="s">
        <v>922</v>
      </c>
      <c r="E140" s="3" t="str">
        <f t="shared" si="4"/>
        <v>/mnt/data-nas/medical_datasets/TCIA-DICOM/Lung-PET-CT-Dx</v>
      </c>
      <c r="H140" s="3" t="b">
        <f>IFERROR(__xludf.DUMMYFUNCTION("""COMPUTED_VALUE"""),TRUE)</f>
        <v>1</v>
      </c>
      <c r="I140" s="3" t="str">
        <f>IFERROR(__xludf.DUMMYFUNCTION("""COMPUTED_VALUE"""),"NCI-ISBI 2013")</f>
        <v>NCI-ISBI 2013</v>
      </c>
      <c r="J140" s="3" t="str">
        <f>IFERROR(__xludf.DUMMYFUNCTION("""COMPUTED_VALUE"""),"MRI (T2-weighted)")</f>
        <v>MRI (T2-weighted)</v>
      </c>
      <c r="K140" s="3" t="str">
        <f>IFERROR(__xludf.DUMMYFUNCTION("""COMPUTED_VALUE"""),"/mnt/data-nas/medical_datasets/ISBI-MR-Prostate-2013")</f>
        <v>/mnt/data-nas/medical_datasets/ISBI-MR-Prostate-2013</v>
      </c>
    </row>
    <row r="141">
      <c r="A141" s="2" t="b">
        <v>1</v>
      </c>
      <c r="B141" s="2" t="s">
        <v>932</v>
      </c>
      <c r="C141" s="3" t="s">
        <v>60</v>
      </c>
      <c r="D141" s="2" t="s">
        <v>5135</v>
      </c>
      <c r="E141" s="3" t="str">
        <f t="shared" si="4"/>
        <v>/mnt/data-nas/med_anant/MedSeg.zip</v>
      </c>
      <c r="H141" s="3" t="b">
        <f>IFERROR(__xludf.DUMMYFUNCTION("""COMPUTED_VALUE"""),TRUE)</f>
        <v>1</v>
      </c>
      <c r="I141" s="3" t="str">
        <f>IFERROR(__xludf.DUMMYFUNCTION("""COMPUTED_VALUE"""),"Prostate-3T")</f>
        <v>Prostate-3T</v>
      </c>
      <c r="J141" s="3" t="str">
        <f>IFERROR(__xludf.DUMMYFUNCTION("""COMPUTED_VALUE"""),"MRI (T2-weighted)")</f>
        <v>MRI (T2-weighted)</v>
      </c>
      <c r="K141" s="3" t="str">
        <f>IFERROR(__xludf.DUMMYFUNCTION("""COMPUTED_VALUE"""),"/mnt/data-nas/medical_datasets/Prostate-3T")</f>
        <v>/mnt/data-nas/medical_datasets/Prostate-3T</v>
      </c>
    </row>
    <row r="142">
      <c r="A142" s="2" t="b">
        <v>1</v>
      </c>
      <c r="B142" s="2" t="s">
        <v>945</v>
      </c>
      <c r="C142" s="3" t="s">
        <v>60</v>
      </c>
      <c r="D142" s="2" t="s">
        <v>944</v>
      </c>
      <c r="E142" s="3" t="str">
        <f t="shared" si="4"/>
        <v>/mnt/data-nas/medical_datasets/MELA</v>
      </c>
      <c r="H142" s="3" t="b">
        <f>IFERROR(__xludf.DUMMYFUNCTION("""COMPUTED_VALUE"""),TRUE)</f>
        <v>1</v>
      </c>
      <c r="I142" s="3" t="str">
        <f>IFERROR(__xludf.DUMMYFUNCTION("""COMPUTED_VALUE"""),"PROSTATE-DIAGNOSIS")</f>
        <v>PROSTATE-DIAGNOSIS</v>
      </c>
      <c r="J142" s="3" t="str">
        <f>IFERROR(__xludf.DUMMYFUNCTION("""COMPUTED_VALUE"""),"MRI (T1, T2, DCE)")</f>
        <v>MRI (T1, T2, DCE)</v>
      </c>
      <c r="K142" s="3" t="str">
        <f>IFERROR(__xludf.DUMMYFUNCTION("""COMPUTED_VALUE"""),"/mnt/data-nas/medical_datasets/PROSTATE-DIAGNOSIS")</f>
        <v>/mnt/data-nas/medical_datasets/PROSTATE-DIAGNOSIS</v>
      </c>
    </row>
    <row r="143">
      <c r="A143" s="2" t="b">
        <v>1</v>
      </c>
      <c r="B143" s="2" t="s">
        <v>953</v>
      </c>
      <c r="C143" s="3" t="s">
        <v>60</v>
      </c>
      <c r="D143" s="2" t="s">
        <v>952</v>
      </c>
      <c r="E143" s="3" t="str">
        <f t="shared" si="4"/>
        <v>/mnt/data-nas/med_anant/TCIA-DICOM/MIDRC-RICORD-1A
</v>
      </c>
      <c r="H143" s="3" t="b">
        <f>IFERROR(__xludf.DUMMYFUNCTION("""COMPUTED_VALUE"""),TRUE)</f>
        <v>1</v>
      </c>
      <c r="I143" s="3" t="str">
        <f>IFERROR(__xludf.DUMMYFUNCTION("""COMPUTED_VALUE"""),"PROSTATEx")</f>
        <v>PROSTATEx</v>
      </c>
      <c r="J143" s="3" t="str">
        <f>IFERROR(__xludf.DUMMYFUNCTION("""COMPUTED_VALUE"""),"MRI (multi-parametric)")</f>
        <v>MRI (multi-parametric)</v>
      </c>
      <c r="K143" s="3" t="str">
        <f>IFERROR(__xludf.DUMMYFUNCTION("""COMPUTED_VALUE"""),"/mnt/data-nas/medical_datasets/PROSTATEx")</f>
        <v>/mnt/data-nas/medical_datasets/PROSTATEx</v>
      </c>
    </row>
    <row r="144">
      <c r="A144" s="2" t="b">
        <v>1</v>
      </c>
      <c r="B144" s="2" t="s">
        <v>964</v>
      </c>
      <c r="C144" s="3" t="s">
        <v>60</v>
      </c>
      <c r="D144" s="2" t="s">
        <v>963</v>
      </c>
      <c r="E144" s="3" t="str">
        <f t="shared" si="4"/>
        <v>/mnt/data-nas/med_anant/TCIA-DICOM/MIDRC-RICORD-1B
</v>
      </c>
      <c r="H144" s="3" t="b">
        <f>IFERROR(__xludf.DUMMYFUNCTION("""COMPUTED_VALUE"""),TRUE)</f>
        <v>1</v>
      </c>
      <c r="I144" s="3" t="str">
        <f>IFERROR(__xludf.DUMMYFUNCTION("""COMPUTED_VALUE"""),"Learn2Reg 2024")</f>
        <v>Learn2Reg 2024</v>
      </c>
      <c r="J144" s="3" t="str">
        <f>IFERROR(__xludf.DUMMYFUNCTION("""COMPUTED_VALUE"""),"MRI, Ultrasound, SHG, BF, EM")</f>
        <v>MRI, Ultrasound, SHG, BF, EM</v>
      </c>
      <c r="K144" s="3" t="str">
        <f>IFERROR(__xludf.DUMMYFUNCTION("""COMPUTED_VALUE"""),"/mnt/data-nas/medical_datasets/ThoraxCBCT.zip")</f>
        <v>/mnt/data-nas/medical_datasets/ThoraxCBCT.zip</v>
      </c>
    </row>
    <row r="145">
      <c r="A145" s="2" t="b">
        <v>1</v>
      </c>
      <c r="B145" s="2" t="s">
        <v>973</v>
      </c>
      <c r="C145" s="3" t="s">
        <v>848</v>
      </c>
      <c r="D145" s="2" t="s">
        <v>972</v>
      </c>
      <c r="E145" s="3" t="str">
        <f t="shared" si="4"/>
        <v>/mnt/data-nas/med_anant/TCIA-DICOM/MIDRC-RICORD-1C
</v>
      </c>
      <c r="H145" s="3" t="b">
        <f>IFERROR(__xludf.DUMMYFUNCTION("""COMPUTED_VALUE"""),TRUE)</f>
        <v>1</v>
      </c>
      <c r="I145" s="3" t="str">
        <f>IFERROR(__xludf.DUMMYFUNCTION("""COMPUTED_VALUE"""),"MedSeg")</f>
        <v>MedSeg</v>
      </c>
      <c r="J145" s="3" t="str">
        <f>IFERROR(__xludf.DUMMYFUNCTION("""COMPUTED_VALUE"""),"CT &amp; MRI")</f>
        <v>CT &amp; MRI</v>
      </c>
      <c r="K145" s="3" t="str">
        <f>IFERROR(__xludf.DUMMYFUNCTION("""COMPUTED_VALUE"""),"/mnt/data-nas/medical_datasets/medseg.zip")</f>
        <v>/mnt/data-nas/medical_datasets/medseg.zip</v>
      </c>
    </row>
    <row r="146">
      <c r="A146" s="2" t="b">
        <v>0</v>
      </c>
      <c r="B146" s="2" t="s">
        <v>981</v>
      </c>
      <c r="C146" s="3" t="s">
        <v>982</v>
      </c>
      <c r="E146" s="3" t="str">
        <f t="shared" si="4"/>
        <v/>
      </c>
      <c r="H146" s="3" t="b">
        <f>IFERROR(__xludf.DUMMYFUNCTION("""COMPUTED_VALUE"""),TRUE)</f>
        <v>1</v>
      </c>
      <c r="I146" s="3" t="str">
        <f>IFERROR(__xludf.DUMMYFUNCTION("""COMPUTED_VALUE"""),"MRIdata")</f>
        <v>MRIdata</v>
      </c>
      <c r="J146" s="3" t="str">
        <f>IFERROR(__xludf.DUMMYFUNCTION("""COMPUTED_VALUE"""),"MRI (raw)")</f>
        <v>MRI (raw)</v>
      </c>
      <c r="K146" s="3" t="str">
        <f>IFERROR(__xludf.DUMMYFUNCTION("""COMPUTED_VALUE"""),"/mnt/data-nas/medical_datasets/mridata")</f>
        <v>/mnt/data-nas/medical_datasets/mridata</v>
      </c>
    </row>
    <row r="147">
      <c r="A147" s="2" t="b">
        <v>1</v>
      </c>
      <c r="B147" s="2" t="s">
        <v>991</v>
      </c>
      <c r="C147" s="3" t="s">
        <v>848</v>
      </c>
      <c r="D147" s="2" t="s">
        <v>5136</v>
      </c>
      <c r="E147" s="3" t="str">
        <f t="shared" si="4"/>
        <v>/mnt/data-nas/med_anant/dataset_node21.zip</v>
      </c>
      <c r="H147" s="3" t="b">
        <f>IFERROR(__xludf.DUMMYFUNCTION("""COMPUTED_VALUE"""),TRUE)</f>
        <v>1</v>
      </c>
      <c r="I147" s="3" t="str">
        <f>IFERROR(__xludf.DUMMYFUNCTION("""COMPUTED_VALUE"""),"Soft-tissue-Sarcoma")</f>
        <v>Soft-tissue-Sarcoma</v>
      </c>
      <c r="J147" s="3" t="str">
        <f>IFERROR(__xludf.DUMMYFUNCTION("""COMPUTED_VALUE"""),"PET/CT, MRI")</f>
        <v>PET/CT, MRI</v>
      </c>
      <c r="K147" s="3" t="str">
        <f>IFERROR(__xludf.DUMMYFUNCTION("""COMPUTED_VALUE"""),"/mnt/data-nas/medical_datasets/Soft-tissue-Sarcoma")</f>
        <v>/mnt/data-nas/medical_datasets/Soft-tissue-Sarcoma</v>
      </c>
    </row>
    <row r="148">
      <c r="A148" s="2" t="b">
        <v>0</v>
      </c>
      <c r="B148" s="2" t="s">
        <v>1000</v>
      </c>
      <c r="C148" s="3" t="s">
        <v>1001</v>
      </c>
      <c r="E148" s="3" t="str">
        <f t="shared" si="4"/>
        <v/>
      </c>
      <c r="H148" s="3" t="b">
        <f>IFERROR(__xludf.DUMMYFUNCTION("""COMPUTED_VALUE"""),TRUE)</f>
        <v>1</v>
      </c>
      <c r="I148" s="3" t="str">
        <f>IFERROR(__xludf.DUMMYFUNCTION("""COMPUTED_VALUE"""),"TCGA-SARC")</f>
        <v>TCGA-SARC</v>
      </c>
      <c r="J148" s="3" t="str">
        <f>IFERROR(__xludf.DUMMYFUNCTION("""COMPUTED_VALUE"""),"CT, MRI")</f>
        <v>CT, MRI</v>
      </c>
      <c r="K148" s="3" t="str">
        <f>IFERROR(__xludf.DUMMYFUNCTION("""COMPUTED_VALUE"""),"/mnt/data-nas/medical_datasets/TCGA-SARC")</f>
        <v>/mnt/data-nas/medical_datasets/TCGA-SARC</v>
      </c>
    </row>
    <row r="149">
      <c r="A149" s="2" t="b">
        <v>0</v>
      </c>
      <c r="B149" s="2" t="s">
        <v>1009</v>
      </c>
      <c r="C149" s="3" t="s">
        <v>1001</v>
      </c>
      <c r="E149" s="3" t="str">
        <f t="shared" si="4"/>
        <v/>
      </c>
      <c r="H149" s="3" t="b">
        <f>IFERROR(__xludf.DUMMYFUNCTION("""COMPUTED_VALUE"""),TRUE)</f>
        <v>1</v>
      </c>
      <c r="I149" s="3" t="str">
        <f>IFERROR(__xludf.DUMMYFUNCTION("""COMPUTED_VALUE"""),"ICDC-Glioma")</f>
        <v>ICDC-Glioma</v>
      </c>
      <c r="J149" s="3" t="str">
        <f>IFERROR(__xludf.DUMMYFUNCTION("""COMPUTED_VALUE"""),"MRI, Histopathology")</f>
        <v>MRI, Histopathology</v>
      </c>
      <c r="K149" s="3" t="str">
        <f>IFERROR(__xludf.DUMMYFUNCTION("""COMPUTED_VALUE"""),"/mnt/data-nas/medical_datasets/ICDC-Glioma")</f>
        <v>/mnt/data-nas/medical_datasets/ICDC-Glioma</v>
      </c>
    </row>
    <row r="150">
      <c r="A150" s="2" t="b">
        <v>1</v>
      </c>
      <c r="B150" s="2" t="s">
        <v>1017</v>
      </c>
      <c r="C150" s="3" t="s">
        <v>60</v>
      </c>
      <c r="D150" s="2" t="s">
        <v>1016</v>
      </c>
      <c r="E150" s="3" t="str">
        <f t="shared" si="4"/>
        <v>/mnt/data-nas/medical_datasets/TCIA-DICOM/NSCLC-Radiomics</v>
      </c>
      <c r="H150" s="3" t="b">
        <f>IFERROR(__xludf.DUMMYFUNCTION("""COMPUTED_VALUE"""),TRUE)</f>
        <v>1</v>
      </c>
      <c r="I150" s="3" t="str">
        <f>IFERROR(__xludf.DUMMYFUNCTION("""COMPUTED_VALUE"""),"Mouse-Astrocytoma")</f>
        <v>Mouse-Astrocytoma</v>
      </c>
      <c r="J150" s="3" t="str">
        <f>IFERROR(__xludf.DUMMYFUNCTION("""COMPUTED_VALUE"""),"MRI")</f>
        <v>MRI</v>
      </c>
      <c r="K150" s="3" t="str">
        <f>IFERROR(__xludf.DUMMYFUNCTION("""COMPUTED_VALUE"""),"/mnt/data-nas/medical_datasets/Mouse-Astrocytoma")</f>
        <v>/mnt/data-nas/medical_datasets/Mouse-Astrocytoma</v>
      </c>
    </row>
    <row r="151">
      <c r="A151" s="2" t="b">
        <v>1</v>
      </c>
      <c r="B151" s="2" t="s">
        <v>1027</v>
      </c>
      <c r="C151" s="3" t="s">
        <v>60</v>
      </c>
      <c r="D151" s="2" t="s">
        <v>1026</v>
      </c>
      <c r="E151" s="3" t="str">
        <f t="shared" si="4"/>
        <v>/mnt/data-nas/medical_datasets/TCIA-DICOM/NSCLC-Radiomics-Interobserver1</v>
      </c>
      <c r="H151" s="3" t="b">
        <f>IFERROR(__xludf.DUMMYFUNCTION("""COMPUTED_VALUE"""),TRUE)</f>
        <v>1</v>
      </c>
      <c r="I151" s="3" t="str">
        <f>IFERROR(__xludf.DUMMYFUNCTION("""COMPUTED_VALUE"""),"Mouse Brain atlas")</f>
        <v>Mouse Brain atlas</v>
      </c>
      <c r="J151" s="3" t="str">
        <f>IFERROR(__xludf.DUMMYFUNCTION("""COMPUTED_VALUE"""),"MRI")</f>
        <v>MRI</v>
      </c>
      <c r="K151" s="3" t="str">
        <f>IFERROR(__xludf.DUMMYFUNCTION("""COMPUTED_VALUE"""),"/mnt/data-nas/medical_datasets/mouse-brain-atlas")</f>
        <v>/mnt/data-nas/medical_datasets/mouse-brain-atlas</v>
      </c>
    </row>
    <row r="152">
      <c r="A152" s="2" t="b">
        <v>0</v>
      </c>
      <c r="B152" s="2" t="s">
        <v>1037</v>
      </c>
      <c r="C152" s="3" t="s">
        <v>60</v>
      </c>
      <c r="E152" s="3" t="str">
        <f t="shared" si="4"/>
        <v/>
      </c>
      <c r="H152" s="3" t="b">
        <f>IFERROR(__xludf.DUMMYFUNCTION("""COMPUTED_VALUE"""),TRUE)</f>
        <v>1</v>
      </c>
      <c r="I152" s="3" t="str">
        <f>IFERROR(__xludf.DUMMYFUNCTION("""COMPUTED_VALUE"""),"Mouse-Mammary")</f>
        <v>Mouse-Mammary</v>
      </c>
      <c r="J152" s="3" t="str">
        <f>IFERROR(__xludf.DUMMYFUNCTION("""COMPUTED_VALUE"""),"MRI")</f>
        <v>MRI</v>
      </c>
      <c r="K152" s="3" t="str">
        <f>IFERROR(__xludf.DUMMYFUNCTION("""COMPUTED_VALUE"""),"/mnt/data-nas/medical_datasets/Mouse-Mammary")</f>
        <v>/mnt/data-nas/medical_datasets/Mouse-Mammary</v>
      </c>
    </row>
    <row r="153">
      <c r="A153" s="2" t="b">
        <v>1</v>
      </c>
      <c r="B153" s="2" t="s">
        <v>1046</v>
      </c>
      <c r="C153" s="3" t="s">
        <v>848</v>
      </c>
      <c r="D153" s="2" t="s">
        <v>5137</v>
      </c>
      <c r="E153" s="3" t="str">
        <f t="shared" si="4"/>
        <v>/mnt/data-nas/med_anant/pulmonary-chest-xray-abnormalities.zip</v>
      </c>
      <c r="H153" s="3" t="b">
        <f>IFERROR(__xludf.DUMMYFUNCTION("""COMPUTED_VALUE"""),TRUE)</f>
        <v>1</v>
      </c>
      <c r="I153" s="3" t="str">
        <f>IFERROR(__xludf.DUMMYFUNCTION("""COMPUTED_VALUE"""),"HVSMR")</f>
        <v>HVSMR</v>
      </c>
      <c r="J153" s="3" t="str">
        <f>IFERROR(__xludf.DUMMYFUNCTION("""COMPUTED_VALUE"""),"MRI")</f>
        <v>MRI</v>
      </c>
      <c r="K153" s="3" t="str">
        <f>IFERROR(__xludf.DUMMYFUNCTION("""COMPUTED_VALUE"""),"/mnt/data-nas/medical_datasets/HVSMR.zip")</f>
        <v>/mnt/data-nas/medical_datasets/HVSMR.zip</v>
      </c>
    </row>
    <row r="154">
      <c r="A154" s="2" t="b">
        <v>1</v>
      </c>
      <c r="B154" s="2" t="s">
        <v>1056</v>
      </c>
      <c r="C154" s="3" t="s">
        <v>60</v>
      </c>
      <c r="D154" s="50" t="s">
        <v>1055</v>
      </c>
      <c r="E154" s="3" t="str">
        <f t="shared" si="4"/>
        <v>/mnt/data-nas/medical_datasets/TCIA-DICOM/RIDER_LUNG_CT</v>
      </c>
      <c r="H154" s="3" t="b">
        <f>IFERROR(__xludf.DUMMYFUNCTION("""COMPUTED_VALUE"""),TRUE)</f>
        <v>1</v>
      </c>
      <c r="I154" s="3" t="str">
        <f>IFERROR(__xludf.DUMMYFUNCTION("""COMPUTED_VALUE"""),"ACDC")</f>
        <v>ACDC</v>
      </c>
      <c r="J154" s="3" t="str">
        <f>IFERROR(__xludf.DUMMYFUNCTION("""COMPUTED_VALUE"""),"MRI")</f>
        <v>MRI</v>
      </c>
      <c r="K154" s="3" t="str">
        <f>IFERROR(__xludf.DUMMYFUNCTION("""COMPUTED_VALUE"""),"/mnt/data-nas/medical_datasets/ACDC.zip")</f>
        <v>/mnt/data-nas/medical_datasets/ACDC.zip</v>
      </c>
    </row>
    <row r="155">
      <c r="A155" s="2" t="b">
        <v>0</v>
      </c>
      <c r="B155" s="2" t="s">
        <v>1066</v>
      </c>
      <c r="C155" s="3" t="s">
        <v>848</v>
      </c>
      <c r="E155" s="3" t="str">
        <f t="shared" si="4"/>
        <v/>
      </c>
      <c r="H155" s="3" t="b">
        <f>IFERROR(__xludf.DUMMYFUNCTION("""COMPUTED_VALUE"""),TRUE)</f>
        <v>1</v>
      </c>
      <c r="I155" s="3" t="str">
        <f>IFERROR(__xludf.DUMMYFUNCTION("""COMPUTED_VALUE"""),"MSD Cardiac")</f>
        <v>MSD Cardiac</v>
      </c>
      <c r="J155" s="3" t="str">
        <f>IFERROR(__xludf.DUMMYFUNCTION("""COMPUTED_VALUE"""),"MRI")</f>
        <v>MRI</v>
      </c>
      <c r="K155" s="3" t="str">
        <f>IFERROR(__xludf.DUMMYFUNCTION("""COMPUTED_VALUE"""),"/mnt/data-nas/medical_datasets/MSD")</f>
        <v>/mnt/data-nas/medical_datasets/MSD</v>
      </c>
    </row>
    <row r="156">
      <c r="A156" s="2" t="b">
        <v>0</v>
      </c>
      <c r="B156" s="2" t="s">
        <v>1075</v>
      </c>
      <c r="C156" s="3" t="s">
        <v>1076</v>
      </c>
      <c r="E156" s="3" t="str">
        <f t="shared" si="4"/>
        <v/>
      </c>
      <c r="H156" s="3" t="b">
        <f>IFERROR(__xludf.DUMMYFUNCTION("""COMPUTED_VALUE"""),TRUE)</f>
        <v>1</v>
      </c>
      <c r="I156" s="3" t="str">
        <f>IFERROR(__xludf.DUMMYFUNCTION("""COMPUTED_VALUE"""),"M&amp;Ms Challenge")</f>
        <v>M&amp;Ms Challenge</v>
      </c>
      <c r="J156" s="3" t="str">
        <f>IFERROR(__xludf.DUMMYFUNCTION("""COMPUTED_VALUE"""),"Cmri")</f>
        <v>Cmri</v>
      </c>
      <c r="K156" s="3" t="str">
        <f>IFERROR(__xludf.DUMMYFUNCTION("""COMPUTED_VALUE"""),"/mnt/data-nas/medical_datasets/MAndMs.zip")</f>
        <v>/mnt/data-nas/medical_datasets/MAndMs.zip</v>
      </c>
    </row>
    <row r="157">
      <c r="A157" s="2" t="b">
        <v>1</v>
      </c>
      <c r="B157" s="2" t="s">
        <v>1085</v>
      </c>
      <c r="D157" s="50" t="s">
        <v>5138</v>
      </c>
      <c r="E157" s="3" t="str">
        <f t="shared" si="4"/>
        <v>/mnt/data-nas/med_anant/shcxr-lung-mask.zip</v>
      </c>
      <c r="H157" s="3" t="b">
        <f>IFERROR(__xludf.DUMMYFUNCTION("""COMPUTED_VALUE"""),TRUE)</f>
        <v>1</v>
      </c>
      <c r="I157" s="3" t="str">
        <f>IFERROR(__xludf.DUMMYFUNCTION("""COMPUTED_VALUE"""),"EMIDEC")</f>
        <v>EMIDEC</v>
      </c>
      <c r="J157" s="3" t="str">
        <f>IFERROR(__xludf.DUMMYFUNCTION("""COMPUTED_VALUE"""),"De-mri")</f>
        <v>De-mri</v>
      </c>
      <c r="K157" s="3" t="str">
        <f>IFERROR(__xludf.DUMMYFUNCTION("""COMPUTED_VALUE"""),"/mnt/data-nas/medical_datasets/EMIDEC")</f>
        <v>/mnt/data-nas/medical_datasets/EMIDEC</v>
      </c>
    </row>
    <row r="158">
      <c r="A158" s="2" t="b">
        <v>1</v>
      </c>
      <c r="B158" s="2" t="s">
        <v>1087</v>
      </c>
      <c r="C158" s="3" t="s">
        <v>33</v>
      </c>
      <c r="D158" s="50" t="s">
        <v>741</v>
      </c>
      <c r="E158" s="3" t="str">
        <f t="shared" si="4"/>
        <v>/mnt/data-nas/med_anant/SIIM-ACR Pneumothorax Segmentation</v>
      </c>
      <c r="H158" s="3" t="b">
        <f>IFERROR(__xludf.DUMMYFUNCTION("""COMPUTED_VALUE"""),TRUE)</f>
        <v>1</v>
      </c>
      <c r="I158" s="3" t="str">
        <f>IFERROR(__xludf.DUMMYFUNCTION("""COMPUTED_VALUE"""),"CMRxMotion")</f>
        <v>CMRxMotion</v>
      </c>
      <c r="J158" s="3" t="str">
        <f>IFERROR(__xludf.DUMMYFUNCTION("""COMPUTED_VALUE"""),"MRI")</f>
        <v>MRI</v>
      </c>
      <c r="K158" s="3" t="str">
        <f>IFERROR(__xludf.DUMMYFUNCTION("""COMPUTED_VALUE"""),"/mnt/data-nas/medical_datasets/CMRxMotion")</f>
        <v>/mnt/data-nas/medical_datasets/CMRxMotion</v>
      </c>
    </row>
    <row r="159">
      <c r="A159" s="2" t="b">
        <v>1</v>
      </c>
      <c r="B159" s="2" t="s">
        <v>1091</v>
      </c>
      <c r="C159" s="3" t="s">
        <v>60</v>
      </c>
      <c r="D159" s="2" t="s">
        <v>5139</v>
      </c>
      <c r="E159" s="3" t="str">
        <f t="shared" si="4"/>
        <v>/mnt/data-nas/med_anant/SIMBA</v>
      </c>
      <c r="H159" s="3" t="b">
        <f>IFERROR(__xludf.DUMMYFUNCTION("""COMPUTED_VALUE"""),TRUE)</f>
        <v>1</v>
      </c>
      <c r="I159" s="3" t="str">
        <f>IFERROR(__xludf.DUMMYFUNCTION("""COMPUTED_VALUE"""),"AMRG Cardiac Atlas")</f>
        <v>AMRG Cardiac Atlas</v>
      </c>
      <c r="J159" s="3" t="str">
        <f>IFERROR(__xludf.DUMMYFUNCTION("""COMPUTED_VALUE"""),"MRI (Cine, T1, Phase Contrast, Tagging)")</f>
        <v>MRI (Cine, T1, Phase Contrast, Tagging)</v>
      </c>
      <c r="K159" s="3" t="str">
        <f>IFERROR(__xludf.DUMMYFUNCTION("""COMPUTED_VALUE"""),"/mnt/data-nas/medical_datasets/amrgatlas.zip")</f>
        <v>/mnt/data-nas/medical_datasets/amrgatlas.zip</v>
      </c>
    </row>
    <row r="160">
      <c r="A160" s="2" t="b">
        <v>1</v>
      </c>
      <c r="B160" s="2" t="s">
        <v>1098</v>
      </c>
      <c r="C160" s="3" t="s">
        <v>60</v>
      </c>
      <c r="D160" s="2" t="s">
        <v>1097</v>
      </c>
      <c r="E160" s="3" t="str">
        <f t="shared" si="4"/>
        <v>/mnt/data-nas/medical_datasets/TCIA-DICOM/SPIE-AAPM</v>
      </c>
      <c r="H160" s="3" t="b">
        <f>IFERROR(__xludf.DUMMYFUNCTION("""COMPUTED_VALUE"""),TRUE)</f>
        <v>1</v>
      </c>
      <c r="I160" s="3" t="str">
        <f>IFERROR(__xludf.DUMMYFUNCTION("""COMPUTED_VALUE"""),"Atria Segmentaion 2018")</f>
        <v>Atria Segmentaion 2018</v>
      </c>
      <c r="J160" s="3" t="str">
        <f>IFERROR(__xludf.DUMMYFUNCTION("""COMPUTED_VALUE"""),"MRI (GE-MRI)")</f>
        <v>MRI (GE-MRI)</v>
      </c>
      <c r="K160" s="3" t="str">
        <f>IFERROR(__xludf.DUMMYFUNCTION("""COMPUTED_VALUE"""),"/mnt/data-nas/medical_datasets/AtriaSegmentation.zip")</f>
        <v>/mnt/data-nas/medical_datasets/AtriaSegmentation.zip</v>
      </c>
    </row>
    <row r="161">
      <c r="A161" s="2" t="b">
        <v>0</v>
      </c>
      <c r="B161" s="2" t="s">
        <v>1104</v>
      </c>
      <c r="C161" s="3" t="s">
        <v>60</v>
      </c>
      <c r="E161" s="3" t="str">
        <f t="shared" si="4"/>
        <v/>
      </c>
      <c r="H161" s="3" t="b">
        <f>IFERROR(__xludf.DUMMYFUNCTION("""COMPUTED_VALUE"""),TRUE)</f>
        <v>1</v>
      </c>
      <c r="I161" s="3" t="str">
        <f>IFERROR(__xludf.DUMMYFUNCTION("""COMPUTED_VALUE"""),"CDEMRIS")</f>
        <v>CDEMRIS</v>
      </c>
      <c r="J161" s="3" t="str">
        <f>IFERROR(__xludf.DUMMYFUNCTION("""COMPUTED_VALUE"""),"MRI (LGE CMR)")</f>
        <v>MRI (LGE CMR)</v>
      </c>
      <c r="K161" s="3" t="str">
        <f>IFERROR(__xludf.DUMMYFUNCTION("""COMPUTED_VALUE"""),"/mnt/data-nas/medical_datasets/CDEMRIS")</f>
        <v>/mnt/data-nas/medical_datasets/CDEMRIS</v>
      </c>
    </row>
    <row r="162">
      <c r="A162" s="2" t="b">
        <v>1</v>
      </c>
      <c r="B162" s="2" t="s">
        <v>1111</v>
      </c>
      <c r="C162" s="3" t="s">
        <v>1112</v>
      </c>
      <c r="D162" s="2" t="s">
        <v>1110</v>
      </c>
      <c r="E162" s="3" t="str">
        <f t="shared" si="4"/>
        <v>/mnt/data-nas/medical_datasets/TCIA-DICOM/TCGA-LUAD</v>
      </c>
      <c r="H162" s="3" t="b">
        <f>IFERROR(__xludf.DUMMYFUNCTION("""COMPUTED_VALUE"""),TRUE)</f>
        <v>1</v>
      </c>
      <c r="I162" s="3" t="str">
        <f>IFERROR(__xludf.DUMMYFUNCTION("""COMPUTED_VALUE"""),"LASC13")</f>
        <v>LASC13</v>
      </c>
      <c r="J162" s="3" t="str">
        <f>IFERROR(__xludf.DUMMYFUNCTION("""COMPUTED_VALUE"""),"MRI (LGE)")</f>
        <v>MRI (LGE)</v>
      </c>
      <c r="K162" s="3" t="str">
        <f>IFERROR(__xludf.DUMMYFUNCTION("""COMPUTED_VALUE"""),"/mnt/data-nas/medical_datasets/LASC13")</f>
        <v>/mnt/data-nas/medical_datasets/LASC13</v>
      </c>
    </row>
    <row r="163">
      <c r="A163" s="2" t="b">
        <v>1</v>
      </c>
      <c r="B163" s="2" t="s">
        <v>1119</v>
      </c>
      <c r="C163" s="3" t="s">
        <v>1120</v>
      </c>
      <c r="D163" s="2" t="s">
        <v>1118</v>
      </c>
      <c r="E163" s="3" t="str">
        <f t="shared" si="4"/>
        <v>/mnt/data-nas/medical_datasets/TCIA-DICOM/4D-Lung</v>
      </c>
      <c r="H163" s="3" t="b">
        <f>IFERROR(__xludf.DUMMYFUNCTION("""COMPUTED_VALUE"""),TRUE)</f>
        <v>1</v>
      </c>
      <c r="I163" s="3" t="str">
        <f>IFERROR(__xludf.DUMMYFUNCTION("""COMPUTED_VALUE"""),"LivScar")</f>
        <v>LivScar</v>
      </c>
      <c r="J163" s="3" t="str">
        <f>IFERROR(__xludf.DUMMYFUNCTION("""COMPUTED_VALUE"""),"MRI (cine SSFP)")</f>
        <v>MRI (cine SSFP)</v>
      </c>
      <c r="K163" s="3" t="str">
        <f>IFERROR(__xludf.DUMMYFUNCTION("""COMPUTED_VALUE"""),"/mnt/data-nas/medical_datasets/LivScar")</f>
        <v>/mnt/data-nas/medical_datasets/LivScar</v>
      </c>
    </row>
    <row r="164">
      <c r="A164" s="2" t="b">
        <v>1</v>
      </c>
      <c r="B164" s="2" t="s">
        <v>1127</v>
      </c>
      <c r="C164" s="3" t="s">
        <v>60</v>
      </c>
      <c r="D164" s="2" t="s">
        <v>5140</v>
      </c>
      <c r="E164" s="3" t="str">
        <f t="shared" si="4"/>
        <v>/mnt/data-nas/med_anant/I-ELCAP</v>
      </c>
      <c r="H164" s="3" t="b">
        <f>IFERROR(__xludf.DUMMYFUNCTION("""COMPUTED_VALUE"""),TRUE)</f>
        <v>1</v>
      </c>
      <c r="I164" s="3" t="str">
        <f>IFERROR(__xludf.DUMMYFUNCTION("""COMPUTED_VALUE"""),"M&amp;Ms-2")</f>
        <v>M&amp;Ms-2</v>
      </c>
      <c r="J164" s="3" t="str">
        <f>IFERROR(__xludf.DUMMYFUNCTION("""COMPUTED_VALUE"""),"MRI (LGE CMR)")</f>
        <v>MRI (LGE CMR)</v>
      </c>
      <c r="K164" s="3" t="str">
        <f>IFERROR(__xludf.DUMMYFUNCTION("""COMPUTED_VALUE"""),"/mnt/data-nas/medical_datasets/MnM2.rar")</f>
        <v>/mnt/data-nas/medical_datasets/MnM2.rar</v>
      </c>
    </row>
    <row r="165">
      <c r="A165" s="2" t="b">
        <v>0</v>
      </c>
      <c r="B165" s="2" t="s">
        <v>1129</v>
      </c>
      <c r="C165" s="3" t="s">
        <v>33</v>
      </c>
      <c r="E165" s="3" t="str">
        <f t="shared" si="4"/>
        <v/>
      </c>
      <c r="H165" s="3" t="b">
        <f>IFERROR(__xludf.DUMMYFUNCTION("""COMPUTED_VALUE"""),TRUE)</f>
        <v>1</v>
      </c>
      <c r="I165" s="3" t="str">
        <f>IFERROR(__xludf.DUMMYFUNCTION("""COMPUTED_VALUE"""),"RadFusion")</f>
        <v>RadFusion</v>
      </c>
      <c r="J165" s="3" t="str">
        <f>IFERROR(__xludf.DUMMYFUNCTION("""COMPUTED_VALUE"""),"MRI (cine)")</f>
        <v>MRI (cine)</v>
      </c>
      <c r="K165" s="3" t="str">
        <f>IFERROR(__xludf.DUMMYFUNCTION("""COMPUTED_VALUE"""),"/mnt/data-nas/medical_datasets/RadFusion")</f>
        <v>/mnt/data-nas/medical_datasets/RadFusion</v>
      </c>
    </row>
    <row r="166">
      <c r="A166" s="16" t="b">
        <v>0</v>
      </c>
      <c r="B166" s="2" t="s">
        <v>1136</v>
      </c>
      <c r="C166" s="2" t="s">
        <v>1138</v>
      </c>
      <c r="D166" s="16"/>
      <c r="E166" s="3" t="str">
        <f t="shared" si="4"/>
        <v/>
      </c>
      <c r="H166" s="3" t="b">
        <f>IFERROR(__xludf.DUMMYFUNCTION("""COMPUTED_VALUE"""),TRUE)</f>
        <v>1</v>
      </c>
      <c r="I166" s="3" t="str">
        <f>IFERROR(__xludf.DUMMYFUNCTION("""COMPUTED_VALUE"""),"SCD")</f>
        <v>SCD</v>
      </c>
      <c r="J166" s="3" t="str">
        <f>IFERROR(__xludf.DUMMYFUNCTION("""COMPUTED_VALUE"""),"MRI (cine)")</f>
        <v>MRI (cine)</v>
      </c>
      <c r="K166" s="3" t="str">
        <f>IFERROR(__xludf.DUMMYFUNCTION("""COMPUTED_VALUE"""),"/mnt/data-nas/medical_datasets/SCD")</f>
        <v>/mnt/data-nas/medical_datasets/SCD</v>
      </c>
    </row>
    <row r="167">
      <c r="A167" s="4" t="b">
        <v>1</v>
      </c>
      <c r="B167" s="2" t="s">
        <v>1142</v>
      </c>
      <c r="C167" s="2" t="s">
        <v>1138</v>
      </c>
      <c r="D167" s="4" t="s">
        <v>1141</v>
      </c>
      <c r="E167" s="3" t="str">
        <f t="shared" si="4"/>
        <v>/mnt/data-nas/med_anant/OAISIS</v>
      </c>
      <c r="H167" s="3" t="b">
        <f>IFERROR(__xludf.DUMMYFUNCTION("""COMPUTED_VALUE"""),TRUE)</f>
        <v>1</v>
      </c>
      <c r="I167" s="3" t="str">
        <f>IFERROR(__xludf.DUMMYFUNCTION("""COMPUTED_VALUE"""),"Second Annual Data Science Bowl")</f>
        <v>Second Annual Data Science Bowl</v>
      </c>
      <c r="J167" s="3" t="str">
        <f>IFERROR(__xludf.DUMMYFUNCTION("""COMPUTED_VALUE"""),"MRI")</f>
        <v>MRI</v>
      </c>
      <c r="K167" s="3" t="str">
        <f>IFERROR(__xludf.DUMMYFUNCTION("""COMPUTED_VALUE"""),"/mnt/data-nas/medical_datasets/SADSB")</f>
        <v>/mnt/data-nas/medical_datasets/SADSB</v>
      </c>
    </row>
    <row r="168">
      <c r="A168" s="16" t="b">
        <v>0</v>
      </c>
      <c r="B168" s="2" t="s">
        <v>1148</v>
      </c>
      <c r="C168" s="2" t="s">
        <v>1149</v>
      </c>
      <c r="D168" s="16"/>
      <c r="E168" s="3" t="str">
        <f t="shared" si="4"/>
        <v/>
      </c>
      <c r="H168" s="3" t="b">
        <f>IFERROR(__xludf.DUMMYFUNCTION("""COMPUTED_VALUE"""),TRUE)</f>
        <v>1</v>
      </c>
      <c r="I168" s="3" t="str">
        <f>IFERROR(__xludf.DUMMYFUNCTION("""COMPUTED_VALUE"""),"SLAWT")</f>
        <v>SLAWT</v>
      </c>
      <c r="J168" s="3" t="str">
        <f>IFERROR(__xludf.DUMMYFUNCTION("""COMPUTED_VALUE"""),"MRI")</f>
        <v>MRI</v>
      </c>
      <c r="K168" s="3" t="str">
        <f>IFERROR(__xludf.DUMMYFUNCTION("""COMPUTED_VALUE"""),"/mnt/data-nas/medical_datasets/SLAWT")</f>
        <v>/mnt/data-nas/medical_datasets/SLAWT</v>
      </c>
    </row>
    <row r="169">
      <c r="A169" s="16" t="b">
        <v>0</v>
      </c>
      <c r="B169" s="2" t="s">
        <v>1152</v>
      </c>
      <c r="C169" s="2" t="s">
        <v>235</v>
      </c>
      <c r="D169" s="16"/>
      <c r="E169" s="3" t="str">
        <f t="shared" si="4"/>
        <v/>
      </c>
      <c r="H169" s="3" t="b">
        <f>IFERROR(__xludf.DUMMYFUNCTION("""COMPUTED_VALUE"""),TRUE)</f>
        <v>1</v>
      </c>
      <c r="I169" s="3" t="str">
        <f>IFERROR(__xludf.DUMMYFUNCTION("""COMPUTED_VALUE"""),"Lumbosacral Spine MRI Dataset")</f>
        <v>Lumbosacral Spine MRI Dataset</v>
      </c>
      <c r="J169" s="3" t="str">
        <f>IFERROR(__xludf.DUMMYFUNCTION("""COMPUTED_VALUE"""),"MRI")</f>
        <v>MRI</v>
      </c>
      <c r="K169" s="3" t="str">
        <f>IFERROR(__xludf.DUMMYFUNCTION("""COMPUTED_VALUE"""),"/mnt/data-nas/medical_datasets/LumbosacralSpineMRI")</f>
        <v>/mnt/data-nas/medical_datasets/LumbosacralSpineMRI</v>
      </c>
    </row>
    <row r="170">
      <c r="A170" s="16" t="b">
        <v>0</v>
      </c>
      <c r="B170" s="16" t="s">
        <v>1159</v>
      </c>
      <c r="C170" s="16" t="s">
        <v>235</v>
      </c>
      <c r="D170" s="16"/>
      <c r="E170" s="3" t="str">
        <f t="shared" si="4"/>
        <v/>
      </c>
      <c r="H170" s="3" t="b">
        <f>IFERROR(__xludf.DUMMYFUNCTION("""COMPUTED_VALUE"""),TRUE)</f>
        <v>1</v>
      </c>
      <c r="I170" s="3" t="str">
        <f>IFERROR(__xludf.DUMMYFUNCTION("""COMPUTED_VALUE"""),"2D-3D-GS")</f>
        <v>2D-3D-GS</v>
      </c>
      <c r="J170" s="3" t="str">
        <f>IFERROR(__xludf.DUMMYFUNCTION("""COMPUTED_VALUE"""),"CT; MRI; X-ray")</f>
        <v>CT; MRI; X-ray</v>
      </c>
      <c r="K170" s="3" t="str">
        <f>IFERROR(__xludf.DUMMYFUNCTION("""COMPUTED_VALUE"""),"/mnt/data-nas/medical_datasets/2D-3D-GS")</f>
        <v>/mnt/data-nas/medical_datasets/2D-3D-GS</v>
      </c>
    </row>
    <row r="171">
      <c r="A171" s="16" t="b">
        <v>0</v>
      </c>
      <c r="B171" s="16" t="s">
        <v>1165</v>
      </c>
      <c r="C171" s="16" t="s">
        <v>235</v>
      </c>
      <c r="D171" s="16"/>
      <c r="E171" s="3" t="str">
        <f t="shared" si="4"/>
        <v/>
      </c>
      <c r="H171" s="3" t="b">
        <f>IFERROR(__xludf.DUMMYFUNCTION("""COMPUTED_VALUE"""),TRUE)</f>
        <v>1</v>
      </c>
      <c r="I171" s="3" t="str">
        <f>IFERROR(__xludf.DUMMYFUNCTION("""COMPUTED_VALUE"""),"kneeMRI")</f>
        <v>kneeMRI</v>
      </c>
      <c r="J171" s="3" t="str">
        <f>IFERROR(__xludf.DUMMYFUNCTION("""COMPUTED_VALUE"""),"MRI")</f>
        <v>MRI</v>
      </c>
      <c r="K171" s="3" t="str">
        <f>IFERROR(__xludf.DUMMYFUNCTION("""COMPUTED_VALUE"""),"/mnt/data-nas/medical_datasets/kneemridataset.zip")</f>
        <v>/mnt/data-nas/medical_datasets/kneemridataset.zip</v>
      </c>
    </row>
    <row r="172">
      <c r="A172" s="4" t="b">
        <v>1</v>
      </c>
      <c r="B172" s="16" t="s">
        <v>1169</v>
      </c>
      <c r="C172" s="16" t="s">
        <v>108</v>
      </c>
      <c r="D172" s="50" t="s">
        <v>5141</v>
      </c>
      <c r="E172" s="3" t="str">
        <f t="shared" si="4"/>
        <v>/mnt/data-nas/med_anant/ddti-thyroid-ultrasound-images.zip</v>
      </c>
      <c r="H172" s="3" t="b">
        <f>IFERROR(__xludf.DUMMYFUNCTION("""COMPUTED_VALUE"""),TRUE)</f>
        <v>1</v>
      </c>
      <c r="I172" s="3" t="str">
        <f>IFERROR(__xludf.DUMMYFUNCTION("""COMPUTED_VALUE"""),"MRNet")</f>
        <v>MRNet</v>
      </c>
      <c r="J172" s="3" t="str">
        <f>IFERROR(__xludf.DUMMYFUNCTION("""COMPUTED_VALUE"""),"MRI")</f>
        <v>MRI</v>
      </c>
      <c r="K172" s="3" t="str">
        <f>IFERROR(__xludf.DUMMYFUNCTION("""COMPUTED_VALUE"""),"/mnt/data-nas/medical_datasets/MRNet.zip")</f>
        <v>/mnt/data-nas/medical_datasets/MRNet.zip</v>
      </c>
    </row>
    <row r="173">
      <c r="A173" s="4" t="b">
        <v>1</v>
      </c>
      <c r="B173" s="16" t="s">
        <v>1175</v>
      </c>
      <c r="C173" s="16" t="s">
        <v>108</v>
      </c>
      <c r="D173" s="4" t="s">
        <v>1174</v>
      </c>
      <c r="E173" s="3" t="str">
        <f t="shared" si="4"/>
        <v>/mnt/data-nas/med_anant/ultrasound_nerve_seg</v>
      </c>
      <c r="H173" s="3" t="b">
        <f>IFERROR(__xludf.DUMMYFUNCTION("""COMPUTED_VALUE"""),TRUE)</f>
        <v>1</v>
      </c>
      <c r="I173" s="3" t="str">
        <f>IFERROR(__xludf.DUMMYFUNCTION("""COMPUTED_VALUE"""),"SKM-TEA")</f>
        <v>SKM-TEA</v>
      </c>
      <c r="J173" s="3" t="str">
        <f>IFERROR(__xludf.DUMMYFUNCTION("""COMPUTED_VALUE"""),"MRI")</f>
        <v>MRI</v>
      </c>
      <c r="K173" s="3" t="str">
        <f>IFERROR(__xludf.DUMMYFUNCTION("""COMPUTED_VALUE"""),"/mnt/data-nas/medical_datasets/SKM-TEA")</f>
        <v>/mnt/data-nas/medical_datasets/SKM-TEA</v>
      </c>
    </row>
    <row r="174">
      <c r="A174" s="4" t="b">
        <v>1</v>
      </c>
      <c r="B174" s="16" t="s">
        <v>1179</v>
      </c>
      <c r="C174" s="16" t="s">
        <v>235</v>
      </c>
      <c r="D174" s="4" t="s">
        <v>1178</v>
      </c>
      <c r="E174" s="3" t="str">
        <f t="shared" si="4"/>
        <v>/mnt/data-nas/med_anant/TCIA/BraTS-TCGA-LGG</v>
      </c>
      <c r="H174" s="3" t="b">
        <f>IFERROR(__xludf.DUMMYFUNCTION("""COMPUTED_VALUE"""),TRUE)</f>
        <v>1</v>
      </c>
      <c r="I174" s="3" t="str">
        <f>IFERROR(__xludf.DUMMYFUNCTION("""COMPUTED_VALUE"""),"TotalSegmentator V2")</f>
        <v>TotalSegmentator V2</v>
      </c>
      <c r="J174" s="3" t="str">
        <f>IFERROR(__xludf.DUMMYFUNCTION("""COMPUTED_VALUE"""),"CT, MRI")</f>
        <v>CT, MRI</v>
      </c>
      <c r="K174" s="3" t="str">
        <f>IFERROR(__xludf.DUMMYFUNCTION("""COMPUTED_VALUE"""),"/mnt/data-nas/medical_datasets/TotalSegmentator")</f>
        <v>/mnt/data-nas/medical_datasets/TotalSegmentator</v>
      </c>
    </row>
    <row r="175">
      <c r="A175" s="4" t="b">
        <v>1</v>
      </c>
      <c r="B175" s="16" t="s">
        <v>1185</v>
      </c>
      <c r="C175" s="16" t="s">
        <v>235</v>
      </c>
      <c r="D175" s="4" t="s">
        <v>1184</v>
      </c>
      <c r="E175" s="3" t="str">
        <f t="shared" si="4"/>
        <v>/mnt/data-nas/med_anant/TCIA/BraTS-TCGA-GBM</v>
      </c>
      <c r="H175" s="3" t="b">
        <f>IFERROR(__xludf.DUMMYFUNCTION("""COMPUTED_VALUE"""),TRUE)</f>
        <v>1</v>
      </c>
      <c r="I175" s="3" t="str">
        <f>IFERROR(__xludf.DUMMYFUNCTION("""COMPUTED_VALUE"""),"TotalSegmentator MRI")</f>
        <v>TotalSegmentator MRI</v>
      </c>
      <c r="J175" s="3" t="str">
        <f>IFERROR(__xludf.DUMMYFUNCTION("""COMPUTED_VALUE"""),"MRI")</f>
        <v>MRI</v>
      </c>
      <c r="K175" s="3" t="str">
        <f>IFERROR(__xludf.DUMMYFUNCTION("""COMPUTED_VALUE"""),"/mnt/data-nas/medical_datasets/TotalSegmentator")</f>
        <v>/mnt/data-nas/medical_datasets/TotalSegmentator</v>
      </c>
    </row>
    <row r="176">
      <c r="A176" s="4" t="b">
        <v>1</v>
      </c>
      <c r="B176" s="16" t="s">
        <v>1187</v>
      </c>
      <c r="C176" s="16" t="s">
        <v>60</v>
      </c>
      <c r="D176" s="2" t="s">
        <v>5142</v>
      </c>
      <c r="E176" s="3" t="str">
        <f t="shared" si="4"/>
        <v>/mnt/data-nas/med_anant/PDDCA</v>
      </c>
    </row>
    <row r="177">
      <c r="A177" s="16" t="b">
        <v>0</v>
      </c>
      <c r="B177" s="16" t="s">
        <v>1190</v>
      </c>
      <c r="C177" s="4" t="s">
        <v>1192</v>
      </c>
      <c r="D177" s="2"/>
      <c r="E177" s="3" t="str">
        <f t="shared" si="4"/>
        <v/>
      </c>
    </row>
    <row r="178">
      <c r="A178" s="16" t="b">
        <v>0</v>
      </c>
      <c r="B178" s="16" t="s">
        <v>1199</v>
      </c>
      <c r="C178" s="16" t="s">
        <v>235</v>
      </c>
      <c r="D178" s="2"/>
      <c r="E178" s="3" t="str">
        <f t="shared" si="4"/>
        <v/>
      </c>
    </row>
    <row r="179">
      <c r="A179" s="16" t="b">
        <v>0</v>
      </c>
      <c r="B179" s="4" t="s">
        <v>1203</v>
      </c>
      <c r="C179" s="16" t="s">
        <v>60</v>
      </c>
      <c r="D179" s="2"/>
      <c r="E179" s="3" t="str">
        <f t="shared" si="4"/>
        <v/>
      </c>
    </row>
    <row r="180">
      <c r="A180" s="4" t="b">
        <v>1</v>
      </c>
      <c r="B180" s="16" t="s">
        <v>1207</v>
      </c>
      <c r="C180" s="16" t="s">
        <v>235</v>
      </c>
      <c r="D180" s="2" t="s">
        <v>5143</v>
      </c>
      <c r="E180" s="3" t="str">
        <f t="shared" si="4"/>
        <v>/mnt/data-nas/med_anant/MSD/MSD/Task01_BrainTumour.tar</v>
      </c>
    </row>
    <row r="181">
      <c r="A181" s="4" t="b">
        <v>1</v>
      </c>
      <c r="B181" s="16" t="s">
        <v>1210</v>
      </c>
      <c r="C181" s="16" t="s">
        <v>235</v>
      </c>
      <c r="D181" s="2" t="s">
        <v>5144</v>
      </c>
      <c r="E181" s="3" t="str">
        <f t="shared" si="4"/>
        <v>/mnt/data-nas/med_anant/MSD/MSD/Task04_Hippocampus.tar</v>
      </c>
    </row>
    <row r="182">
      <c r="A182" s="4" t="b">
        <v>1</v>
      </c>
      <c r="B182" s="16" t="s">
        <v>1211</v>
      </c>
      <c r="C182" s="16" t="s">
        <v>60</v>
      </c>
      <c r="D182" s="50" t="s">
        <v>5145</v>
      </c>
      <c r="E182" s="3" t="str">
        <f t="shared" si="4"/>
        <v>/mnt/data-nas/med_anant/head-ct-hemorrhage.zip</v>
      </c>
    </row>
    <row r="183">
      <c r="A183" s="4" t="b">
        <v>1</v>
      </c>
      <c r="B183" s="16" t="s">
        <v>1214</v>
      </c>
      <c r="C183" s="16" t="s">
        <v>60</v>
      </c>
      <c r="D183" s="2" t="s">
        <v>1213</v>
      </c>
      <c r="E183" s="3" t="str">
        <f t="shared" si="4"/>
        <v>/mnt/data-nas/med_anant/WMH</v>
      </c>
    </row>
    <row r="184">
      <c r="A184" s="4" t="b">
        <v>1</v>
      </c>
      <c r="B184" s="16" t="s">
        <v>1219</v>
      </c>
      <c r="C184" s="16" t="s">
        <v>200</v>
      </c>
      <c r="D184" s="2" t="s">
        <v>5146</v>
      </c>
      <c r="E184" s="3" t="str">
        <f t="shared" si="4"/>
        <v>/mnt/data-nas/med_anant/OSCC</v>
      </c>
    </row>
    <row r="185">
      <c r="A185" s="16" t="b">
        <v>0</v>
      </c>
      <c r="B185" s="16" t="s">
        <v>1225</v>
      </c>
      <c r="C185" s="16" t="s">
        <v>108</v>
      </c>
      <c r="E185" s="3" t="str">
        <f t="shared" si="4"/>
        <v/>
      </c>
    </row>
    <row r="186">
      <c r="A186" s="16" t="b">
        <v>0</v>
      </c>
      <c r="B186" s="16" t="s">
        <v>1230</v>
      </c>
      <c r="C186" s="16" t="s">
        <v>235</v>
      </c>
      <c r="E186" s="3" t="str">
        <f t="shared" si="4"/>
        <v/>
      </c>
    </row>
    <row r="187">
      <c r="A187" s="16" t="b">
        <v>0</v>
      </c>
      <c r="B187" s="16" t="s">
        <v>1234</v>
      </c>
      <c r="C187" s="16" t="s">
        <v>235</v>
      </c>
      <c r="E187" s="3" t="str">
        <f t="shared" si="4"/>
        <v/>
      </c>
    </row>
    <row r="188">
      <c r="A188" s="4" t="b">
        <v>1</v>
      </c>
      <c r="B188" s="16" t="s">
        <v>1240</v>
      </c>
      <c r="C188" s="16" t="s">
        <v>235</v>
      </c>
      <c r="D188" s="2" t="s">
        <v>5147</v>
      </c>
      <c r="E188" s="3" t="str">
        <f t="shared" si="4"/>
        <v>/mnt/data-nas/med_anant/BraTS</v>
      </c>
    </row>
    <row r="189">
      <c r="A189" s="16" t="b">
        <v>0</v>
      </c>
      <c r="B189" s="4" t="s">
        <v>1246</v>
      </c>
      <c r="C189" s="16" t="s">
        <v>235</v>
      </c>
      <c r="E189" s="3" t="str">
        <f t="shared" si="4"/>
        <v/>
      </c>
    </row>
    <row r="190">
      <c r="A190" s="16" t="b">
        <v>0</v>
      </c>
      <c r="B190" s="16" t="s">
        <v>1250</v>
      </c>
      <c r="C190" s="16" t="s">
        <v>235</v>
      </c>
      <c r="E190" s="3" t="str">
        <f t="shared" si="4"/>
        <v/>
      </c>
    </row>
    <row r="191">
      <c r="A191" s="4" t="b">
        <v>1</v>
      </c>
      <c r="B191" s="4" t="s">
        <v>1255</v>
      </c>
      <c r="C191" s="16" t="s">
        <v>235</v>
      </c>
      <c r="D191" s="2" t="s">
        <v>5148</v>
      </c>
      <c r="E191" s="3" t="str">
        <f t="shared" si="4"/>
        <v>/mnt/data-nas/med_anant/FeTA2024</v>
      </c>
    </row>
    <row r="192">
      <c r="A192" s="16" t="b">
        <v>0</v>
      </c>
      <c r="B192" s="16" t="s">
        <v>1260</v>
      </c>
      <c r="C192" s="16" t="s">
        <v>235</v>
      </c>
      <c r="E192" s="3" t="str">
        <f t="shared" si="4"/>
        <v/>
      </c>
    </row>
    <row r="193">
      <c r="A193" s="16" t="b">
        <v>0</v>
      </c>
      <c r="B193" s="16" t="s">
        <v>1266</v>
      </c>
      <c r="C193" s="16" t="s">
        <v>235</v>
      </c>
      <c r="E193" s="3" t="str">
        <f t="shared" si="4"/>
        <v/>
      </c>
    </row>
    <row r="194">
      <c r="A194" s="16" t="b">
        <v>0</v>
      </c>
      <c r="B194" s="4" t="s">
        <v>1270</v>
      </c>
      <c r="C194" s="4" t="s">
        <v>1271</v>
      </c>
      <c r="E194" s="3" t="str">
        <f t="shared" si="4"/>
        <v/>
      </c>
    </row>
    <row r="195">
      <c r="A195" s="16" t="b">
        <v>0</v>
      </c>
      <c r="B195" s="4" t="s">
        <v>1269</v>
      </c>
      <c r="C195" s="4" t="s">
        <v>1271</v>
      </c>
      <c r="E195" s="3" t="str">
        <f t="shared" si="4"/>
        <v/>
      </c>
    </row>
    <row r="196">
      <c r="A196" s="16" t="b">
        <v>0</v>
      </c>
      <c r="B196" s="16" t="s">
        <v>1278</v>
      </c>
      <c r="C196" s="16" t="s">
        <v>60</v>
      </c>
      <c r="E196" s="3" t="str">
        <f t="shared" si="4"/>
        <v/>
      </c>
    </row>
    <row r="197">
      <c r="A197" s="4" t="b">
        <v>1</v>
      </c>
      <c r="B197" s="16" t="s">
        <v>1282</v>
      </c>
      <c r="C197" s="16" t="s">
        <v>235</v>
      </c>
      <c r="D197" s="2" t="s">
        <v>5149</v>
      </c>
      <c r="E197" s="3" t="str">
        <f t="shared" si="4"/>
        <v>/mnt/data-nas/med_anant/isles2022</v>
      </c>
    </row>
    <row r="198">
      <c r="A198" s="16" t="b">
        <v>0</v>
      </c>
      <c r="B198" s="16" t="s">
        <v>1288</v>
      </c>
      <c r="C198" s="4" t="s">
        <v>1289</v>
      </c>
      <c r="E198" s="3" t="str">
        <f t="shared" si="4"/>
        <v/>
      </c>
    </row>
    <row r="199">
      <c r="A199" s="16" t="b">
        <v>0</v>
      </c>
      <c r="B199" s="16" t="s">
        <v>1294</v>
      </c>
      <c r="C199" s="16" t="s">
        <v>1296</v>
      </c>
      <c r="D199" s="2"/>
      <c r="E199" s="3" t="str">
        <f t="shared" si="4"/>
        <v/>
      </c>
    </row>
    <row r="200">
      <c r="A200" s="4" t="b">
        <v>1</v>
      </c>
      <c r="B200" s="16" t="s">
        <v>1304</v>
      </c>
      <c r="C200" s="16" t="s">
        <v>108</v>
      </c>
      <c r="D200" s="2" t="s">
        <v>5150</v>
      </c>
      <c r="E200" s="3" t="str">
        <f t="shared" si="4"/>
        <v>/mnt/data-nas/med_anant/Thyroid_Dataset.zip</v>
      </c>
    </row>
    <row r="201">
      <c r="A201" s="4" t="b">
        <v>1</v>
      </c>
      <c r="B201" s="16" t="s">
        <v>1308</v>
      </c>
      <c r="C201" s="16" t="s">
        <v>235</v>
      </c>
      <c r="D201" s="50" t="s">
        <v>741</v>
      </c>
      <c r="E201" s="3" t="str">
        <f t="shared" si="4"/>
        <v>/mnt/data-nas/med_anant/Br35H</v>
      </c>
    </row>
    <row r="202">
      <c r="A202" s="16" t="b">
        <v>0</v>
      </c>
      <c r="B202" s="16" t="s">
        <v>1312</v>
      </c>
      <c r="C202" s="16" t="s">
        <v>235</v>
      </c>
      <c r="E202" s="3" t="str">
        <f t="shared" si="4"/>
        <v/>
      </c>
    </row>
    <row r="203">
      <c r="A203" s="4" t="b">
        <v>1</v>
      </c>
      <c r="B203" s="16" t="s">
        <v>1315</v>
      </c>
      <c r="C203" s="4" t="s">
        <v>75</v>
      </c>
      <c r="D203" s="2" t="s">
        <v>5151</v>
      </c>
      <c r="E203" s="3" t="str">
        <f t="shared" si="4"/>
        <v>/mnt/data-nas/med_anant/HaN-Seg.zip</v>
      </c>
    </row>
    <row r="204">
      <c r="A204" s="16" t="b">
        <v>0</v>
      </c>
      <c r="B204" s="16" t="s">
        <v>1320</v>
      </c>
      <c r="C204" s="4" t="s">
        <v>60</v>
      </c>
      <c r="E204" s="3" t="str">
        <f t="shared" si="4"/>
        <v/>
      </c>
    </row>
    <row r="205">
      <c r="A205" s="16" t="b">
        <v>0</v>
      </c>
      <c r="B205" s="16" t="s">
        <v>1325</v>
      </c>
      <c r="C205" s="4" t="s">
        <v>60</v>
      </c>
      <c r="E205" s="3" t="str">
        <f t="shared" si="4"/>
        <v/>
      </c>
    </row>
    <row r="206">
      <c r="A206" s="4" t="b">
        <v>1</v>
      </c>
      <c r="B206" s="16" t="s">
        <v>1329</v>
      </c>
      <c r="C206" s="16" t="s">
        <v>235</v>
      </c>
      <c r="D206" s="2" t="s">
        <v>5152</v>
      </c>
      <c r="E206" s="3" t="str">
        <f t="shared" si="4"/>
        <v>/mnt/data-nas/med_anant/crossMoDA</v>
      </c>
    </row>
    <row r="207">
      <c r="A207" s="16" t="b">
        <v>0</v>
      </c>
      <c r="B207" s="16" t="s">
        <v>1335</v>
      </c>
      <c r="C207" s="16" t="s">
        <v>235</v>
      </c>
      <c r="E207" s="3" t="str">
        <f t="shared" si="4"/>
        <v/>
      </c>
    </row>
    <row r="208">
      <c r="A208" s="4" t="b">
        <v>1</v>
      </c>
      <c r="B208" s="16" t="s">
        <v>1338</v>
      </c>
      <c r="C208" s="16" t="s">
        <v>235</v>
      </c>
      <c r="D208" s="2" t="s">
        <v>1337</v>
      </c>
      <c r="E208" s="3" t="str">
        <f t="shared" si="4"/>
        <v>/mnt/data-nas/medical_datasets/TCIA/UCSF-PDGM</v>
      </c>
    </row>
    <row r="209">
      <c r="A209" s="4" t="b">
        <v>1</v>
      </c>
      <c r="B209" s="16" t="s">
        <v>1342</v>
      </c>
      <c r="C209" s="16" t="s">
        <v>235</v>
      </c>
      <c r="D209" s="2" t="s">
        <v>1341</v>
      </c>
      <c r="E209" s="3" t="str">
        <f t="shared" si="4"/>
        <v>/mnt/data-nas/med_anant/TCIA/IvyGAP-Radiomics</v>
      </c>
    </row>
    <row r="210">
      <c r="A210" s="4" t="b">
        <v>1</v>
      </c>
      <c r="B210" s="16" t="s">
        <v>1345</v>
      </c>
      <c r="C210" s="16" t="s">
        <v>235</v>
      </c>
      <c r="D210" s="2" t="s">
        <v>5147</v>
      </c>
      <c r="E210" s="3" t="str">
        <f t="shared" si="4"/>
        <v>/mnt/data-nas/med_anant/BraTS</v>
      </c>
    </row>
    <row r="211">
      <c r="A211" s="4" t="b">
        <v>1</v>
      </c>
      <c r="B211" s="16" t="s">
        <v>1349</v>
      </c>
      <c r="C211" s="16" t="s">
        <v>235</v>
      </c>
      <c r="D211" s="2" t="s">
        <v>5147</v>
      </c>
      <c r="E211" s="3" t="str">
        <f t="shared" si="4"/>
        <v>/mnt/data-nas/med_anant/BraTS</v>
      </c>
    </row>
    <row r="212">
      <c r="A212" s="4" t="b">
        <v>1</v>
      </c>
      <c r="B212" s="16" t="s">
        <v>1353</v>
      </c>
      <c r="C212" s="16" t="s">
        <v>235</v>
      </c>
      <c r="D212" s="2" t="s">
        <v>5147</v>
      </c>
      <c r="E212" s="3" t="str">
        <f t="shared" si="4"/>
        <v>/mnt/data-nas/med_anant/BraTS</v>
      </c>
    </row>
    <row r="213">
      <c r="A213" s="4" t="b">
        <v>1</v>
      </c>
      <c r="B213" s="16" t="s">
        <v>1357</v>
      </c>
      <c r="C213" s="16" t="s">
        <v>235</v>
      </c>
      <c r="D213" s="2" t="s">
        <v>5147</v>
      </c>
      <c r="E213" s="3" t="str">
        <f t="shared" si="4"/>
        <v>/mnt/data-nas/med_anant/BraTS</v>
      </c>
    </row>
    <row r="214">
      <c r="A214" s="16" t="b">
        <v>0</v>
      </c>
      <c r="B214" s="16" t="s">
        <v>1362</v>
      </c>
      <c r="C214" s="16" t="s">
        <v>235</v>
      </c>
      <c r="E214" s="3" t="str">
        <f t="shared" si="4"/>
        <v/>
      </c>
    </row>
    <row r="215">
      <c r="A215" s="16" t="b">
        <v>0</v>
      </c>
      <c r="B215" s="16" t="s">
        <v>1366</v>
      </c>
      <c r="C215" s="16" t="s">
        <v>235</v>
      </c>
      <c r="E215" s="3" t="str">
        <f t="shared" si="4"/>
        <v/>
      </c>
    </row>
    <row r="216">
      <c r="A216" s="16" t="b">
        <v>0</v>
      </c>
      <c r="B216" s="16" t="s">
        <v>1368</v>
      </c>
      <c r="C216" s="16" t="s">
        <v>235</v>
      </c>
      <c r="E216" s="3" t="str">
        <f t="shared" si="4"/>
        <v/>
      </c>
    </row>
    <row r="217">
      <c r="A217" s="16" t="b">
        <v>0</v>
      </c>
      <c r="B217" s="16" t="s">
        <v>1370</v>
      </c>
      <c r="C217" s="16" t="s">
        <v>235</v>
      </c>
      <c r="E217" s="3" t="str">
        <f t="shared" si="4"/>
        <v/>
      </c>
    </row>
    <row r="218">
      <c r="A218" s="4" t="b">
        <v>1</v>
      </c>
      <c r="B218" s="16" t="s">
        <v>1374</v>
      </c>
      <c r="C218" s="16" t="s">
        <v>235</v>
      </c>
      <c r="D218" s="2" t="s">
        <v>1373</v>
      </c>
      <c r="E218" s="3" t="str">
        <f t="shared" si="4"/>
        <v>/mnt/data-nas/med_anant/HNTS-MRG</v>
      </c>
    </row>
    <row r="219">
      <c r="A219" s="4" t="b">
        <v>1</v>
      </c>
      <c r="B219" s="16" t="s">
        <v>1377</v>
      </c>
      <c r="C219" s="16" t="s">
        <v>235</v>
      </c>
      <c r="D219" s="2" t="s">
        <v>1373</v>
      </c>
      <c r="E219" s="3" t="str">
        <f t="shared" si="4"/>
        <v>/mnt/data-nas/med_anant/HNTS-MRG</v>
      </c>
    </row>
    <row r="220">
      <c r="A220" s="4" t="b">
        <v>1</v>
      </c>
      <c r="B220" s="16" t="s">
        <v>1378</v>
      </c>
      <c r="C220" s="16" t="s">
        <v>235</v>
      </c>
      <c r="D220" s="2" t="s">
        <v>5153</v>
      </c>
      <c r="E220" s="3" t="str">
        <f t="shared" si="4"/>
        <v>/mnt/data-nas/med_anant/MMIS-2024</v>
      </c>
    </row>
    <row r="221">
      <c r="A221" s="4" t="b">
        <v>1</v>
      </c>
      <c r="B221" s="16" t="s">
        <v>1381</v>
      </c>
      <c r="C221" s="16" t="s">
        <v>1383</v>
      </c>
      <c r="D221" s="2" t="s">
        <v>5154</v>
      </c>
      <c r="E221" s="3" t="str">
        <f t="shared" si="4"/>
        <v>/mnt/data-nas/med_anant/STARE</v>
      </c>
    </row>
    <row r="222">
      <c r="A222" s="126" t="b">
        <v>1</v>
      </c>
      <c r="B222" s="127" t="s">
        <v>1387</v>
      </c>
      <c r="C222" s="128" t="s">
        <v>1383</v>
      </c>
      <c r="D222" s="129" t="s">
        <v>5155</v>
      </c>
      <c r="E222" s="3" t="str">
        <f t="shared" si="4"/>
        <v>/mnt/data-nas/med_anant/drive-digital-retinal-images-for-vessel-extraction.zip</v>
      </c>
    </row>
    <row r="223">
      <c r="A223" s="16" t="b">
        <v>0</v>
      </c>
      <c r="B223" s="16" t="s">
        <v>1392</v>
      </c>
      <c r="C223" s="16" t="s">
        <v>1383</v>
      </c>
      <c r="E223" s="3" t="str">
        <f t="shared" ref="E223:E331" si="5">IF(A223=True, SUBSTITUTE(SUBSTITUTE(D223, """", ""), "/mnt/data-nas/med_gli", "/mnt/data-nas/medical_datasets"), "")</f>
        <v/>
      </c>
    </row>
    <row r="224">
      <c r="A224" s="4" t="b">
        <v>1</v>
      </c>
      <c r="B224" s="16" t="s">
        <v>1396</v>
      </c>
      <c r="C224" s="16" t="s">
        <v>1383</v>
      </c>
      <c r="D224" s="2" t="s">
        <v>1395</v>
      </c>
      <c r="E224" s="3" t="str">
        <f t="shared" si="5"/>
        <v>/mnt/data-nas/medical_datasets/HRF/</v>
      </c>
    </row>
    <row r="225">
      <c r="A225" s="4" t="b">
        <v>1</v>
      </c>
      <c r="B225" s="16" t="s">
        <v>1401</v>
      </c>
      <c r="C225" s="16" t="s">
        <v>1383</v>
      </c>
      <c r="D225" s="2" t="s">
        <v>1400</v>
      </c>
      <c r="E225" s="3" t="str">
        <f t="shared" si="5"/>
        <v>same as HRF</v>
      </c>
    </row>
    <row r="226">
      <c r="A226" s="16" t="b">
        <v>0</v>
      </c>
      <c r="B226" s="16" t="s">
        <v>1404</v>
      </c>
      <c r="C226" s="16" t="s">
        <v>1405</v>
      </c>
      <c r="E226" s="3" t="str">
        <f t="shared" si="5"/>
        <v/>
      </c>
    </row>
    <row r="227">
      <c r="A227" s="4" t="b">
        <v>1</v>
      </c>
      <c r="B227" s="16" t="s">
        <v>1409</v>
      </c>
      <c r="C227" s="16" t="s">
        <v>1410</v>
      </c>
      <c r="D227" s="2" t="s">
        <v>1408</v>
      </c>
      <c r="E227" s="3" t="str">
        <f t="shared" si="5"/>
        <v>/mnt/data-nas/medical_datasets/AV_groundTruth.zip</v>
      </c>
    </row>
    <row r="228">
      <c r="A228" s="4" t="b">
        <v>1</v>
      </c>
      <c r="B228" s="16" t="s">
        <v>1417</v>
      </c>
      <c r="C228" s="16" t="s">
        <v>1405</v>
      </c>
      <c r="D228" s="2" t="s">
        <v>1416</v>
      </c>
      <c r="E228" s="3" t="str">
        <f t="shared" si="5"/>
        <v>/mnt/data-nas/medical_datasets/Messidor-2/</v>
      </c>
    </row>
    <row r="229">
      <c r="A229" s="4" t="b">
        <v>1</v>
      </c>
      <c r="B229" s="16" t="s">
        <v>1421</v>
      </c>
      <c r="C229" s="16" t="s">
        <v>1422</v>
      </c>
      <c r="D229" s="2" t="s">
        <v>1420</v>
      </c>
      <c r="E229" s="3" t="str">
        <f t="shared" si="5"/>
        <v>/mnt/data-nas/medical_datasets/2013_BOE_Chiu.zip</v>
      </c>
    </row>
    <row r="230">
      <c r="A230" s="4" t="b">
        <v>1</v>
      </c>
      <c r="B230" s="16" t="s">
        <v>1426</v>
      </c>
      <c r="C230" s="16" t="s">
        <v>1405</v>
      </c>
      <c r="D230" s="2" t="s">
        <v>1425</v>
      </c>
      <c r="E230" s="3" t="str">
        <f t="shared" si="5"/>
        <v>/mnt/data-nas/medical_datasets/DRISHTI-GS/</v>
      </c>
    </row>
    <row r="231">
      <c r="A231" s="4" t="b">
        <v>1</v>
      </c>
      <c r="B231" s="16" t="s">
        <v>1432</v>
      </c>
      <c r="C231" s="16" t="s">
        <v>1410</v>
      </c>
      <c r="D231" s="2" t="s">
        <v>1431</v>
      </c>
      <c r="E231" s="3" t="str">
        <f t="shared" si="5"/>
        <v>/mnt/data-nas/medical_datasets/Retinal-image/</v>
      </c>
    </row>
    <row r="232">
      <c r="A232" s="4" t="b">
        <v>0</v>
      </c>
      <c r="B232" s="16" t="s">
        <v>1436</v>
      </c>
      <c r="C232" s="16" t="s">
        <v>1410</v>
      </c>
      <c r="E232" s="3" t="str">
        <f t="shared" si="5"/>
        <v/>
      </c>
    </row>
    <row r="233">
      <c r="A233" s="4" t="b">
        <v>1</v>
      </c>
      <c r="B233" s="16" t="s">
        <v>1438</v>
      </c>
      <c r="C233" s="16" t="s">
        <v>1405</v>
      </c>
      <c r="D233" s="2" t="s">
        <v>1437</v>
      </c>
      <c r="E233" s="3" t="str">
        <f t="shared" si="5"/>
        <v>Stampede: EyePACS</v>
      </c>
    </row>
    <row r="234">
      <c r="A234" s="16" t="b">
        <v>0</v>
      </c>
      <c r="B234" s="16" t="s">
        <v>1441</v>
      </c>
      <c r="C234" s="4" t="s">
        <v>1442</v>
      </c>
      <c r="D234" s="2"/>
      <c r="E234" s="3" t="str">
        <f t="shared" si="5"/>
        <v/>
      </c>
    </row>
    <row r="235">
      <c r="A235" s="16" t="b">
        <v>0</v>
      </c>
      <c r="B235" s="16" t="s">
        <v>1445</v>
      </c>
      <c r="C235" s="16" t="s">
        <v>1383</v>
      </c>
      <c r="E235" s="3" t="str">
        <f t="shared" si="5"/>
        <v/>
      </c>
    </row>
    <row r="236">
      <c r="A236" s="4" t="b">
        <v>1</v>
      </c>
      <c r="B236" s="80">
        <v>43009.0</v>
      </c>
      <c r="C236" s="4" t="s">
        <v>1442</v>
      </c>
      <c r="D236" s="2" t="s">
        <v>1448</v>
      </c>
      <c r="E236" s="3" t="str">
        <f t="shared" si="5"/>
        <v>/mnt/data-nas/medical_datasets/rscbjbr9sj-2.zip</v>
      </c>
    </row>
    <row r="237">
      <c r="A237" s="4" t="b">
        <v>1</v>
      </c>
      <c r="B237" s="16" t="s">
        <v>1452</v>
      </c>
      <c r="C237" s="16" t="s">
        <v>1405</v>
      </c>
      <c r="D237" s="2" t="s">
        <v>1451</v>
      </c>
      <c r="E237" s="3" t="str">
        <f t="shared" si="5"/>
        <v>/mnt/data-nas/medical_datasets/Papilledema/</v>
      </c>
    </row>
    <row r="238">
      <c r="A238" s="4" t="b">
        <v>1</v>
      </c>
      <c r="B238" s="16" t="s">
        <v>1455</v>
      </c>
      <c r="C238" s="16" t="s">
        <v>1383</v>
      </c>
      <c r="D238" s="2" t="s">
        <v>1454</v>
      </c>
      <c r="E238" s="3" t="str">
        <f t="shared" si="5"/>
        <v>/mnt/data-nas/medical_datasets/IDRID/</v>
      </c>
    </row>
    <row r="239">
      <c r="A239" s="16" t="b">
        <v>0</v>
      </c>
      <c r="B239" s="16" t="s">
        <v>1460</v>
      </c>
      <c r="C239" s="16" t="s">
        <v>1383</v>
      </c>
      <c r="E239" s="3" t="str">
        <f t="shared" si="5"/>
        <v/>
      </c>
    </row>
    <row r="240">
      <c r="A240" s="16" t="b">
        <v>0</v>
      </c>
      <c r="B240" s="16" t="s">
        <v>1463</v>
      </c>
      <c r="C240" s="16" t="s">
        <v>1405</v>
      </c>
      <c r="E240" s="3" t="str">
        <f t="shared" si="5"/>
        <v/>
      </c>
    </row>
    <row r="241">
      <c r="A241" s="4" t="b">
        <v>1</v>
      </c>
      <c r="B241" s="16" t="s">
        <v>1467</v>
      </c>
      <c r="C241" s="16" t="s">
        <v>1405</v>
      </c>
      <c r="D241" s="2" t="s">
        <v>1466</v>
      </c>
      <c r="E241" s="3" t="str">
        <f t="shared" si="5"/>
        <v>/mnt/data-nas/medical_datasets/ACRIMA/</v>
      </c>
    </row>
    <row r="242">
      <c r="A242" s="4" t="b">
        <v>1</v>
      </c>
      <c r="B242" s="16" t="s">
        <v>1471</v>
      </c>
      <c r="C242" s="16" t="s">
        <v>1472</v>
      </c>
      <c r="D242" s="2" t="s">
        <v>1470</v>
      </c>
      <c r="E242" s="3" t="str">
        <f t="shared" si="5"/>
        <v>/mnt/data-nas/medical_datasets/ROSE/</v>
      </c>
    </row>
    <row r="243">
      <c r="A243" s="16" t="b">
        <v>0</v>
      </c>
      <c r="B243" s="16" t="s">
        <v>1475</v>
      </c>
      <c r="C243" s="16" t="s">
        <v>1383</v>
      </c>
      <c r="E243" s="3" t="str">
        <f t="shared" si="5"/>
        <v/>
      </c>
    </row>
    <row r="244">
      <c r="A244" s="4" t="b">
        <v>1</v>
      </c>
      <c r="B244" s="16" t="s">
        <v>1479</v>
      </c>
      <c r="C244" s="16" t="s">
        <v>1405</v>
      </c>
      <c r="D244" s="2" t="s">
        <v>1478</v>
      </c>
      <c r="E244" s="3" t="str">
        <f t="shared" si="5"/>
        <v>/mnt/data-nas/medical_datasets/RIM-ONE/</v>
      </c>
    </row>
    <row r="245">
      <c r="A245" s="16" t="b">
        <v>0</v>
      </c>
      <c r="B245" s="16" t="s">
        <v>1482</v>
      </c>
      <c r="C245" s="16" t="s">
        <v>1383</v>
      </c>
      <c r="E245" s="3" t="str">
        <f t="shared" si="5"/>
        <v/>
      </c>
    </row>
    <row r="246">
      <c r="A246" s="4" t="b">
        <v>1</v>
      </c>
      <c r="B246" s="16" t="s">
        <v>1486</v>
      </c>
      <c r="C246" s="16" t="s">
        <v>1405</v>
      </c>
      <c r="D246" s="2" t="s">
        <v>1485</v>
      </c>
      <c r="E246" s="3" t="str">
        <f t="shared" si="5"/>
        <v>/mnt/data-nas/medical_datasets/JSIEC/</v>
      </c>
    </row>
    <row r="247">
      <c r="A247" s="4" t="b">
        <v>1</v>
      </c>
      <c r="B247" s="16" t="s">
        <v>1490</v>
      </c>
      <c r="C247" s="16" t="s">
        <v>1383</v>
      </c>
      <c r="D247" s="2" t="s">
        <v>1489</v>
      </c>
      <c r="E247" s="3" t="str">
        <f t="shared" si="5"/>
        <v>/mnt/data-nas/medical_datasets/ODR/</v>
      </c>
    </row>
    <row r="248">
      <c r="A248" s="4" t="b">
        <v>1</v>
      </c>
      <c r="B248" s="16" t="s">
        <v>1493</v>
      </c>
      <c r="C248" s="16" t="s">
        <v>1405</v>
      </c>
      <c r="D248" s="2" t="s">
        <v>1492</v>
      </c>
      <c r="E248" s="3" t="str">
        <f t="shared" si="5"/>
        <v>/mnt/data-nas/medical_datasets/DRA/</v>
      </c>
    </row>
    <row r="249">
      <c r="A249" s="4" t="b">
        <v>1</v>
      </c>
      <c r="B249" s="16" t="s">
        <v>1496</v>
      </c>
      <c r="C249" s="16" t="s">
        <v>1497</v>
      </c>
      <c r="D249" s="2" t="s">
        <v>1495</v>
      </c>
      <c r="E249" s="3" t="str">
        <f t="shared" si="5"/>
        <v>/mnt/data-nas/medical_datasets/AOD/</v>
      </c>
    </row>
    <row r="250">
      <c r="A250" s="4" t="b">
        <v>1</v>
      </c>
      <c r="B250" s="16" t="s">
        <v>1500</v>
      </c>
      <c r="C250" s="16" t="s">
        <v>1501</v>
      </c>
      <c r="D250" s="2" t="s">
        <v>1499</v>
      </c>
      <c r="E250" s="3" t="str">
        <f t="shared" si="5"/>
        <v>/mnt/data-nas/medical_datasets/BEH (Bangladesh Eye Hospital) Dataset.zip</v>
      </c>
    </row>
    <row r="251">
      <c r="A251" s="4" t="b">
        <v>1</v>
      </c>
      <c r="B251" s="16" t="s">
        <v>1506</v>
      </c>
      <c r="C251" s="16" t="s">
        <v>1405</v>
      </c>
      <c r="D251" s="2" t="s">
        <v>1505</v>
      </c>
      <c r="E251" s="3" t="str">
        <f t="shared" si="5"/>
        <v>/mnt/data-nas/medical_datasets/DeepDRiD/</v>
      </c>
    </row>
    <row r="252">
      <c r="A252" s="4" t="b">
        <v>1</v>
      </c>
      <c r="B252" s="16" t="s">
        <v>1510</v>
      </c>
      <c r="C252" s="16" t="s">
        <v>1405</v>
      </c>
      <c r="D252" s="2" t="s">
        <v>1509</v>
      </c>
      <c r="E252" s="3" t="str">
        <f t="shared" si="5"/>
        <v>/mnt/data-nas/medical_datasets/ADAM/</v>
      </c>
    </row>
    <row r="253">
      <c r="A253" s="4" t="b">
        <v>1</v>
      </c>
      <c r="B253" s="16" t="s">
        <v>1515</v>
      </c>
      <c r="C253" s="4" t="s">
        <v>1442</v>
      </c>
      <c r="D253" s="2" t="s">
        <v>1514</v>
      </c>
      <c r="E253" s="3" t="str">
        <f t="shared" si="5"/>
        <v>/mnt/data-nas/medical_datasets/OCT-C8/</v>
      </c>
    </row>
    <row r="254">
      <c r="A254" s="4" t="b">
        <v>1</v>
      </c>
      <c r="B254" s="16" t="s">
        <v>1520</v>
      </c>
      <c r="C254" s="4" t="s">
        <v>1521</v>
      </c>
      <c r="D254" s="2" t="s">
        <v>1519</v>
      </c>
      <c r="E254" s="3" t="str">
        <f t="shared" si="5"/>
        <v>/mnt/data-nas/medical_datasets/RAVIR Dataset.zip</v>
      </c>
    </row>
    <row r="255">
      <c r="A255" s="4" t="b">
        <v>1</v>
      </c>
      <c r="B255" s="16" t="s">
        <v>1525</v>
      </c>
      <c r="C255" s="16" t="s">
        <v>1410</v>
      </c>
      <c r="D255" s="2" t="s">
        <v>1524</v>
      </c>
      <c r="E255" s="3" t="str">
        <f t="shared" si="5"/>
        <v>/mnt/data-nas/medical_datasets/pc4mb3h8hz-1.zip</v>
      </c>
    </row>
    <row r="256">
      <c r="A256" s="4" t="b">
        <v>1</v>
      </c>
      <c r="B256" s="16" t="s">
        <v>1530</v>
      </c>
      <c r="C256" s="16" t="s">
        <v>1531</v>
      </c>
      <c r="D256" s="2" t="s">
        <v>1529</v>
      </c>
      <c r="E256" s="3" t="str">
        <f t="shared" si="5"/>
        <v>/mnt/data-nas/medical_datasets/FIVES/</v>
      </c>
    </row>
    <row r="257">
      <c r="A257" s="4" t="b">
        <v>1</v>
      </c>
      <c r="B257" s="16" t="s">
        <v>1535</v>
      </c>
      <c r="C257" s="16" t="s">
        <v>1536</v>
      </c>
      <c r="D257" s="2" t="s">
        <v>1534</v>
      </c>
      <c r="E257" s="3" t="str">
        <f t="shared" si="5"/>
        <v>/mnt/data-nas/medical_datasets/OLIVES/</v>
      </c>
    </row>
    <row r="258">
      <c r="A258" s="4" t="b">
        <v>1</v>
      </c>
      <c r="B258" s="16" t="s">
        <v>1540</v>
      </c>
      <c r="C258" s="16" t="s">
        <v>1383</v>
      </c>
      <c r="D258" s="2" t="s">
        <v>1539</v>
      </c>
      <c r="E258" s="3" t="str">
        <f t="shared" si="5"/>
        <v>/mnt/data-nas/medical_datasets/ODIR-5K_Training_Images.7z</v>
      </c>
    </row>
    <row r="259">
      <c r="A259" s="4" t="b">
        <v>1</v>
      </c>
      <c r="B259" s="16" t="s">
        <v>1544</v>
      </c>
      <c r="C259" s="16" t="s">
        <v>1405</v>
      </c>
      <c r="D259" s="2" t="s">
        <v>1543</v>
      </c>
      <c r="E259" s="3" t="str">
        <f t="shared" si="5"/>
        <v>/mnt/data-nas/medical_datasets/AIROGS/</v>
      </c>
    </row>
    <row r="260">
      <c r="A260" s="4" t="b">
        <v>1</v>
      </c>
      <c r="B260" s="16" t="s">
        <v>1548</v>
      </c>
      <c r="C260" s="16" t="s">
        <v>1383</v>
      </c>
      <c r="D260" s="2" t="s">
        <v>1547</v>
      </c>
      <c r="E260" s="3" t="str">
        <f t="shared" si="5"/>
        <v>/mnt/data-nas/medical_datasets/RFMiD/</v>
      </c>
    </row>
    <row r="261">
      <c r="A261" s="4" t="b">
        <v>1</v>
      </c>
      <c r="B261" s="16" t="s">
        <v>1553</v>
      </c>
      <c r="C261" s="16" t="s">
        <v>1531</v>
      </c>
      <c r="D261" s="2" t="s">
        <v>1552</v>
      </c>
      <c r="E261" s="3" t="str">
        <f t="shared" si="5"/>
        <v>/mnt/data-nas/medical_datasets/ToxoFundus/</v>
      </c>
    </row>
    <row r="262">
      <c r="A262" s="4" t="b">
        <v>1</v>
      </c>
      <c r="B262" s="16" t="s">
        <v>1557</v>
      </c>
      <c r="C262" s="16" t="s">
        <v>1501</v>
      </c>
      <c r="D262" s="2" t="s">
        <v>1556</v>
      </c>
      <c r="E262" s="3" t="str">
        <f t="shared" si="5"/>
        <v>/mnt/data-nas/medical_datasets/HGDP/</v>
      </c>
    </row>
    <row r="263">
      <c r="A263" s="4" t="b">
        <v>1</v>
      </c>
      <c r="B263" s="16" t="s">
        <v>1561</v>
      </c>
      <c r="C263" s="16" t="s">
        <v>1410</v>
      </c>
      <c r="D263" s="2" t="s">
        <v>1560</v>
      </c>
      <c r="E263" s="3" t="str">
        <f t="shared" si="5"/>
        <v>/mnt/data-nas/medical_datasets/BiDR/</v>
      </c>
    </row>
    <row r="264">
      <c r="A264" s="4" t="b">
        <v>1</v>
      </c>
      <c r="B264" s="16" t="s">
        <v>1565</v>
      </c>
      <c r="C264" s="16" t="s">
        <v>1410</v>
      </c>
      <c r="D264" s="2" t="s">
        <v>1564</v>
      </c>
      <c r="E264" s="3" t="str">
        <f t="shared" si="5"/>
        <v>/mnt/data-nas/medical_datasets/PALM/</v>
      </c>
    </row>
    <row r="265">
      <c r="A265" s="4" t="b">
        <v>1</v>
      </c>
      <c r="B265" s="16" t="s">
        <v>1568</v>
      </c>
      <c r="C265" s="16" t="s">
        <v>1405</v>
      </c>
      <c r="D265" s="2" t="s">
        <v>1505</v>
      </c>
      <c r="E265" s="3" t="str">
        <f t="shared" si="5"/>
        <v>/mnt/data-nas/medical_datasets/DeepDRiD/</v>
      </c>
    </row>
    <row r="266">
      <c r="A266" s="4" t="b">
        <v>1</v>
      </c>
      <c r="B266" s="16" t="s">
        <v>1574</v>
      </c>
      <c r="C266" s="16" t="s">
        <v>1575</v>
      </c>
      <c r="D266" s="2" t="s">
        <v>1572</v>
      </c>
      <c r="E266" s="3" t="str">
        <f t="shared" si="5"/>
        <v>/mnt/data-nas/medical_datasets/Cataract-1K/</v>
      </c>
    </row>
    <row r="267">
      <c r="A267" s="16" t="b">
        <v>0</v>
      </c>
      <c r="B267" s="16" t="s">
        <v>1579</v>
      </c>
      <c r="C267" s="16" t="s">
        <v>1575</v>
      </c>
      <c r="E267" s="3" t="str">
        <f t="shared" si="5"/>
        <v/>
      </c>
    </row>
    <row r="268">
      <c r="A268" s="16" t="b">
        <v>0</v>
      </c>
      <c r="B268" s="16" t="s">
        <v>1582</v>
      </c>
      <c r="C268" s="16" t="s">
        <v>1405</v>
      </c>
      <c r="E268" s="3" t="str">
        <f t="shared" si="5"/>
        <v/>
      </c>
    </row>
    <row r="269">
      <c r="A269" s="4" t="b">
        <v>1</v>
      </c>
      <c r="B269" s="16" t="s">
        <v>1586</v>
      </c>
      <c r="C269" s="4" t="s">
        <v>1442</v>
      </c>
      <c r="D269" s="2" t="s">
        <v>1585</v>
      </c>
      <c r="E269" s="3" t="str">
        <f t="shared" si="5"/>
        <v>/mnt/data-nas/medical_datasets/AMD-SD/</v>
      </c>
    </row>
    <row r="270">
      <c r="A270" s="16" t="b">
        <v>0</v>
      </c>
      <c r="B270" s="16" t="s">
        <v>1589</v>
      </c>
      <c r="C270" s="16" t="s">
        <v>1536</v>
      </c>
      <c r="E270" s="3" t="str">
        <f t="shared" si="5"/>
        <v/>
      </c>
    </row>
    <row r="271">
      <c r="A271" s="4" t="b">
        <v>1</v>
      </c>
      <c r="B271" s="2" t="s">
        <v>1592</v>
      </c>
      <c r="C271" s="2" t="s">
        <v>60</v>
      </c>
      <c r="D271" s="2" t="s">
        <v>1591</v>
      </c>
      <c r="E271" s="3" t="str">
        <f t="shared" si="5"/>
        <v>/mnt/data-nas/medical_datasets/RSNA/</v>
      </c>
    </row>
    <row r="272">
      <c r="A272" s="16" t="b">
        <v>0</v>
      </c>
      <c r="B272" s="2" t="s">
        <v>1595</v>
      </c>
      <c r="C272" s="16" t="s">
        <v>1596</v>
      </c>
      <c r="E272" s="3" t="str">
        <f t="shared" si="5"/>
        <v/>
      </c>
    </row>
    <row r="273">
      <c r="A273" s="4" t="b">
        <v>1</v>
      </c>
      <c r="B273" s="2" t="s">
        <v>1601</v>
      </c>
      <c r="C273" s="16" t="s">
        <v>235</v>
      </c>
      <c r="D273" s="2" t="s">
        <v>1600</v>
      </c>
      <c r="E273" s="3" t="str">
        <f t="shared" si="5"/>
        <v>/mnt/data-nas/medical_datasets/3D-MR-MS/</v>
      </c>
    </row>
    <row r="274">
      <c r="A274" s="4" t="b">
        <v>1</v>
      </c>
      <c r="B274" s="2" t="s">
        <v>1607</v>
      </c>
      <c r="C274" s="16" t="s">
        <v>1608</v>
      </c>
      <c r="D274" s="2" t="s">
        <v>1606</v>
      </c>
      <c r="E274" s="3" t="str">
        <f t="shared" si="5"/>
        <v>/mnt/data-nas/medical_datasets/Diffusion_MRI/</v>
      </c>
    </row>
    <row r="275">
      <c r="A275" s="4" t="b">
        <v>1</v>
      </c>
      <c r="B275" s="2" t="s">
        <v>1616</v>
      </c>
      <c r="C275" s="16" t="s">
        <v>1617</v>
      </c>
      <c r="D275" s="2" t="s">
        <v>1615</v>
      </c>
      <c r="E275" s="3" t="str">
        <f t="shared" si="5"/>
        <v>/mnt/data-nas/medical_datasets/7-Tesla/</v>
      </c>
    </row>
    <row r="276">
      <c r="A276" s="16" t="b">
        <v>0</v>
      </c>
      <c r="B276" s="2" t="s">
        <v>1623</v>
      </c>
      <c r="C276" s="16" t="s">
        <v>1624</v>
      </c>
      <c r="E276" s="3" t="str">
        <f t="shared" si="5"/>
        <v/>
      </c>
    </row>
    <row r="277">
      <c r="A277" s="16" t="b">
        <v>0</v>
      </c>
      <c r="B277" s="2" t="s">
        <v>1629</v>
      </c>
      <c r="C277" s="16" t="s">
        <v>1630</v>
      </c>
      <c r="E277" s="3" t="str">
        <f t="shared" si="5"/>
        <v/>
      </c>
    </row>
    <row r="278">
      <c r="A278" s="4" t="b">
        <v>1</v>
      </c>
      <c r="B278" s="2" t="s">
        <v>1638</v>
      </c>
      <c r="C278" s="16" t="s">
        <v>1639</v>
      </c>
      <c r="D278" s="2" t="s">
        <v>1637</v>
      </c>
      <c r="E278" s="3" t="str">
        <f t="shared" si="5"/>
        <v>/mnt/data-nas/medical_datasets/ABIDE/</v>
      </c>
    </row>
    <row r="279">
      <c r="A279" s="16" t="b">
        <v>0</v>
      </c>
      <c r="B279" s="2" t="s">
        <v>1645</v>
      </c>
      <c r="C279" s="16" t="s">
        <v>1646</v>
      </c>
      <c r="E279" s="3" t="str">
        <f t="shared" si="5"/>
        <v/>
      </c>
    </row>
    <row r="280">
      <c r="A280" s="4" t="b">
        <v>1</v>
      </c>
      <c r="B280" s="2" t="s">
        <v>1653</v>
      </c>
      <c r="C280" s="16" t="s">
        <v>1617</v>
      </c>
      <c r="D280" s="2" t="s">
        <v>1652</v>
      </c>
      <c r="E280" s="3" t="str">
        <f t="shared" si="5"/>
        <v>/mnt/data-nas/medical_datasets/ACPI_DU_LaBar/</v>
      </c>
    </row>
    <row r="281">
      <c r="A281" s="4" t="b">
        <v>1</v>
      </c>
      <c r="B281" s="2" t="s">
        <v>1660</v>
      </c>
      <c r="C281" s="16" t="s">
        <v>1639</v>
      </c>
      <c r="D281" s="2" t="s">
        <v>1659</v>
      </c>
      <c r="E281" s="3" t="str">
        <f t="shared" si="5"/>
        <v>/mnt/data-nas/medical_datasets/ACPI_MTA/</v>
      </c>
    </row>
    <row r="282">
      <c r="A282" s="4" t="b">
        <v>1</v>
      </c>
      <c r="B282" s="2" t="s">
        <v>1665</v>
      </c>
      <c r="C282" s="16" t="s">
        <v>1617</v>
      </c>
      <c r="D282" s="2" t="s">
        <v>1664</v>
      </c>
      <c r="E282" s="3" t="str">
        <f t="shared" si="5"/>
        <v>/mnt/data-nas/medical_datasets/ACPI_NYU/</v>
      </c>
    </row>
    <row r="283">
      <c r="A283" s="4" t="b">
        <v>1</v>
      </c>
      <c r="B283" s="2" t="s">
        <v>1670</v>
      </c>
      <c r="C283" s="16" t="s">
        <v>1639</v>
      </c>
      <c r="D283" s="2" t="s">
        <v>1669</v>
      </c>
      <c r="E283" s="3" t="str">
        <f t="shared" si="5"/>
        <v>/mnt/data-nas/medical_datasets/ADHD-200/</v>
      </c>
    </row>
    <row r="284">
      <c r="A284" s="16" t="b">
        <v>0</v>
      </c>
      <c r="B284" s="2" t="s">
        <v>1677</v>
      </c>
      <c r="C284" s="16"/>
      <c r="E284" s="3" t="str">
        <f t="shared" si="5"/>
        <v/>
      </c>
    </row>
    <row r="285">
      <c r="A285" s="4" t="b">
        <v>0</v>
      </c>
      <c r="B285" s="2" t="s">
        <v>1679</v>
      </c>
      <c r="C285" s="16"/>
      <c r="E285" s="3" t="str">
        <f t="shared" si="5"/>
        <v/>
      </c>
    </row>
    <row r="286">
      <c r="A286" s="4" t="b">
        <v>1</v>
      </c>
      <c r="B286" s="2" t="s">
        <v>1682</v>
      </c>
      <c r="C286" s="16"/>
      <c r="D286" s="2" t="s">
        <v>1681</v>
      </c>
      <c r="E286" s="3" t="str">
        <f t="shared" si="5"/>
        <v>/mnt/data-nas/medical_datasets/AOMIC/</v>
      </c>
    </row>
    <row r="287">
      <c r="A287" s="16" t="b">
        <v>0</v>
      </c>
      <c r="B287" s="2" t="s">
        <v>1684</v>
      </c>
      <c r="C287" s="16" t="s">
        <v>1685</v>
      </c>
      <c r="E287" s="3" t="str">
        <f t="shared" si="5"/>
        <v/>
      </c>
    </row>
    <row r="288">
      <c r="A288" s="4" t="b">
        <v>1</v>
      </c>
      <c r="B288" s="2" t="s">
        <v>1692</v>
      </c>
      <c r="C288" s="16" t="s">
        <v>1693</v>
      </c>
      <c r="D288" s="2" t="s">
        <v>1691</v>
      </c>
      <c r="E288" s="3" t="str">
        <f t="shared" si="5"/>
        <v>/mnt/data-nas/medical_datasets/ATLAS/</v>
      </c>
    </row>
    <row r="289">
      <c r="A289" s="4" t="b">
        <v>1</v>
      </c>
      <c r="B289" s="2" t="s">
        <v>1699</v>
      </c>
      <c r="C289" s="16" t="s">
        <v>1700</v>
      </c>
      <c r="D289" s="2" t="s">
        <v>1698</v>
      </c>
      <c r="E289" s="3" t="str">
        <f t="shared" si="5"/>
        <v>/mnt/data-nas/medical_datasets/Enhanced/</v>
      </c>
    </row>
    <row r="290">
      <c r="A290" s="4" t="b">
        <v>1</v>
      </c>
      <c r="B290" s="2" t="s">
        <v>1706</v>
      </c>
      <c r="C290" s="16" t="s">
        <v>1707</v>
      </c>
      <c r="D290" s="2" t="s">
        <v>1705</v>
      </c>
      <c r="E290" s="3" t="str">
        <f t="shared" si="5"/>
        <v>/mnt/data-nas/medical_datasets/short/</v>
      </c>
    </row>
    <row r="291">
      <c r="A291" s="4" t="b">
        <v>1</v>
      </c>
      <c r="B291" s="2" t="s">
        <v>1713</v>
      </c>
      <c r="C291" s="16" t="s">
        <v>1714</v>
      </c>
      <c r="D291" s="2" t="s">
        <v>1712</v>
      </c>
      <c r="E291" s="3" t="str">
        <f t="shared" si="5"/>
        <v>/mnt/data-nas/medical_datasets/EOEC/</v>
      </c>
    </row>
    <row r="292">
      <c r="A292" s="4" t="b">
        <v>1</v>
      </c>
      <c r="B292" s="2" t="s">
        <v>1719</v>
      </c>
      <c r="C292" s="16" t="s">
        <v>60</v>
      </c>
      <c r="D292" s="2" t="s">
        <v>1718</v>
      </c>
      <c r="E292" s="3" t="str">
        <f t="shared" si="5"/>
        <v>/mnt/data-nas/medical_datasets/BHSD/</v>
      </c>
    </row>
    <row r="293">
      <c r="A293" s="4" t="b">
        <v>1</v>
      </c>
      <c r="B293" s="2" t="s">
        <v>1726</v>
      </c>
      <c r="C293" s="16" t="s">
        <v>1727</v>
      </c>
      <c r="D293" s="2" t="s">
        <v>1725</v>
      </c>
      <c r="E293" s="3" t="str">
        <f t="shared" si="5"/>
        <v>/mnt/data-nas/medical_datasets/BigBrain/</v>
      </c>
    </row>
    <row r="294">
      <c r="A294" s="4" t="b">
        <v>1</v>
      </c>
      <c r="B294" s="2" t="s">
        <v>1734</v>
      </c>
      <c r="C294" s="16" t="s">
        <v>1735</v>
      </c>
      <c r="D294" s="2" t="s">
        <v>1733</v>
      </c>
      <c r="E294" s="3" t="str">
        <f t="shared" si="5"/>
        <v>/mnt/data-nas/medical_datasets/BONBID-HIE2023/</v>
      </c>
    </row>
    <row r="295">
      <c r="A295" s="4" t="b">
        <v>1</v>
      </c>
      <c r="B295" s="2" t="s">
        <v>1742</v>
      </c>
      <c r="C295" s="16" t="s">
        <v>1743</v>
      </c>
      <c r="D295" s="2" t="s">
        <v>1741</v>
      </c>
      <c r="E295" s="3" t="str">
        <f t="shared" si="5"/>
        <v>/mnt/data-nas/medical_datasets/BONBID-HIE2024/</v>
      </c>
    </row>
    <row r="296">
      <c r="A296" s="4" t="b">
        <v>1</v>
      </c>
      <c r="B296" s="2" t="s">
        <v>1750</v>
      </c>
      <c r="C296" s="16" t="s">
        <v>235</v>
      </c>
      <c r="D296" s="2" t="s">
        <v>1749</v>
      </c>
      <c r="E296" s="3" t="str">
        <f t="shared" si="5"/>
        <v>/mnt/data-nas/medical_datasets/BR35H/</v>
      </c>
    </row>
    <row r="297">
      <c r="A297" s="4" t="b">
        <v>1</v>
      </c>
      <c r="B297" s="2" t="s">
        <v>1755</v>
      </c>
      <c r="C297" s="16" t="s">
        <v>1756</v>
      </c>
      <c r="D297" s="2" t="s">
        <v>1754</v>
      </c>
      <c r="E297" s="3" t="str">
        <f t="shared" si="5"/>
        <v>/mnt/data-nas/medical_datasets/BTC/</v>
      </c>
    </row>
    <row r="298">
      <c r="A298" s="4" t="b">
        <v>1</v>
      </c>
      <c r="B298" s="2" t="s">
        <v>1760</v>
      </c>
      <c r="C298" s="16" t="s">
        <v>33</v>
      </c>
      <c r="D298" s="2" t="s">
        <v>1759</v>
      </c>
      <c r="E298" s="3" t="str">
        <f t="shared" si="5"/>
        <v>/mnt/data-nas/medical_datasets/BTD/</v>
      </c>
    </row>
    <row r="299">
      <c r="A299" s="4" t="b">
        <v>1</v>
      </c>
      <c r="B299" s="2" t="s">
        <v>1764</v>
      </c>
      <c r="C299" s="16" t="s">
        <v>1765</v>
      </c>
      <c r="D299" s="2" t="s">
        <v>1763</v>
      </c>
      <c r="E299" s="3" t="str">
        <f t="shared" si="5"/>
        <v>/mnt/data-nas/medical_datasets/brain_tumor/</v>
      </c>
    </row>
    <row r="300">
      <c r="A300" s="16" t="b">
        <v>0</v>
      </c>
      <c r="B300" s="2" t="s">
        <v>1770</v>
      </c>
      <c r="C300" s="16" t="s">
        <v>235</v>
      </c>
      <c r="E300" s="3" t="str">
        <f t="shared" si="5"/>
        <v/>
      </c>
    </row>
    <row r="301">
      <c r="A301" s="4" t="b">
        <v>1</v>
      </c>
      <c r="B301" s="2" t="s">
        <v>1776</v>
      </c>
      <c r="C301" s="16" t="s">
        <v>1756</v>
      </c>
      <c r="D301" s="2" t="s">
        <v>1775</v>
      </c>
      <c r="E301" s="3" t="str">
        <f t="shared" si="5"/>
        <v>/mnt/data-nas/medical_datasets/BrainMetShare/</v>
      </c>
    </row>
    <row r="302">
      <c r="A302" s="4" t="b">
        <v>1</v>
      </c>
      <c r="B302" s="2" t="s">
        <v>1779</v>
      </c>
      <c r="C302" s="16" t="s">
        <v>1780</v>
      </c>
      <c r="D302" s="2" t="s">
        <v>1778</v>
      </c>
      <c r="E302" s="3" t="str">
        <f t="shared" si="5"/>
        <v>/mnt/data-nas/medical_datasets/BRAINS/</v>
      </c>
    </row>
    <row r="303">
      <c r="A303" s="16" t="b">
        <v>0</v>
      </c>
      <c r="B303" s="2" t="s">
        <v>1787</v>
      </c>
      <c r="C303" s="16" t="s">
        <v>1788</v>
      </c>
      <c r="E303" s="3" t="str">
        <f t="shared" si="5"/>
        <v/>
      </c>
    </row>
    <row r="304">
      <c r="A304" s="16" t="b">
        <v>0</v>
      </c>
      <c r="B304" s="2" t="s">
        <v>1795</v>
      </c>
      <c r="C304" s="16" t="s">
        <v>1788</v>
      </c>
      <c r="E304" s="3" t="str">
        <f t="shared" si="5"/>
        <v/>
      </c>
    </row>
    <row r="305">
      <c r="A305" s="16" t="b">
        <v>0</v>
      </c>
      <c r="B305" s="2" t="s">
        <v>1800</v>
      </c>
      <c r="C305" s="16" t="s">
        <v>1788</v>
      </c>
      <c r="E305" s="3" t="str">
        <f t="shared" si="5"/>
        <v/>
      </c>
    </row>
    <row r="306">
      <c r="A306" s="16" t="b">
        <v>0</v>
      </c>
      <c r="B306" s="2" t="s">
        <v>1804</v>
      </c>
      <c r="C306" s="16" t="s">
        <v>1788</v>
      </c>
      <c r="E306" s="3" t="str">
        <f t="shared" si="5"/>
        <v/>
      </c>
    </row>
    <row r="307">
      <c r="A307" s="16" t="b">
        <v>0</v>
      </c>
      <c r="B307" s="2" t="s">
        <v>1808</v>
      </c>
      <c r="C307" s="16" t="s">
        <v>1788</v>
      </c>
      <c r="E307" s="3" t="str">
        <f t="shared" si="5"/>
        <v/>
      </c>
    </row>
    <row r="308">
      <c r="A308" s="16" t="b">
        <v>0</v>
      </c>
      <c r="B308" s="2" t="s">
        <v>1813</v>
      </c>
      <c r="C308" s="16" t="s">
        <v>1788</v>
      </c>
      <c r="E308" s="3" t="str">
        <f t="shared" si="5"/>
        <v/>
      </c>
    </row>
    <row r="309">
      <c r="A309" s="16" t="b">
        <v>0</v>
      </c>
      <c r="B309" s="2" t="s">
        <v>1818</v>
      </c>
      <c r="C309" s="16" t="s">
        <v>1788</v>
      </c>
      <c r="E309" s="3" t="str">
        <f t="shared" si="5"/>
        <v/>
      </c>
    </row>
    <row r="310">
      <c r="A310" s="16" t="b">
        <v>0</v>
      </c>
      <c r="B310" s="2" t="s">
        <v>1823</v>
      </c>
      <c r="C310" s="16" t="s">
        <v>1788</v>
      </c>
      <c r="E310" s="3" t="str">
        <f t="shared" si="5"/>
        <v/>
      </c>
    </row>
    <row r="311">
      <c r="A311" s="16" t="b">
        <v>0</v>
      </c>
      <c r="B311" s="2" t="s">
        <v>1828</v>
      </c>
      <c r="C311" s="16" t="s">
        <v>1788</v>
      </c>
      <c r="E311" s="3" t="str">
        <f t="shared" si="5"/>
        <v/>
      </c>
    </row>
    <row r="312">
      <c r="A312" s="4" t="b">
        <v>1</v>
      </c>
      <c r="B312" s="2" t="s">
        <v>1834</v>
      </c>
      <c r="C312" s="16" t="s">
        <v>1788</v>
      </c>
      <c r="D312" s="2" t="s">
        <v>1833</v>
      </c>
      <c r="E312" s="3" t="str">
        <f t="shared" si="5"/>
        <v>/mnt/data-nas/medical_datasets/BRATS2023/</v>
      </c>
    </row>
    <row r="313">
      <c r="A313" s="4" t="b">
        <v>1</v>
      </c>
      <c r="B313" s="2" t="s">
        <v>1838</v>
      </c>
      <c r="C313" s="16" t="s">
        <v>1788</v>
      </c>
      <c r="D313" s="2" t="s">
        <v>1837</v>
      </c>
      <c r="E313" s="3" t="str">
        <f t="shared" si="5"/>
        <v>/mnt/data-nas/medical_datasets/BRATS2024/</v>
      </c>
    </row>
    <row r="314">
      <c r="A314" s="16" t="b">
        <v>0</v>
      </c>
      <c r="B314" s="2" t="s">
        <v>1841</v>
      </c>
      <c r="C314" s="16" t="s">
        <v>1842</v>
      </c>
      <c r="E314" s="3" t="str">
        <f t="shared" si="5"/>
        <v/>
      </c>
    </row>
    <row r="315">
      <c r="A315" s="16" t="b">
        <v>0</v>
      </c>
      <c r="B315" s="2" t="s">
        <v>1848</v>
      </c>
      <c r="C315" s="16" t="s">
        <v>1780</v>
      </c>
      <c r="E315" s="3" t="str">
        <f t="shared" si="5"/>
        <v/>
      </c>
    </row>
    <row r="316">
      <c r="A316" s="4" t="b">
        <v>1</v>
      </c>
      <c r="B316" s="2" t="s">
        <v>1854</v>
      </c>
      <c r="C316" s="16" t="s">
        <v>1780</v>
      </c>
      <c r="D316" s="2" t="s">
        <v>1853</v>
      </c>
      <c r="E316" s="3" t="str">
        <f t="shared" si="5"/>
        <v>/mnt/data-nas/medical_datasets/Calgary/</v>
      </c>
    </row>
    <row r="317">
      <c r="A317" s="16" t="b">
        <v>0</v>
      </c>
      <c r="B317" s="2" t="s">
        <v>1859</v>
      </c>
      <c r="C317" s="16" t="s">
        <v>1860</v>
      </c>
      <c r="E317" s="3" t="str">
        <f t="shared" si="5"/>
        <v/>
      </c>
    </row>
    <row r="318">
      <c r="A318" s="4" t="b">
        <v>1</v>
      </c>
      <c r="B318" s="2" t="s">
        <v>1868</v>
      </c>
      <c r="C318" s="16" t="s">
        <v>1693</v>
      </c>
      <c r="D318" s="2" t="s">
        <v>1867</v>
      </c>
      <c r="E318" s="3" t="str">
        <f t="shared" si="5"/>
        <v>/mnt/data-nas/medical_datasets/CAUSE07/</v>
      </c>
    </row>
    <row r="319">
      <c r="A319" s="4" t="b">
        <v>1</v>
      </c>
      <c r="B319" s="2" t="s">
        <v>1872</v>
      </c>
      <c r="C319" s="16" t="s">
        <v>1617</v>
      </c>
      <c r="D319" s="2" t="s">
        <v>1871</v>
      </c>
      <c r="E319" s="3" t="str">
        <f t="shared" si="5"/>
        <v>/mnt/data-nas/medical_datasets/ds174_R1.0.0_all_data.tgz</v>
      </c>
    </row>
    <row r="320">
      <c r="A320" s="16" t="b">
        <v>0</v>
      </c>
      <c r="B320" s="2" t="s">
        <v>1879</v>
      </c>
      <c r="C320" s="16" t="s">
        <v>1880</v>
      </c>
      <c r="E320" s="3" t="str">
        <f t="shared" si="5"/>
        <v/>
      </c>
    </row>
    <row r="321">
      <c r="A321" s="16" t="b">
        <v>0</v>
      </c>
      <c r="B321" s="2" t="s">
        <v>1887</v>
      </c>
      <c r="C321" s="16" t="s">
        <v>1888</v>
      </c>
      <c r="E321" s="3" t="str">
        <f t="shared" si="5"/>
        <v/>
      </c>
    </row>
    <row r="322">
      <c r="A322" s="16" t="b">
        <v>0</v>
      </c>
      <c r="B322" s="2" t="s">
        <v>1893</v>
      </c>
      <c r="C322" s="16" t="s">
        <v>1894</v>
      </c>
      <c r="E322" s="3" t="str">
        <f t="shared" si="5"/>
        <v/>
      </c>
    </row>
    <row r="323">
      <c r="A323" s="4" t="b">
        <v>1</v>
      </c>
      <c r="B323" s="2" t="s">
        <v>1900</v>
      </c>
      <c r="C323" s="16" t="s">
        <v>60</v>
      </c>
      <c r="D323" s="2" t="s">
        <v>1899</v>
      </c>
      <c r="E323" s="3" t="str">
        <f t="shared" si="5"/>
        <v>/mnt/data-nas/medical_datasets/physionet.org/</v>
      </c>
    </row>
    <row r="324">
      <c r="A324" s="4" t="b">
        <v>1</v>
      </c>
      <c r="B324" s="2" t="s">
        <v>1907</v>
      </c>
      <c r="C324" s="16" t="s">
        <v>1908</v>
      </c>
      <c r="D324" s="2" t="s">
        <v>1906</v>
      </c>
      <c r="E324" s="3" t="str">
        <f t="shared" si="5"/>
        <v>/mnt/data-nas/medical_datasets/CoRR/</v>
      </c>
    </row>
    <row r="325">
      <c r="A325" s="16" t="b">
        <v>0</v>
      </c>
      <c r="B325" s="2" t="s">
        <v>1915</v>
      </c>
      <c r="C325" s="16" t="s">
        <v>1788</v>
      </c>
      <c r="E325" s="3" t="str">
        <f t="shared" si="5"/>
        <v/>
      </c>
    </row>
    <row r="326">
      <c r="A326" s="4" t="b">
        <v>1</v>
      </c>
      <c r="B326" s="2" t="s">
        <v>1920</v>
      </c>
      <c r="C326" s="16" t="s">
        <v>60</v>
      </c>
      <c r="D326" s="2" t="s">
        <v>1919</v>
      </c>
      <c r="E326" s="3" t="str">
        <f t="shared" si="5"/>
        <v>/mnt/data-nas/medical_datasets/CQ500/</v>
      </c>
    </row>
    <row r="327">
      <c r="A327" s="4" t="b">
        <v>1</v>
      </c>
      <c r="B327" s="2" t="s">
        <v>1928</v>
      </c>
      <c r="C327" s="16" t="s">
        <v>1929</v>
      </c>
      <c r="D327" s="2" t="s">
        <v>1927</v>
      </c>
      <c r="E327" s="3" t="str">
        <f t="shared" si="5"/>
        <v>/mnt/data-nas/medical_datasets/crossMoDA2022/</v>
      </c>
    </row>
    <row r="328">
      <c r="A328" s="4" t="b">
        <v>0</v>
      </c>
      <c r="B328" s="2" t="s">
        <v>1935</v>
      </c>
      <c r="C328" s="16" t="s">
        <v>1929</v>
      </c>
      <c r="E328" s="3" t="str">
        <f t="shared" si="5"/>
        <v/>
      </c>
    </row>
    <row r="329">
      <c r="A329" s="16" t="b">
        <v>0</v>
      </c>
      <c r="B329" s="2" t="s">
        <v>1941</v>
      </c>
      <c r="C329" s="16" t="s">
        <v>1908</v>
      </c>
      <c r="D329" s="2" t="s">
        <v>1940</v>
      </c>
      <c r="E329" s="3" t="str">
        <f t="shared" si="5"/>
        <v/>
      </c>
    </row>
    <row r="330">
      <c r="A330" s="16" t="b">
        <v>0</v>
      </c>
      <c r="B330" s="2" t="s">
        <v>1947</v>
      </c>
      <c r="C330" s="16" t="s">
        <v>1948</v>
      </c>
      <c r="E330" s="3" t="str">
        <f t="shared" si="5"/>
        <v/>
      </c>
    </row>
    <row r="331">
      <c r="A331" s="4" t="b">
        <v>1</v>
      </c>
      <c r="B331" s="2" t="s">
        <v>1954</v>
      </c>
      <c r="C331" s="16" t="s">
        <v>1955</v>
      </c>
      <c r="D331" s="2" t="s">
        <v>1953</v>
      </c>
      <c r="E331" s="3" t="str">
        <f t="shared" si="5"/>
        <v>/mnt/data-nas/medical_datasets/DFCI/</v>
      </c>
    </row>
    <row r="332">
      <c r="A332" s="4" t="b">
        <v>1</v>
      </c>
      <c r="B332" s="2" t="s">
        <v>1963</v>
      </c>
      <c r="C332" s="16" t="s">
        <v>1964</v>
      </c>
      <c r="D332" s="2" t="s">
        <v>5156</v>
      </c>
      <c r="E332" s="3" t="str">
        <f t="shared" ref="E332:E442" si="6">IF(A332=True, SUBSTITUTE(D332, "NAS: ", "/mnt/data-nas/medical_datasets/"), "")</f>
        <v>/mnt/data-nas/medical_datasets/DLBS</v>
      </c>
    </row>
    <row r="333">
      <c r="A333" s="16" t="b">
        <v>0</v>
      </c>
      <c r="B333" s="2" t="s">
        <v>1971</v>
      </c>
      <c r="C333" s="16" t="s">
        <v>1972</v>
      </c>
      <c r="D333" s="2" t="s">
        <v>1969</v>
      </c>
      <c r="E333" s="3" t="str">
        <f t="shared" si="6"/>
        <v/>
      </c>
    </row>
    <row r="334">
      <c r="A334" s="4" t="b">
        <v>1</v>
      </c>
      <c r="B334" s="2" t="s">
        <v>1980</v>
      </c>
      <c r="C334" s="16" t="s">
        <v>1693</v>
      </c>
      <c r="D334" s="2" t="s">
        <v>1978</v>
      </c>
      <c r="E334" s="3" t="str">
        <f t="shared" si="6"/>
        <v>/mnt/data-nas/medical_datasets/EPISURG</v>
      </c>
    </row>
    <row r="335">
      <c r="A335" s="4" t="b">
        <v>1</v>
      </c>
      <c r="B335" s="2" t="s">
        <v>1988</v>
      </c>
      <c r="C335" s="16" t="s">
        <v>1989</v>
      </c>
      <c r="D335" s="2" t="s">
        <v>1987</v>
      </c>
      <c r="E335" s="3" t="str">
        <f t="shared" si="6"/>
        <v>/mnt/data-nas/medical_datasets/synapse</v>
      </c>
    </row>
    <row r="336">
      <c r="A336" s="4" t="b">
        <v>1</v>
      </c>
      <c r="B336" s="2" t="s">
        <v>1996</v>
      </c>
      <c r="C336" s="16" t="s">
        <v>1989</v>
      </c>
      <c r="D336" s="2" t="s">
        <v>1987</v>
      </c>
      <c r="E336" s="3" t="str">
        <f t="shared" si="6"/>
        <v>/mnt/data-nas/medical_datasets/synapse</v>
      </c>
    </row>
    <row r="337">
      <c r="A337" s="4" t="b">
        <v>1</v>
      </c>
      <c r="B337" s="2" t="s">
        <v>2004</v>
      </c>
      <c r="C337" s="16" t="s">
        <v>2005</v>
      </c>
      <c r="D337" s="2" t="s">
        <v>2002</v>
      </c>
      <c r="E337" s="3" t="str">
        <f t="shared" si="6"/>
        <v>/mnt/data-nas/medical_datasets/FIND_Lab</v>
      </c>
    </row>
    <row r="338">
      <c r="A338" s="16" t="b">
        <v>0</v>
      </c>
      <c r="B338" s="2" t="s">
        <v>2012</v>
      </c>
      <c r="C338" s="16" t="s">
        <v>235</v>
      </c>
      <c r="D338" s="2" t="s">
        <v>1969</v>
      </c>
      <c r="E338" s="3" t="str">
        <f t="shared" si="6"/>
        <v/>
      </c>
    </row>
    <row r="339">
      <c r="A339" s="4" t="b">
        <v>1</v>
      </c>
      <c r="B339" s="2" t="s">
        <v>2019</v>
      </c>
      <c r="C339" s="16" t="s">
        <v>2020</v>
      </c>
      <c r="D339" s="2" t="s">
        <v>2018</v>
      </c>
      <c r="E339" s="3" t="str">
        <f t="shared" si="6"/>
        <v>/mnt/data-nas/medical_datasets/shared_data.zip</v>
      </c>
    </row>
    <row r="340">
      <c r="A340" s="16" t="b">
        <v>0</v>
      </c>
      <c r="B340" s="2" t="s">
        <v>2026</v>
      </c>
      <c r="C340" s="16" t="s">
        <v>2027</v>
      </c>
      <c r="D340" s="2" t="s">
        <v>1969</v>
      </c>
      <c r="E340" s="3" t="str">
        <f t="shared" si="6"/>
        <v/>
      </c>
    </row>
    <row r="341">
      <c r="A341" s="16" t="b">
        <v>0</v>
      </c>
      <c r="B341" s="2" t="s">
        <v>2033</v>
      </c>
      <c r="C341" s="16" t="s">
        <v>2034</v>
      </c>
      <c r="D341" s="2" t="s">
        <v>1969</v>
      </c>
      <c r="E341" s="3" t="str">
        <f t="shared" si="6"/>
        <v/>
      </c>
    </row>
    <row r="342">
      <c r="A342" s="4" t="b">
        <v>1</v>
      </c>
      <c r="B342" s="2" t="s">
        <v>2043</v>
      </c>
      <c r="C342" s="16" t="s">
        <v>2034</v>
      </c>
      <c r="D342" s="2" t="s">
        <v>2041</v>
      </c>
      <c r="E342" s="3" t="str">
        <f t="shared" si="6"/>
        <v>/mnt/data-nas/medical_datasets/HARDI2013</v>
      </c>
    </row>
    <row r="343">
      <c r="A343" s="4" t="b">
        <v>1</v>
      </c>
      <c r="B343" s="2" t="s">
        <v>2050</v>
      </c>
      <c r="C343" s="16" t="s">
        <v>2051</v>
      </c>
      <c r="D343" s="2" t="s">
        <v>2049</v>
      </c>
      <c r="E343" s="3" t="str">
        <f t="shared" si="6"/>
        <v>/mnt/data-nas/medical_datasets/HBN-SSI</v>
      </c>
    </row>
    <row r="344">
      <c r="A344" s="4" t="b">
        <v>1</v>
      </c>
      <c r="B344" s="2" t="s">
        <v>2058</v>
      </c>
      <c r="C344" s="16" t="s">
        <v>2059</v>
      </c>
      <c r="D344" s="2" t="s">
        <v>5157</v>
      </c>
      <c r="E344" s="3" t="str">
        <f t="shared" si="6"/>
        <v>/mnt/data-nas/medical_datasets/HCP</v>
      </c>
    </row>
    <row r="345">
      <c r="A345" s="4" t="b">
        <v>1</v>
      </c>
      <c r="B345" s="2" t="s">
        <v>2066</v>
      </c>
      <c r="C345" s="16" t="s">
        <v>1693</v>
      </c>
      <c r="D345" s="2" t="s">
        <v>2065</v>
      </c>
      <c r="E345" s="3" t="str">
        <f t="shared" si="6"/>
        <v>/mnt/data-nas/medical_datasets/MSD</v>
      </c>
    </row>
    <row r="346">
      <c r="A346" s="4" t="b">
        <v>1</v>
      </c>
      <c r="B346" s="2" t="s">
        <v>2073</v>
      </c>
      <c r="C346" s="16" t="s">
        <v>2074</v>
      </c>
      <c r="D346" s="2" t="s">
        <v>2072</v>
      </c>
      <c r="E346" s="3" t="str">
        <f t="shared" si="6"/>
        <v>/mnt/data-nas/medical_datasets/HNU</v>
      </c>
    </row>
    <row r="347">
      <c r="A347" s="4" t="b">
        <v>1</v>
      </c>
      <c r="B347" s="2" t="s">
        <v>2081</v>
      </c>
      <c r="C347" s="16" t="s">
        <v>1693</v>
      </c>
      <c r="D347" s="2" t="s">
        <v>2079</v>
      </c>
      <c r="E347" s="3" t="str">
        <f t="shared" si="6"/>
        <v>/mnt/data-nas/medical_datasets/Hypo-Seg</v>
      </c>
    </row>
    <row r="348">
      <c r="A348" s="4" t="b">
        <v>1</v>
      </c>
      <c r="B348" s="2" t="s">
        <v>2086</v>
      </c>
      <c r="C348" s="16" t="s">
        <v>1693</v>
      </c>
      <c r="D348" s="2" t="s">
        <v>2085</v>
      </c>
      <c r="E348" s="3" t="str">
        <f t="shared" si="6"/>
        <v>/mnt/data-nas/medical_datasets/IBSR</v>
      </c>
    </row>
    <row r="349">
      <c r="A349" s="4" t="b">
        <v>1</v>
      </c>
      <c r="B349" s="2" t="s">
        <v>2092</v>
      </c>
      <c r="C349" s="16" t="s">
        <v>2093</v>
      </c>
      <c r="D349" s="2" t="s">
        <v>2091</v>
      </c>
      <c r="E349" s="3" t="str">
        <f t="shared" si="6"/>
        <v>/mnt/data-nas/medical_datasets/Hypo-Seg/IXI</v>
      </c>
    </row>
    <row r="350">
      <c r="A350" s="16" t="b">
        <v>0</v>
      </c>
      <c r="B350" s="2" t="s">
        <v>2100</v>
      </c>
      <c r="C350" s="16" t="s">
        <v>2101</v>
      </c>
      <c r="D350" s="2" t="s">
        <v>1969</v>
      </c>
      <c r="E350" s="3" t="str">
        <f t="shared" si="6"/>
        <v/>
      </c>
    </row>
    <row r="351">
      <c r="A351" s="4" t="b">
        <v>1</v>
      </c>
      <c r="B351" s="2" t="s">
        <v>2108</v>
      </c>
      <c r="C351" s="16" t="s">
        <v>2101</v>
      </c>
      <c r="D351" s="2" t="s">
        <v>2107</v>
      </c>
      <c r="E351" s="3" t="str">
        <f t="shared" si="6"/>
        <v>/mnt/data-nas/medical_datasets/long-MR-MS</v>
      </c>
    </row>
    <row r="352">
      <c r="A352" s="4" t="b">
        <v>1</v>
      </c>
      <c r="B352" s="2" t="s">
        <v>2117</v>
      </c>
      <c r="C352" s="16" t="s">
        <v>2118</v>
      </c>
      <c r="D352" s="2" t="s">
        <v>2115</v>
      </c>
      <c r="E352" s="3" t="str">
        <f t="shared" si="6"/>
        <v>/mnt/data-nas/medical_datasets/M4Raw.zip</v>
      </c>
    </row>
    <row r="353">
      <c r="A353" s="4" t="b">
        <v>1</v>
      </c>
      <c r="B353" s="2" t="s">
        <v>2124</v>
      </c>
      <c r="C353" s="16" t="s">
        <v>2125</v>
      </c>
      <c r="D353" s="2" t="s">
        <v>2123</v>
      </c>
      <c r="E353" s="3" t="str">
        <f t="shared" si="6"/>
        <v>/mnt/data-nas/medical_datasets/MASSIVE</v>
      </c>
    </row>
    <row r="354">
      <c r="A354" s="16" t="b">
        <v>0</v>
      </c>
      <c r="B354" s="2" t="s">
        <v>2131</v>
      </c>
      <c r="C354" s="16" t="s">
        <v>2132</v>
      </c>
      <c r="D354" s="2" t="s">
        <v>1969</v>
      </c>
      <c r="E354" s="3" t="str">
        <f t="shared" si="6"/>
        <v/>
      </c>
    </row>
    <row r="355">
      <c r="A355" s="4" t="b">
        <v>1</v>
      </c>
      <c r="B355" s="2" t="s">
        <v>2139</v>
      </c>
      <c r="C355" s="16" t="s">
        <v>2140</v>
      </c>
      <c r="D355" s="2" t="s">
        <v>2138</v>
      </c>
      <c r="E355" s="3" t="str">
        <f t="shared" si="6"/>
        <v>/mnt/data-nas/medical_datasets/MICA-MICs</v>
      </c>
    </row>
    <row r="356">
      <c r="A356" s="4" t="b">
        <v>1</v>
      </c>
      <c r="B356" s="2" t="s">
        <v>2147</v>
      </c>
      <c r="C356" s="16" t="s">
        <v>1693</v>
      </c>
      <c r="D356" s="2" t="s">
        <v>2146</v>
      </c>
      <c r="E356" s="3" t="str">
        <f t="shared" si="6"/>
        <v>/mnt/data-nas/medical_datasets/Mindboggle</v>
      </c>
    </row>
    <row r="357">
      <c r="A357" s="4" t="b">
        <v>1</v>
      </c>
      <c r="B357" s="2" t="s">
        <v>2156</v>
      </c>
      <c r="C357" s="16" t="s">
        <v>1693</v>
      </c>
      <c r="D357" s="2" t="s">
        <v>5158</v>
      </c>
      <c r="E357" s="3" t="str">
        <f t="shared" si="6"/>
        <v>/mnt/data-nas/medical_datasets/MIRIAD</v>
      </c>
    </row>
    <row r="358">
      <c r="A358" s="4" t="b">
        <v>1</v>
      </c>
      <c r="B358" s="2" t="s">
        <v>2162</v>
      </c>
      <c r="C358" s="16" t="s">
        <v>2163</v>
      </c>
      <c r="D358" s="2" t="s">
        <v>2161</v>
      </c>
      <c r="E358" s="3" t="str">
        <f t="shared" si="6"/>
        <v>/mnt/data-nas/medical_datasets/mm-brain-MR</v>
      </c>
    </row>
    <row r="359">
      <c r="A359" s="4" t="b">
        <v>1</v>
      </c>
      <c r="B359" s="2" t="s">
        <v>2172</v>
      </c>
      <c r="C359" s="16" t="s">
        <v>2173</v>
      </c>
      <c r="D359" s="2" t="s">
        <v>2171</v>
      </c>
      <c r="E359" s="3" t="str">
        <f t="shared" si="6"/>
        <v>/mnt/data-nas/medical_datasets/MMRR</v>
      </c>
    </row>
    <row r="360">
      <c r="A360" s="4" t="b">
        <v>1</v>
      </c>
      <c r="B360" s="2" t="s">
        <v>2180</v>
      </c>
      <c r="C360" s="16" t="s">
        <v>2181</v>
      </c>
      <c r="D360" s="2" t="s">
        <v>2179</v>
      </c>
      <c r="E360" s="3" t="str">
        <f t="shared" si="6"/>
        <v>/mnt/data-nas/medical_datasets/MNI-HiSUB25</v>
      </c>
    </row>
    <row r="361">
      <c r="A361" s="4" t="b">
        <v>1</v>
      </c>
      <c r="B361" s="2" t="s">
        <v>2188</v>
      </c>
      <c r="C361" s="16" t="s">
        <v>2189</v>
      </c>
      <c r="D361" s="2" t="s">
        <v>2187</v>
      </c>
      <c r="E361" s="3" t="str">
        <f t="shared" si="6"/>
        <v>/mnt/data-nas/medical_datasets/ds000221-download</v>
      </c>
    </row>
    <row r="362">
      <c r="A362" s="4" t="b">
        <v>1</v>
      </c>
      <c r="B362" s="2" t="s">
        <v>2195</v>
      </c>
      <c r="C362" s="16" t="s">
        <v>2196</v>
      </c>
      <c r="D362" s="2" t="s">
        <v>2194</v>
      </c>
      <c r="E362" s="3" t="str">
        <f t="shared" si="6"/>
        <v>/mnt/data-nas/medical_datasets/MRBrainS18.zip</v>
      </c>
    </row>
    <row r="363">
      <c r="A363" s="4" t="b">
        <v>1</v>
      </c>
      <c r="B363" s="2" t="s">
        <v>2202</v>
      </c>
      <c r="C363" s="16" t="s">
        <v>235</v>
      </c>
      <c r="D363" s="2" t="s">
        <v>2201</v>
      </c>
      <c r="E363" s="3" t="str">
        <f t="shared" si="6"/>
        <v>/mnt/data-nas/medical_datasets/mri-and-alzheimers.zip</v>
      </c>
    </row>
    <row r="364">
      <c r="A364" s="4" t="b">
        <v>1</v>
      </c>
      <c r="B364" s="2" t="s">
        <v>2206</v>
      </c>
      <c r="C364" s="16" t="s">
        <v>1929</v>
      </c>
      <c r="D364" s="2" t="s">
        <v>2204</v>
      </c>
      <c r="E364" s="3" t="str">
        <f t="shared" si="6"/>
        <v>/mnt/data-nas/medical_datasets/MSSeg/msseg2008</v>
      </c>
    </row>
    <row r="365">
      <c r="A365" s="4" t="b">
        <v>1</v>
      </c>
      <c r="B365" s="2" t="s">
        <v>2209</v>
      </c>
      <c r="C365" s="16" t="s">
        <v>2210</v>
      </c>
      <c r="D365" s="2" t="s">
        <v>2208</v>
      </c>
      <c r="E365" s="3" t="str">
        <f t="shared" si="6"/>
        <v>/mnt/data-nas/medical_datasets/MSSeg/msseg2016</v>
      </c>
    </row>
    <row r="366">
      <c r="A366" s="16" t="b">
        <v>0</v>
      </c>
      <c r="B366" s="2" t="s">
        <v>2214</v>
      </c>
      <c r="C366" s="16" t="s">
        <v>2215</v>
      </c>
      <c r="D366" s="2" t="s">
        <v>1969</v>
      </c>
      <c r="E366" s="3" t="str">
        <f t="shared" si="6"/>
        <v/>
      </c>
    </row>
    <row r="367">
      <c r="A367" s="4" t="b">
        <v>1</v>
      </c>
      <c r="B367" s="2" t="s">
        <v>2221</v>
      </c>
      <c r="C367" s="16" t="s">
        <v>2222</v>
      </c>
      <c r="D367" s="2" t="s">
        <v>2220</v>
      </c>
      <c r="E367" s="3" t="str">
        <f t="shared" si="6"/>
        <v>/mnt/data-nas/medical_datasets/multishell_diffu_MRI</v>
      </c>
    </row>
    <row r="368">
      <c r="A368" s="4" t="b">
        <v>1</v>
      </c>
      <c r="B368" s="2" t="s">
        <v>2228</v>
      </c>
      <c r="C368" s="16" t="s">
        <v>2229</v>
      </c>
      <c r="D368" s="2" t="s">
        <v>2227</v>
      </c>
      <c r="E368" s="3" t="str">
        <f t="shared" si="6"/>
        <v>/mnt/data-nas/medical_datasets/MMCP</v>
      </c>
    </row>
    <row r="369">
      <c r="A369" s="4" t="b">
        <v>1</v>
      </c>
      <c r="B369" s="2" t="s">
        <v>2234</v>
      </c>
      <c r="C369" s="16" t="s">
        <v>2235</v>
      </c>
      <c r="D369" s="2" t="s">
        <v>2233</v>
      </c>
      <c r="E369" s="3" t="str">
        <f t="shared" si="6"/>
        <v>/mnt/data-nas/medical_datasets/Narratives</v>
      </c>
    </row>
    <row r="370">
      <c r="A370" s="4" t="b">
        <v>1</v>
      </c>
      <c r="B370" s="2" t="s">
        <v>2240</v>
      </c>
      <c r="C370" s="16" t="s">
        <v>2241</v>
      </c>
      <c r="D370" s="2" t="s">
        <v>2239</v>
      </c>
      <c r="E370" s="3" t="str">
        <f t="shared" si="6"/>
        <v>/mnt/data-nas/medical_datasets/Naturalistic_Viewing</v>
      </c>
    </row>
    <row r="371">
      <c r="A371" s="16" t="b">
        <v>0</v>
      </c>
      <c r="B371" s="2" t="s">
        <v>2246</v>
      </c>
      <c r="C371" s="16" t="s">
        <v>2247</v>
      </c>
      <c r="D371" s="2" t="s">
        <v>1969</v>
      </c>
      <c r="E371" s="3" t="str">
        <f t="shared" si="6"/>
        <v/>
      </c>
    </row>
    <row r="372">
      <c r="A372" s="16" t="b">
        <v>0</v>
      </c>
      <c r="B372" s="2" t="s">
        <v>2254</v>
      </c>
      <c r="C372" s="16" t="s">
        <v>1617</v>
      </c>
      <c r="D372" s="2" t="s">
        <v>2252</v>
      </c>
      <c r="E372" s="3" t="str">
        <f t="shared" si="6"/>
        <v/>
      </c>
    </row>
    <row r="373">
      <c r="A373" s="4" t="b">
        <v>1</v>
      </c>
      <c r="B373" s="2" t="s">
        <v>2260</v>
      </c>
      <c r="C373" s="16" t="s">
        <v>2261</v>
      </c>
      <c r="D373" s="2" t="s">
        <v>5159</v>
      </c>
      <c r="E373" s="3" t="str">
        <f t="shared" si="6"/>
        <v>/mnt/data-nas/medical_datasets//NeuAtlas</v>
      </c>
    </row>
    <row r="374">
      <c r="A374" s="16" t="b">
        <v>0</v>
      </c>
      <c r="B374" s="2" t="s">
        <v>2266</v>
      </c>
      <c r="C374" s="16"/>
      <c r="D374" s="2" t="s">
        <v>1969</v>
      </c>
      <c r="E374" s="3" t="str">
        <f t="shared" si="6"/>
        <v/>
      </c>
    </row>
    <row r="375">
      <c r="A375" s="16" t="b">
        <v>0</v>
      </c>
      <c r="B375" s="2" t="s">
        <v>2268</v>
      </c>
      <c r="C375" s="16"/>
      <c r="D375" s="2" t="s">
        <v>1969</v>
      </c>
      <c r="E375" s="3" t="str">
        <f t="shared" si="6"/>
        <v/>
      </c>
    </row>
    <row r="376">
      <c r="A376" s="4" t="b">
        <v>1</v>
      </c>
      <c r="B376" s="2" t="s">
        <v>2272</v>
      </c>
      <c r="C376" s="16"/>
      <c r="D376" s="2" t="s">
        <v>2270</v>
      </c>
      <c r="E376" s="3" t="str">
        <f t="shared" si="6"/>
        <v>/mnt/data-nas/medical_datasets/NSD</v>
      </c>
    </row>
    <row r="377">
      <c r="A377" s="16" t="b">
        <v>0</v>
      </c>
      <c r="B377" s="2" t="s">
        <v>2274</v>
      </c>
      <c r="C377" s="16" t="s">
        <v>1617</v>
      </c>
      <c r="D377" s="2" t="s">
        <v>1969</v>
      </c>
      <c r="E377" s="3" t="str">
        <f t="shared" si="6"/>
        <v/>
      </c>
    </row>
    <row r="378">
      <c r="A378" s="4" t="b">
        <v>1</v>
      </c>
      <c r="B378" s="2" t="s">
        <v>2279</v>
      </c>
      <c r="C378" s="16" t="s">
        <v>2280</v>
      </c>
      <c r="D378" s="2" t="s">
        <v>2278</v>
      </c>
      <c r="E378" s="3" t="str">
        <f t="shared" si="6"/>
        <v>/mnt/data-nas/medical_datasets/Parkinson</v>
      </c>
    </row>
    <row r="379">
      <c r="A379" s="4" t="b">
        <v>1</v>
      </c>
      <c r="B379" s="2" t="s">
        <v>2286</v>
      </c>
      <c r="C379" s="16" t="s">
        <v>2287</v>
      </c>
      <c r="D379" s="2" t="s">
        <v>2284</v>
      </c>
      <c r="E379" s="3" t="str">
        <f t="shared" si="6"/>
        <v>/mnt/data-nas/medical_datasets/PERform.zip</v>
      </c>
    </row>
    <row r="380">
      <c r="A380" s="16" t="b">
        <v>0</v>
      </c>
      <c r="B380" s="2" t="s">
        <v>2293</v>
      </c>
      <c r="C380" s="16" t="s">
        <v>2294</v>
      </c>
      <c r="D380" s="2" t="s">
        <v>1969</v>
      </c>
      <c r="E380" s="3" t="str">
        <f t="shared" si="6"/>
        <v/>
      </c>
    </row>
    <row r="381">
      <c r="A381" s="4" t="b">
        <v>1</v>
      </c>
      <c r="B381" s="2" t="s">
        <v>2302</v>
      </c>
      <c r="C381" s="16" t="s">
        <v>2303</v>
      </c>
      <c r="D381" s="2" t="s">
        <v>2300</v>
      </c>
      <c r="E381" s="3" t="str">
        <f t="shared" si="6"/>
        <v>/mnt/data-nas/medical_datasets/PPMI</v>
      </c>
    </row>
    <row r="382">
      <c r="A382" s="4" t="b">
        <v>1</v>
      </c>
      <c r="B382" s="2" t="s">
        <v>2311</v>
      </c>
      <c r="C382" s="16" t="s">
        <v>2312</v>
      </c>
      <c r="D382" s="2" t="s">
        <v>2310</v>
      </c>
      <c r="E382" s="3" t="str">
        <f t="shared" si="6"/>
        <v>/mnt/data-nas/medical_datasets/Prenatal_brain</v>
      </c>
    </row>
    <row r="383">
      <c r="A383" s="4" t="b">
        <v>1</v>
      </c>
      <c r="B383" s="2" t="s">
        <v>2320</v>
      </c>
      <c r="C383" s="16" t="s">
        <v>2294</v>
      </c>
      <c r="D383" s="2" t="s">
        <v>5160</v>
      </c>
      <c r="E383" s="3" t="str">
        <f t="shared" si="6"/>
        <v>/mnt/data-nas/medical_datasets/conp/conp-dataset/projects/preventad-open</v>
      </c>
    </row>
    <row r="384">
      <c r="A384" s="4" t="b">
        <v>1</v>
      </c>
      <c r="B384" s="2" t="s">
        <v>2329</v>
      </c>
      <c r="C384" s="16" t="s">
        <v>2330</v>
      </c>
      <c r="D384" s="2" t="s">
        <v>5161</v>
      </c>
      <c r="E384" s="3" t="str">
        <f t="shared" si="6"/>
        <v>/mnt/data-nas/medical_datasets/PRIME-DE</v>
      </c>
    </row>
    <row r="385">
      <c r="A385" s="16" t="b">
        <v>0</v>
      </c>
      <c r="B385" s="2" t="s">
        <v>2334</v>
      </c>
      <c r="C385" s="16" t="s">
        <v>2335</v>
      </c>
      <c r="D385" s="2" t="s">
        <v>1969</v>
      </c>
      <c r="E385" s="3" t="str">
        <f t="shared" si="6"/>
        <v/>
      </c>
    </row>
    <row r="386">
      <c r="A386" s="16" t="b">
        <v>0</v>
      </c>
      <c r="B386" s="2" t="s">
        <v>2338</v>
      </c>
      <c r="C386" s="16" t="s">
        <v>2339</v>
      </c>
      <c r="D386" s="2" t="s">
        <v>1969</v>
      </c>
      <c r="E386" s="3" t="str">
        <f t="shared" si="6"/>
        <v/>
      </c>
    </row>
    <row r="387">
      <c r="A387" s="4" t="b">
        <v>1</v>
      </c>
      <c r="B387" s="2" t="s">
        <v>2343</v>
      </c>
      <c r="C387" s="16" t="s">
        <v>2344</v>
      </c>
      <c r="D387" s="2" t="s">
        <v>2342</v>
      </c>
      <c r="E387" s="3" t="str">
        <f t="shared" si="6"/>
        <v>/mnt/data-nas/medical_datasets/realnoiseMRI</v>
      </c>
    </row>
    <row r="388">
      <c r="A388" s="16" t="b">
        <v>0</v>
      </c>
      <c r="B388" s="2" t="s">
        <v>2350</v>
      </c>
      <c r="C388" s="16" t="s">
        <v>2351</v>
      </c>
      <c r="D388" s="2" t="s">
        <v>1969</v>
      </c>
      <c r="E388" s="3" t="str">
        <f t="shared" si="6"/>
        <v/>
      </c>
    </row>
    <row r="389">
      <c r="A389" s="16" t="b">
        <v>0</v>
      </c>
      <c r="B389" s="2" t="s">
        <v>1287</v>
      </c>
      <c r="C389" s="4" t="s">
        <v>2355</v>
      </c>
      <c r="D389" s="2" t="s">
        <v>1969</v>
      </c>
      <c r="E389" s="3" t="str">
        <f t="shared" si="6"/>
        <v/>
      </c>
    </row>
    <row r="390">
      <c r="A390" s="16" t="b">
        <v>0</v>
      </c>
      <c r="B390" s="2" t="s">
        <v>2360</v>
      </c>
      <c r="C390" s="16" t="s">
        <v>2361</v>
      </c>
      <c r="D390" s="2" t="s">
        <v>1969</v>
      </c>
      <c r="E390" s="3" t="str">
        <f t="shared" si="6"/>
        <v/>
      </c>
    </row>
    <row r="391">
      <c r="A391" s="4" t="b">
        <v>1</v>
      </c>
      <c r="B391" s="2" t="s">
        <v>2367</v>
      </c>
      <c r="C391" s="16" t="s">
        <v>2368</v>
      </c>
      <c r="D391" s="2" t="s">
        <v>5162</v>
      </c>
      <c r="E391" s="3" t="str">
        <f t="shared" si="6"/>
        <v>/mnt/data-nas/medical_datasets/RSNA_BrainTumorRC</v>
      </c>
    </row>
    <row r="392">
      <c r="A392" s="4" t="b">
        <v>1</v>
      </c>
      <c r="B392" s="2" t="s">
        <v>2373</v>
      </c>
      <c r="C392" s="16" t="s">
        <v>2374</v>
      </c>
      <c r="D392" s="2" t="s">
        <v>2372</v>
      </c>
      <c r="E392" s="3" t="str">
        <f t="shared" si="6"/>
        <v>/mnt/data-nas/medical_datasets/SALD</v>
      </c>
    </row>
    <row r="393">
      <c r="A393" s="16" t="b">
        <v>0</v>
      </c>
      <c r="B393" s="2" t="s">
        <v>2381</v>
      </c>
      <c r="C393" s="16" t="s">
        <v>2382</v>
      </c>
      <c r="D393" s="2" t="s">
        <v>1969</v>
      </c>
      <c r="E393" s="3" t="str">
        <f t="shared" si="6"/>
        <v/>
      </c>
    </row>
    <row r="394">
      <c r="A394" s="16" t="b">
        <v>0</v>
      </c>
      <c r="B394" s="2" t="s">
        <v>2390</v>
      </c>
      <c r="C394" s="16" t="s">
        <v>2391</v>
      </c>
      <c r="D394" s="2" t="s">
        <v>1969</v>
      </c>
      <c r="E394" s="3" t="str">
        <f t="shared" si="6"/>
        <v/>
      </c>
    </row>
    <row r="395">
      <c r="A395" s="4" t="b">
        <v>1</v>
      </c>
      <c r="B395" s="2" t="s">
        <v>2397</v>
      </c>
      <c r="C395" s="16" t="s">
        <v>2398</v>
      </c>
      <c r="D395" s="2" t="s">
        <v>5163</v>
      </c>
      <c r="E395" s="3" t="str">
        <f t="shared" si="6"/>
        <v>/mnt/data-nas/medical_datasets/SIMON/</v>
      </c>
    </row>
    <row r="396">
      <c r="A396" s="4" t="b">
        <v>1</v>
      </c>
      <c r="B396" s="2" t="s">
        <v>2406</v>
      </c>
      <c r="C396" s="16" t="s">
        <v>60</v>
      </c>
      <c r="D396" s="2" t="s">
        <v>5164</v>
      </c>
      <c r="E396" s="3" t="str">
        <f t="shared" si="6"/>
        <v>/mnt/data-nas/medical_datasets/SinoCT/</v>
      </c>
    </row>
    <row r="397">
      <c r="A397" s="16" t="b">
        <v>0</v>
      </c>
      <c r="B397" s="2" t="s">
        <v>2412</v>
      </c>
      <c r="C397" s="16" t="s">
        <v>2413</v>
      </c>
      <c r="D397" s="2" t="s">
        <v>1969</v>
      </c>
      <c r="E397" s="3" t="str">
        <f t="shared" si="6"/>
        <v/>
      </c>
    </row>
    <row r="398">
      <c r="A398" s="4" t="b">
        <v>1</v>
      </c>
      <c r="B398" s="2" t="s">
        <v>2420</v>
      </c>
      <c r="C398" s="16" t="s">
        <v>2421</v>
      </c>
      <c r="D398" s="2" t="s">
        <v>2419</v>
      </c>
      <c r="E398" s="3" t="str">
        <f t="shared" si="6"/>
        <v>/mnt/data-nas/medical_datasets/SLIM</v>
      </c>
    </row>
    <row r="399">
      <c r="A399" s="16" t="b">
        <v>0</v>
      </c>
      <c r="B399" s="2" t="s">
        <v>2428</v>
      </c>
      <c r="C399" s="16" t="s">
        <v>2429</v>
      </c>
      <c r="D399" s="2" t="s">
        <v>1969</v>
      </c>
      <c r="E399" s="3" t="str">
        <f t="shared" si="6"/>
        <v/>
      </c>
    </row>
    <row r="400">
      <c r="A400" s="4" t="b">
        <v>1</v>
      </c>
      <c r="B400" s="2" t="s">
        <v>2437</v>
      </c>
      <c r="C400" s="16" t="s">
        <v>2438</v>
      </c>
      <c r="D400" s="2" t="s">
        <v>2435</v>
      </c>
      <c r="E400" s="3" t="str">
        <f t="shared" si="6"/>
        <v>/mnt/data-nas/medical_datasets/StudyForest/studyforrest_openneuro</v>
      </c>
    </row>
    <row r="401">
      <c r="A401" s="4" t="b">
        <v>1</v>
      </c>
      <c r="B401" s="2" t="s">
        <v>2446</v>
      </c>
      <c r="C401" s="16" t="s">
        <v>60</v>
      </c>
      <c r="D401" s="2" t="s">
        <v>2445</v>
      </c>
      <c r="E401" s="3" t="str">
        <f t="shared" si="6"/>
        <v>/mnt/data-nas/medical_datasets/SSBD/</v>
      </c>
    </row>
    <row r="402">
      <c r="A402" s="4" t="b">
        <v>1</v>
      </c>
      <c r="B402" s="2" t="s">
        <v>2452</v>
      </c>
      <c r="C402" s="16" t="s">
        <v>2453</v>
      </c>
      <c r="D402" s="2" t="s">
        <v>2451</v>
      </c>
      <c r="E402" s="3" t="str">
        <f t="shared" si="6"/>
        <v>/mnt/data-nas/medical_datasets/SynthStrip/</v>
      </c>
    </row>
    <row r="403">
      <c r="A403" s="4" t="b">
        <v>1</v>
      </c>
      <c r="B403" s="2" t="s">
        <v>2462</v>
      </c>
      <c r="C403" s="16" t="s">
        <v>235</v>
      </c>
      <c r="D403" s="2" t="s">
        <v>2460</v>
      </c>
      <c r="E403" s="3" t="str">
        <f t="shared" si="6"/>
        <v>/mnt/data-nas/medical_datasets/T1w/</v>
      </c>
    </row>
    <row r="404">
      <c r="A404" s="4" t="b">
        <v>1</v>
      </c>
      <c r="B404" s="2" t="s">
        <v>2469</v>
      </c>
      <c r="C404" s="16" t="s">
        <v>1138</v>
      </c>
      <c r="D404" s="2" t="s">
        <v>2467</v>
      </c>
      <c r="E404" s="3" t="str">
        <f t="shared" si="6"/>
        <v>/mnt/data-nas/medical_datasets/TADPOLE/tadpole_challenge.zip</v>
      </c>
    </row>
    <row r="405">
      <c r="A405" s="16" t="b">
        <v>0</v>
      </c>
      <c r="B405" s="2" t="s">
        <v>2476</v>
      </c>
      <c r="C405" s="16" t="s">
        <v>2477</v>
      </c>
      <c r="D405" s="2" t="s">
        <v>1969</v>
      </c>
      <c r="E405" s="3" t="str">
        <f t="shared" si="6"/>
        <v/>
      </c>
    </row>
    <row r="406">
      <c r="A406" s="16" t="b">
        <v>0</v>
      </c>
      <c r="B406" s="2" t="s">
        <v>2485</v>
      </c>
      <c r="C406" s="16" t="s">
        <v>1908</v>
      </c>
      <c r="D406" s="2" t="s">
        <v>2484</v>
      </c>
      <c r="E406" s="3" t="str">
        <f t="shared" si="6"/>
        <v/>
      </c>
    </row>
    <row r="407">
      <c r="A407" s="4" t="b">
        <v>1</v>
      </c>
      <c r="B407" s="2" t="s">
        <v>2492</v>
      </c>
      <c r="C407" s="16" t="s">
        <v>2493</v>
      </c>
      <c r="D407" s="2" t="s">
        <v>2491</v>
      </c>
      <c r="E407" s="3" t="str">
        <f t="shared" si="6"/>
        <v>/mnt/data-nas/medical_datasets/TopCoW/</v>
      </c>
    </row>
    <row r="408">
      <c r="A408" s="4" t="b">
        <v>1</v>
      </c>
      <c r="B408" s="2" t="s">
        <v>2497</v>
      </c>
      <c r="C408" s="16" t="s">
        <v>2493</v>
      </c>
      <c r="D408" s="2" t="s">
        <v>2491</v>
      </c>
      <c r="E408" s="3" t="str">
        <f t="shared" si="6"/>
        <v>/mnt/data-nas/medical_datasets/TopCoW/</v>
      </c>
    </row>
    <row r="409">
      <c r="A409" s="4" t="b">
        <v>1</v>
      </c>
      <c r="B409" s="2" t="s">
        <v>2505</v>
      </c>
      <c r="C409" s="16" t="s">
        <v>2506</v>
      </c>
      <c r="D409" s="2" t="s">
        <v>2504</v>
      </c>
      <c r="E409" s="3" t="str">
        <f t="shared" si="6"/>
        <v>/mnt/data-nas/medical_datasets/TrackRAD/</v>
      </c>
    </row>
    <row r="410">
      <c r="A410" s="16" t="b">
        <v>0</v>
      </c>
      <c r="B410" s="2" t="s">
        <v>2511</v>
      </c>
      <c r="C410" s="16" t="s">
        <v>2512</v>
      </c>
      <c r="D410" s="2" t="s">
        <v>1969</v>
      </c>
      <c r="E410" s="3" t="str">
        <f t="shared" si="6"/>
        <v/>
      </c>
    </row>
    <row r="411">
      <c r="A411" s="4" t="b">
        <v>1</v>
      </c>
      <c r="B411" s="2" t="s">
        <v>2517</v>
      </c>
      <c r="C411" s="16" t="s">
        <v>2518</v>
      </c>
      <c r="D411" s="2" t="s">
        <v>2516</v>
      </c>
      <c r="E411" s="3" t="str">
        <f t="shared" si="6"/>
        <v>/mnt/data-nas/medical_datasets/UNAMH</v>
      </c>
    </row>
    <row r="412">
      <c r="A412" s="4" t="b">
        <v>1</v>
      </c>
      <c r="B412" s="2" t="s">
        <v>2524</v>
      </c>
      <c r="C412" s="16" t="s">
        <v>2351</v>
      </c>
      <c r="D412" s="2" t="s">
        <v>2523</v>
      </c>
      <c r="E412" s="3" t="str">
        <f t="shared" si="6"/>
        <v>/mnt/data-nas/medical_datasets/UPenn-GBM/</v>
      </c>
    </row>
    <row r="413">
      <c r="A413" s="4" t="b">
        <v>1</v>
      </c>
      <c r="B413" s="2" t="s">
        <v>2531</v>
      </c>
      <c r="C413" s="16" t="s">
        <v>2532</v>
      </c>
      <c r="D413" s="2" t="s">
        <v>2529</v>
      </c>
      <c r="E413" s="3" t="str">
        <f t="shared" si="6"/>
        <v>/mnt/data-nas/medical_datasets/VALDO/</v>
      </c>
    </row>
    <row r="414">
      <c r="A414" s="16" t="b">
        <v>0</v>
      </c>
      <c r="B414" s="2" t="s">
        <v>2537</v>
      </c>
      <c r="C414" s="16" t="s">
        <v>2538</v>
      </c>
      <c r="D414" s="2" t="s">
        <v>1969</v>
      </c>
      <c r="E414" s="3" t="str">
        <f t="shared" si="6"/>
        <v/>
      </c>
    </row>
    <row r="415">
      <c r="A415" s="4" t="b">
        <v>1</v>
      </c>
      <c r="B415" s="2" t="s">
        <v>2542</v>
      </c>
      <c r="C415" s="16" t="s">
        <v>2543</v>
      </c>
      <c r="D415" s="2" t="s">
        <v>2541</v>
      </c>
      <c r="E415" s="3" t="str">
        <f t="shared" si="6"/>
        <v>/mnt/data-nas/medical_datasets/WayneState</v>
      </c>
    </row>
    <row r="416">
      <c r="A416" s="4" t="b">
        <v>1</v>
      </c>
      <c r="B416" s="2" t="s">
        <v>2547</v>
      </c>
      <c r="C416" s="16" t="s">
        <v>2548</v>
      </c>
      <c r="D416" s="2" t="s">
        <v>2541</v>
      </c>
      <c r="E416" s="3" t="str">
        <f t="shared" si="6"/>
        <v>/mnt/data-nas/medical_datasets/WayneState</v>
      </c>
    </row>
    <row r="417">
      <c r="A417" s="4" t="b">
        <v>1</v>
      </c>
      <c r="B417" s="2" t="s">
        <v>2551</v>
      </c>
      <c r="C417" s="16" t="s">
        <v>2548</v>
      </c>
      <c r="D417" s="2" t="s">
        <v>2541</v>
      </c>
      <c r="E417" s="3" t="str">
        <f t="shared" si="6"/>
        <v>/mnt/data-nas/medical_datasets/WayneState</v>
      </c>
    </row>
    <row r="418">
      <c r="A418" s="16" t="b">
        <v>0</v>
      </c>
      <c r="B418" s="2" t="s">
        <v>2558</v>
      </c>
      <c r="C418" s="16" t="s">
        <v>2559</v>
      </c>
      <c r="D418" s="2" t="s">
        <v>2556</v>
      </c>
      <c r="E418" s="3" t="str">
        <f t="shared" si="6"/>
        <v/>
      </c>
    </row>
    <row r="419">
      <c r="A419" s="4" t="b">
        <v>1</v>
      </c>
      <c r="B419" s="2" t="s">
        <v>2566</v>
      </c>
      <c r="C419" s="16" t="s">
        <v>2538</v>
      </c>
      <c r="D419" s="2" t="s">
        <v>2565</v>
      </c>
      <c r="E419" s="3" t="str">
        <f t="shared" si="6"/>
        <v>/mnt/data-nas/medical_datasets/Yale/highres</v>
      </c>
    </row>
    <row r="420">
      <c r="A420" s="4" t="b">
        <v>1</v>
      </c>
      <c r="B420" s="2" t="s">
        <v>2570</v>
      </c>
      <c r="C420" s="16" t="s">
        <v>2538</v>
      </c>
      <c r="D420" s="2" t="s">
        <v>2569</v>
      </c>
      <c r="E420" s="3" t="str">
        <f t="shared" si="6"/>
        <v>/mnt/data-nas/medical_datasets/Yale/lowres</v>
      </c>
    </row>
    <row r="421">
      <c r="A421" s="4" t="b">
        <v>1</v>
      </c>
      <c r="B421" s="2" t="s">
        <v>2574</v>
      </c>
      <c r="C421" s="16" t="s">
        <v>2538</v>
      </c>
      <c r="D421" s="2" t="s">
        <v>2573</v>
      </c>
      <c r="E421" s="3" t="str">
        <f t="shared" si="6"/>
        <v>/mnt/data-nas/medical_datasets/Yale/test_retest</v>
      </c>
    </row>
    <row r="422">
      <c r="A422" s="4" t="b">
        <v>1</v>
      </c>
      <c r="B422" s="2" t="s">
        <v>2579</v>
      </c>
      <c r="C422" s="16" t="s">
        <v>1296</v>
      </c>
      <c r="D422" s="2" t="s">
        <v>5165</v>
      </c>
      <c r="E422" s="3" t="str">
        <f t="shared" si="6"/>
        <v>/mnt/data-nas/medical_datasets/3DTeethSeg22</v>
      </c>
    </row>
    <row r="423">
      <c r="A423" s="16" t="b">
        <v>0</v>
      </c>
      <c r="B423" s="2" t="s">
        <v>2584</v>
      </c>
      <c r="C423" s="16" t="s">
        <v>33</v>
      </c>
      <c r="D423" s="2" t="s">
        <v>1969</v>
      </c>
      <c r="E423" s="3" t="str">
        <f t="shared" si="6"/>
        <v/>
      </c>
    </row>
    <row r="424">
      <c r="A424" s="16" t="b">
        <v>0</v>
      </c>
      <c r="B424" s="2" t="s">
        <v>2589</v>
      </c>
      <c r="C424" s="16" t="s">
        <v>2590</v>
      </c>
      <c r="D424" s="2" t="s">
        <v>1969</v>
      </c>
      <c r="E424" s="3" t="str">
        <f t="shared" si="6"/>
        <v/>
      </c>
    </row>
    <row r="425">
      <c r="A425" s="4" t="b">
        <v>1</v>
      </c>
      <c r="B425" s="2" t="s">
        <v>2597</v>
      </c>
      <c r="C425" s="16" t="s">
        <v>2598</v>
      </c>
      <c r="D425" s="2" t="s">
        <v>2596</v>
      </c>
      <c r="E425" s="3" t="str">
        <f t="shared" si="6"/>
        <v>/mnt/data-nas/medical_datasets/DENTEX/</v>
      </c>
    </row>
    <row r="426">
      <c r="A426" s="16" t="b">
        <v>0</v>
      </c>
      <c r="B426" s="2" t="s">
        <v>2605</v>
      </c>
      <c r="C426" s="16" t="s">
        <v>60</v>
      </c>
      <c r="D426" s="2" t="s">
        <v>1969</v>
      </c>
      <c r="E426" s="3" t="str">
        <f t="shared" si="6"/>
        <v/>
      </c>
    </row>
    <row r="427">
      <c r="A427" s="4" t="b">
        <v>1</v>
      </c>
      <c r="B427" s="2" t="s">
        <v>2609</v>
      </c>
      <c r="C427" s="16" t="s">
        <v>2610</v>
      </c>
      <c r="D427" s="2" t="s">
        <v>2608</v>
      </c>
      <c r="E427" s="3" t="str">
        <f t="shared" si="6"/>
        <v>/mnt/data-nas/medical_datasets/OpenEar.zip</v>
      </c>
    </row>
    <row r="428">
      <c r="A428" s="4" t="b">
        <v>1</v>
      </c>
      <c r="B428" s="2" t="s">
        <v>2616</v>
      </c>
      <c r="C428" s="16" t="s">
        <v>2598</v>
      </c>
      <c r="D428" s="2" t="s">
        <v>2615</v>
      </c>
      <c r="E428" s="3" t="str">
        <f t="shared" si="6"/>
        <v>/mnt/data-nas/medical_datasets/Panoramic_Dental_X_rays</v>
      </c>
    </row>
    <row r="429">
      <c r="A429" s="4" t="b">
        <v>1</v>
      </c>
      <c r="B429" s="2" t="s">
        <v>2623</v>
      </c>
      <c r="C429" s="16" t="s">
        <v>2598</v>
      </c>
      <c r="D429" s="2" t="s">
        <v>2622</v>
      </c>
      <c r="E429" s="3" t="str">
        <f t="shared" si="6"/>
        <v>/mnt/data-nas/medical_datasets/Panoramic.zip</v>
      </c>
    </row>
    <row r="430">
      <c r="A430" s="4" t="b">
        <v>1</v>
      </c>
      <c r="B430" s="2" t="s">
        <v>2630</v>
      </c>
      <c r="C430" s="16" t="s">
        <v>60</v>
      </c>
      <c r="D430" s="2" t="s">
        <v>2629</v>
      </c>
      <c r="E430" s="3" t="str">
        <f t="shared" si="6"/>
        <v>/mnt/data-nas/medical_datasets/pulpy3D</v>
      </c>
    </row>
    <row r="431">
      <c r="A431" s="4" t="b">
        <v>1</v>
      </c>
      <c r="B431" s="2" t="s">
        <v>2635</v>
      </c>
      <c r="C431" s="16" t="s">
        <v>2355</v>
      </c>
      <c r="D431" s="2" t="s">
        <v>2634</v>
      </c>
      <c r="E431" s="3" t="str">
        <f t="shared" si="6"/>
        <v>/mnt/data-nas/medical_datasets/SegThy</v>
      </c>
    </row>
    <row r="432">
      <c r="A432" s="16" t="b">
        <v>0</v>
      </c>
      <c r="B432" s="2" t="s">
        <v>2643</v>
      </c>
      <c r="C432" s="16" t="s">
        <v>2598</v>
      </c>
      <c r="D432" s="2" t="s">
        <v>2642</v>
      </c>
      <c r="E432" s="3" t="str">
        <f t="shared" si="6"/>
        <v/>
      </c>
    </row>
    <row r="433">
      <c r="A433" s="16" t="b">
        <v>0</v>
      </c>
      <c r="B433" s="2" t="s">
        <v>2650</v>
      </c>
      <c r="C433" s="16" t="s">
        <v>2590</v>
      </c>
      <c r="D433" s="2" t="s">
        <v>2642</v>
      </c>
      <c r="E433" s="3" t="str">
        <f t="shared" si="6"/>
        <v/>
      </c>
    </row>
    <row r="434">
      <c r="A434" s="4" t="b">
        <v>1</v>
      </c>
      <c r="B434" s="2" t="s">
        <v>2654</v>
      </c>
      <c r="C434" s="16" t="s">
        <v>2655</v>
      </c>
      <c r="D434" s="2" t="s">
        <v>2653</v>
      </c>
      <c r="E434" s="3" t="str">
        <f t="shared" si="6"/>
        <v>/mnt/data-nas/medical_datasets/TCGA-THCA</v>
      </c>
    </row>
    <row r="435">
      <c r="A435" s="4" t="b">
        <v>1</v>
      </c>
      <c r="B435" s="2" t="s">
        <v>2661</v>
      </c>
      <c r="C435" s="16" t="s">
        <v>2598</v>
      </c>
      <c r="D435" s="2" t="s">
        <v>2660</v>
      </c>
      <c r="E435" s="3" t="str">
        <f t="shared" si="6"/>
        <v>/mnt/data-nas/medical_datasets/teeth-segmentation.zip</v>
      </c>
    </row>
    <row r="436">
      <c r="A436" s="4" t="b">
        <v>1</v>
      </c>
      <c r="B436" s="2" t="s">
        <v>2667</v>
      </c>
      <c r="C436" s="16" t="s">
        <v>108</v>
      </c>
      <c r="D436" s="2" t="s">
        <v>2666</v>
      </c>
      <c r="E436" s="3" t="str">
        <f t="shared" si="6"/>
        <v>/mnt/data-nas/medical_datasets/Thyroid_Ultrasound</v>
      </c>
    </row>
    <row r="437">
      <c r="A437" s="4" t="b">
        <v>1</v>
      </c>
      <c r="B437" s="2" t="s">
        <v>2672</v>
      </c>
      <c r="C437" s="16" t="s">
        <v>235</v>
      </c>
      <c r="D437" s="2" t="s">
        <v>2671</v>
      </c>
      <c r="E437" s="3" t="str">
        <f t="shared" si="6"/>
        <v>/mnt/data-nas/medical_datasets/VSSEG</v>
      </c>
    </row>
    <row r="438">
      <c r="A438" s="4" t="b">
        <v>1</v>
      </c>
      <c r="B438" s="2" t="s">
        <v>2677</v>
      </c>
      <c r="C438" s="16" t="s">
        <v>1501</v>
      </c>
      <c r="D438" s="2" t="s">
        <v>2676</v>
      </c>
      <c r="E438" s="3" t="str">
        <f t="shared" si="6"/>
        <v>/mnt/data-nas/medical_datasets/aptos2019-blindness-detection.zip</v>
      </c>
    </row>
    <row r="439">
      <c r="A439" s="16" t="b">
        <v>0</v>
      </c>
      <c r="B439" s="2" t="s">
        <v>2682</v>
      </c>
      <c r="C439" s="16" t="s">
        <v>2683</v>
      </c>
      <c r="D439" s="2" t="s">
        <v>2680</v>
      </c>
      <c r="E439" s="3" t="str">
        <f t="shared" si="6"/>
        <v/>
      </c>
    </row>
    <row r="440">
      <c r="A440" s="4" t="b">
        <v>1</v>
      </c>
      <c r="B440" s="2" t="s">
        <v>2689</v>
      </c>
      <c r="C440" s="16" t="s">
        <v>1501</v>
      </c>
      <c r="D440" s="2" t="s">
        <v>2688</v>
      </c>
      <c r="E440" s="3" t="str">
        <f t="shared" si="6"/>
        <v>/mnt/data-nas/medical_datasets/DDR</v>
      </c>
    </row>
    <row r="441">
      <c r="A441" s="4" t="b">
        <v>1</v>
      </c>
      <c r="B441" s="2" t="s">
        <v>2695</v>
      </c>
      <c r="C441" s="16" t="s">
        <v>2696</v>
      </c>
      <c r="D441" s="2" t="s">
        <v>2694</v>
      </c>
      <c r="E441" s="3" t="str">
        <f t="shared" si="6"/>
        <v>/mnt/data-nas/medical_datasets/DRAC.zip</v>
      </c>
    </row>
    <row r="442">
      <c r="A442" s="4" t="b">
        <v>1</v>
      </c>
      <c r="B442" s="2" t="s">
        <v>2703</v>
      </c>
      <c r="C442" s="16" t="s">
        <v>2704</v>
      </c>
      <c r="D442" s="2" t="s">
        <v>2702</v>
      </c>
      <c r="E442" s="3" t="str">
        <f t="shared" si="6"/>
        <v>/mnt/data-nas/medical_datasets/ Fluorescein_Angiography</v>
      </c>
    </row>
    <row r="443">
      <c r="A443" s="4" t="b">
        <v>1</v>
      </c>
      <c r="B443" s="2" t="s">
        <v>2709</v>
      </c>
      <c r="C443" s="16" t="s">
        <v>1501</v>
      </c>
      <c r="D443" s="2" t="s">
        <v>2709</v>
      </c>
      <c r="E443" s="3" t="str">
        <f t="shared" ref="E443:E540" si="7">IF(A443=True, "/mnt/data-nas/medical_datasets/" &amp; D443, "")</f>
        <v>/mnt/data-nas/medical_datasets/E-ophtha</v>
      </c>
    </row>
    <row r="444">
      <c r="A444" s="4" t="b">
        <v>1</v>
      </c>
      <c r="B444" s="2" t="s">
        <v>2715</v>
      </c>
      <c r="C444" s="16" t="s">
        <v>1501</v>
      </c>
      <c r="D444" s="2" t="s">
        <v>2714</v>
      </c>
      <c r="E444" s="3" t="str">
        <f t="shared" si="7"/>
        <v>/mnt/data-nas/medical_datasets/diabetic-retinopathy-detection.zip</v>
      </c>
    </row>
    <row r="445">
      <c r="A445" s="4" t="b">
        <v>1</v>
      </c>
      <c r="B445" s="2" t="s">
        <v>2720</v>
      </c>
      <c r="C445" s="16" t="s">
        <v>1501</v>
      </c>
      <c r="D445" s="2" t="s">
        <v>2719</v>
      </c>
      <c r="E445" s="3" t="str">
        <f t="shared" si="7"/>
        <v>/mnt/data-nas/medical_datasets/FIRE.zip</v>
      </c>
    </row>
    <row r="446">
      <c r="A446" s="4" t="b">
        <v>0</v>
      </c>
      <c r="B446" s="2" t="s">
        <v>2727</v>
      </c>
      <c r="C446" s="16" t="s">
        <v>2728</v>
      </c>
      <c r="E446" s="3" t="str">
        <f t="shared" si="7"/>
        <v/>
      </c>
    </row>
    <row r="447">
      <c r="A447" s="4" t="b">
        <v>1</v>
      </c>
      <c r="B447" s="2" t="s">
        <v>2734</v>
      </c>
      <c r="D447" s="2" t="s">
        <v>2733</v>
      </c>
      <c r="E447" s="3" t="str">
        <f t="shared" si="7"/>
        <v>/mnt/data-nas/medical_datasets/JustRAIGS.zip</v>
      </c>
    </row>
    <row r="448">
      <c r="A448" s="16" t="b">
        <v>0</v>
      </c>
      <c r="B448" s="2" t="s">
        <v>2736</v>
      </c>
      <c r="C448" s="3" t="s">
        <v>1410</v>
      </c>
      <c r="E448" s="3" t="str">
        <f t="shared" si="7"/>
        <v/>
      </c>
    </row>
    <row r="449">
      <c r="A449" s="4" t="b">
        <v>1</v>
      </c>
      <c r="B449" s="2" t="s">
        <v>2743</v>
      </c>
      <c r="C449" s="3" t="s">
        <v>2744</v>
      </c>
      <c r="D449" s="2" t="s">
        <v>2742</v>
      </c>
      <c r="E449" s="3" t="str">
        <f t="shared" si="7"/>
        <v>/mnt/data-nas/medical_datasets/PRIME-FP20.zip</v>
      </c>
    </row>
    <row r="450">
      <c r="A450" s="16" t="b">
        <v>0</v>
      </c>
      <c r="B450" s="2" t="s">
        <v>2751</v>
      </c>
      <c r="C450" s="3" t="s">
        <v>1410</v>
      </c>
      <c r="E450" s="3" t="str">
        <f t="shared" si="7"/>
        <v/>
      </c>
    </row>
    <row r="451">
      <c r="A451" s="4" t="b">
        <v>1</v>
      </c>
      <c r="B451" s="2" t="s">
        <v>2756</v>
      </c>
      <c r="C451" s="3" t="s">
        <v>1410</v>
      </c>
      <c r="D451" s="2" t="s">
        <v>2756</v>
      </c>
      <c r="E451" s="3" t="str">
        <f t="shared" si="7"/>
        <v>/mnt/data-nas/medical_datasets/RIGA</v>
      </c>
    </row>
    <row r="452">
      <c r="A452" s="4" t="b">
        <v>1</v>
      </c>
      <c r="B452" s="2" t="s">
        <v>2764</v>
      </c>
      <c r="C452" s="3" t="s">
        <v>1410</v>
      </c>
      <c r="D452" s="2" t="s">
        <v>2764</v>
      </c>
      <c r="E452" s="3" t="str">
        <f t="shared" si="7"/>
        <v>/mnt/data-nas/medical_datasets/ROC</v>
      </c>
    </row>
    <row r="453">
      <c r="A453" s="4" t="b">
        <v>1</v>
      </c>
      <c r="B453" s="2" t="s">
        <v>2772</v>
      </c>
      <c r="C453" s="3" t="s">
        <v>2773</v>
      </c>
      <c r="D453" s="2" t="s">
        <v>2771</v>
      </c>
      <c r="E453" s="3" t="str">
        <f t="shared" si="7"/>
        <v>/mnt/data-nas/medical_datasets/ROCC.zip</v>
      </c>
    </row>
    <row r="454">
      <c r="A454" s="4" t="b">
        <v>1</v>
      </c>
      <c r="B454" s="2" t="s">
        <v>2780</v>
      </c>
      <c r="C454" s="3" t="s">
        <v>2781</v>
      </c>
      <c r="D454" s="2" t="s">
        <v>2778</v>
      </c>
      <c r="E454" s="3" t="str">
        <f t="shared" si="7"/>
        <v>/mnt/data-nas/medical_datasets/2015_BOE_Chiu</v>
      </c>
    </row>
    <row r="455">
      <c r="A455" s="16" t="b">
        <v>0</v>
      </c>
      <c r="B455" s="2" t="s">
        <v>2787</v>
      </c>
      <c r="C455" s="3" t="s">
        <v>2773</v>
      </c>
      <c r="E455" s="3" t="str">
        <f t="shared" si="7"/>
        <v/>
      </c>
    </row>
    <row r="456">
      <c r="A456" s="4" t="b">
        <v>1</v>
      </c>
      <c r="B456" s="2" t="s">
        <v>2796</v>
      </c>
      <c r="C456" s="3" t="s">
        <v>1410</v>
      </c>
      <c r="D456" s="2" t="s">
        <v>2794</v>
      </c>
      <c r="E456" s="3" t="str">
        <f t="shared" si="7"/>
        <v>/mnt/data-nas/medical_datasets/uk-biobank</v>
      </c>
    </row>
    <row r="457">
      <c r="A457" s="16" t="b">
        <v>0</v>
      </c>
      <c r="B457" s="2" t="s">
        <v>2802</v>
      </c>
      <c r="C457" s="3" t="s">
        <v>1410</v>
      </c>
      <c r="E457" s="3" t="str">
        <f t="shared" si="7"/>
        <v/>
      </c>
    </row>
    <row r="458">
      <c r="A458" s="4" t="b">
        <v>1</v>
      </c>
      <c r="B458" s="2" t="s">
        <v>2808</v>
      </c>
      <c r="C458" s="3" t="s">
        <v>2810</v>
      </c>
      <c r="D458" s="2" t="s">
        <v>2808</v>
      </c>
      <c r="E458" s="3" t="str">
        <f t="shared" si="7"/>
        <v>/mnt/data-nas/medical_datasets/ANT</v>
      </c>
    </row>
    <row r="459">
      <c r="A459" s="4" t="b">
        <v>1</v>
      </c>
      <c r="B459" s="2" t="s">
        <v>2816</v>
      </c>
      <c r="C459" s="3" t="s">
        <v>235</v>
      </c>
      <c r="D459" s="2" t="s">
        <v>2816</v>
      </c>
      <c r="E459" s="3" t="str">
        <f t="shared" si="7"/>
        <v>/mnt/data-nas/medical_datasets/CEREBRuM</v>
      </c>
    </row>
    <row r="460">
      <c r="A460" s="4" t="b">
        <v>1</v>
      </c>
      <c r="B460" s="2" t="s">
        <v>2824</v>
      </c>
      <c r="C460" s="3" t="s">
        <v>2810</v>
      </c>
      <c r="D460" s="2" t="s">
        <v>2823</v>
      </c>
      <c r="E460" s="3" t="str">
        <f t="shared" si="7"/>
        <v>/mnt/data-nas/medical_datasets/CSMLP</v>
      </c>
    </row>
    <row r="461">
      <c r="A461" s="4" t="b">
        <v>1</v>
      </c>
      <c r="B461" s="2" t="s">
        <v>2831</v>
      </c>
      <c r="C461" s="3" t="s">
        <v>1617</v>
      </c>
      <c r="D461" s="2" t="s">
        <v>2830</v>
      </c>
      <c r="E461" s="3" t="str">
        <f t="shared" si="7"/>
        <v>/mnt/data-nas/medical_datasets/HVSPCD</v>
      </c>
    </row>
    <row r="462">
      <c r="A462" s="4" t="b">
        <v>1</v>
      </c>
      <c r="B462" s="2" t="s">
        <v>2838</v>
      </c>
      <c r="C462" s="3" t="s">
        <v>2810</v>
      </c>
      <c r="D462" s="2" t="s">
        <v>2837</v>
      </c>
      <c r="E462" s="3" t="str">
        <f t="shared" si="7"/>
        <v>/mnt/data-nas/medical_datasets/LNAP</v>
      </c>
    </row>
    <row r="463">
      <c r="A463" s="4" t="b">
        <v>1</v>
      </c>
      <c r="B463" s="2" t="s">
        <v>2843</v>
      </c>
      <c r="C463" s="3" t="s">
        <v>2844</v>
      </c>
      <c r="D463" s="2" t="s">
        <v>2842</v>
      </c>
      <c r="E463" s="3" t="str">
        <f t="shared" si="7"/>
        <v>/mnt/data-nas/medical_datasets/LNMLP</v>
      </c>
    </row>
    <row r="464">
      <c r="A464" s="4" t="b">
        <v>1</v>
      </c>
      <c r="B464" s="2" t="s">
        <v>2848</v>
      </c>
      <c r="C464" s="3" t="s">
        <v>2849</v>
      </c>
      <c r="D464" s="2" t="s">
        <v>2847</v>
      </c>
      <c r="E464" s="3" t="str">
        <f t="shared" si="7"/>
        <v>/mnt/data-nas/medical_datasets/Maclaren</v>
      </c>
    </row>
    <row r="465">
      <c r="A465" s="4" t="b">
        <v>1</v>
      </c>
      <c r="B465" s="2" t="s">
        <v>2854</v>
      </c>
      <c r="C465" s="3" t="s">
        <v>2855</v>
      </c>
      <c r="D465" s="2" t="s">
        <v>2854</v>
      </c>
      <c r="E465" s="3" t="str">
        <f t="shared" si="7"/>
        <v>/mnt/data-nas/medical_datasets/MPILMBB</v>
      </c>
    </row>
    <row r="466">
      <c r="A466" s="4" t="b">
        <v>1</v>
      </c>
      <c r="B466" s="2" t="s">
        <v>2859</v>
      </c>
      <c r="C466" s="3" t="s">
        <v>2810</v>
      </c>
      <c r="D466" s="2" t="s">
        <v>2859</v>
      </c>
      <c r="E466" s="3" t="str">
        <f t="shared" si="7"/>
        <v>/mnt/data-nas/medical_datasets/MSC</v>
      </c>
    </row>
    <row r="467">
      <c r="A467" s="4" t="b">
        <v>1</v>
      </c>
      <c r="B467" s="2" t="s">
        <v>2864</v>
      </c>
      <c r="C467" s="3" t="s">
        <v>2865</v>
      </c>
      <c r="D467" s="2" t="s">
        <v>2864</v>
      </c>
      <c r="E467" s="3" t="str">
        <f t="shared" si="7"/>
        <v>/mnt/data-nas/medical_datasets/NKI-RS</v>
      </c>
    </row>
    <row r="468">
      <c r="A468" s="4" t="b">
        <v>1</v>
      </c>
      <c r="B468" s="2" t="s">
        <v>2872</v>
      </c>
      <c r="C468" s="3" t="s">
        <v>2873</v>
      </c>
      <c r="D468" s="2" t="s">
        <v>2871</v>
      </c>
      <c r="E468" s="3" t="str">
        <f t="shared" si="7"/>
        <v>/mnt/data-nas/medical_datasets/SCA2</v>
      </c>
    </row>
    <row r="469">
      <c r="A469" s="4" t="b">
        <v>1</v>
      </c>
      <c r="B469" s="16" t="s">
        <v>2880</v>
      </c>
      <c r="C469" s="16" t="s">
        <v>60</v>
      </c>
      <c r="D469" s="4" t="s">
        <v>2879</v>
      </c>
      <c r="E469" s="3" t="str">
        <f t="shared" si="7"/>
        <v>/mnt/data-nas/medical_datasets/SLIVER07.zip</v>
      </c>
    </row>
    <row r="470">
      <c r="A470" s="4" t="b">
        <v>1</v>
      </c>
      <c r="B470" s="16" t="s">
        <v>2886</v>
      </c>
      <c r="C470" s="16" t="s">
        <v>200</v>
      </c>
      <c r="D470" s="4" t="s">
        <v>2885</v>
      </c>
      <c r="E470" s="3" t="str">
        <f t="shared" si="7"/>
        <v>/mnt/data-nas/medical_datasets/NCT-CRC-HE-100K.zip</v>
      </c>
    </row>
    <row r="471">
      <c r="A471" s="16" t="b">
        <v>0</v>
      </c>
      <c r="B471" s="16" t="s">
        <v>2892</v>
      </c>
      <c r="C471" s="16" t="s">
        <v>235</v>
      </c>
      <c r="D471" s="16"/>
      <c r="E471" s="3" t="str">
        <f t="shared" si="7"/>
        <v/>
      </c>
    </row>
    <row r="472">
      <c r="A472" s="4" t="b">
        <v>1</v>
      </c>
      <c r="B472" s="16" t="s">
        <v>2896</v>
      </c>
      <c r="C472" s="16" t="s">
        <v>60</v>
      </c>
      <c r="D472" s="4" t="s">
        <v>2895</v>
      </c>
      <c r="E472" s="3" t="str">
        <f t="shared" si="7"/>
        <v>/mnt/data-nas/medical_datasets/3Dircadb1.zip</v>
      </c>
    </row>
    <row r="473">
      <c r="A473" s="4" t="b">
        <v>1</v>
      </c>
      <c r="B473" s="16" t="s">
        <v>2903</v>
      </c>
      <c r="C473" s="16" t="s">
        <v>235</v>
      </c>
      <c r="D473" s="4" t="s">
        <v>2902</v>
      </c>
      <c r="E473" s="3" t="str">
        <f t="shared" si="7"/>
        <v>/mnt/data-nas/medical_datasets/PROMISE12.zip</v>
      </c>
    </row>
    <row r="474">
      <c r="A474" s="4" t="b">
        <v>1</v>
      </c>
      <c r="B474" s="16" t="s">
        <v>2908</v>
      </c>
      <c r="C474" s="16" t="s">
        <v>60</v>
      </c>
      <c r="D474" s="4" t="s">
        <v>2908</v>
      </c>
      <c r="E474" s="3" t="str">
        <f t="shared" si="7"/>
        <v>/mnt/data-nas/medical_datasets/BTCV</v>
      </c>
    </row>
    <row r="475">
      <c r="A475" s="4" t="b">
        <v>1</v>
      </c>
      <c r="B475" s="16" t="s">
        <v>2914</v>
      </c>
      <c r="C475" s="16" t="s">
        <v>60</v>
      </c>
      <c r="D475" s="4" t="s">
        <v>5166</v>
      </c>
      <c r="E475" s="3" t="str">
        <f t="shared" si="7"/>
        <v>/mnt/data-nas/medical_datasets/BTCV-Cervix</v>
      </c>
    </row>
    <row r="476">
      <c r="A476" s="4" t="b">
        <v>1</v>
      </c>
      <c r="B476" s="16" t="s">
        <v>2918</v>
      </c>
      <c r="C476" s="16" t="s">
        <v>60</v>
      </c>
      <c r="D476" s="4" t="s">
        <v>2918</v>
      </c>
      <c r="E476" s="3" t="str">
        <f t="shared" si="7"/>
        <v>/mnt/data-nas/medical_datasets/LiTS</v>
      </c>
    </row>
    <row r="477">
      <c r="A477" s="4" t="b">
        <v>0</v>
      </c>
      <c r="B477" s="16" t="s">
        <v>2924</v>
      </c>
      <c r="C477" s="16" t="s">
        <v>200</v>
      </c>
      <c r="D477" s="4" t="s">
        <v>2924</v>
      </c>
      <c r="E477" s="3" t="str">
        <f t="shared" si="7"/>
        <v/>
      </c>
    </row>
    <row r="478">
      <c r="A478" s="4" t="b">
        <v>1</v>
      </c>
      <c r="B478" s="16" t="s">
        <v>2930</v>
      </c>
      <c r="C478" s="16" t="s">
        <v>200</v>
      </c>
      <c r="D478" s="4" t="s">
        <v>2928</v>
      </c>
      <c r="E478" s="3" t="str">
        <f t="shared" si="7"/>
        <v>/mnt/data-nas/medical_datasets/Gleason2019</v>
      </c>
    </row>
    <row r="479">
      <c r="A479" s="4" t="b">
        <v>1</v>
      </c>
      <c r="B479" s="16" t="s">
        <v>2935</v>
      </c>
      <c r="C479" s="16" t="s">
        <v>200</v>
      </c>
      <c r="D479" s="2" t="s">
        <v>2928</v>
      </c>
      <c r="E479" s="3" t="str">
        <f t="shared" si="7"/>
        <v>/mnt/data-nas/medical_datasets/Gleason2019</v>
      </c>
    </row>
    <row r="480">
      <c r="A480" s="4" t="b">
        <v>1</v>
      </c>
      <c r="B480" s="16" t="s">
        <v>2936</v>
      </c>
      <c r="C480" s="16" t="s">
        <v>60</v>
      </c>
      <c r="D480" s="2" t="s">
        <v>2936</v>
      </c>
      <c r="E480" s="3" t="str">
        <f t="shared" si="7"/>
        <v>/mnt/data-nas/medical_datasets/KiTS19</v>
      </c>
    </row>
    <row r="481">
      <c r="A481" s="4" t="b">
        <v>1</v>
      </c>
      <c r="B481" s="16" t="s">
        <v>2942</v>
      </c>
      <c r="C481" s="16" t="s">
        <v>75</v>
      </c>
      <c r="D481" s="2" t="s">
        <v>2941</v>
      </c>
      <c r="E481" s="3" t="str">
        <f t="shared" si="7"/>
        <v>/mnt/data-nas/medical_datasets/CHAOS.zip</v>
      </c>
    </row>
    <row r="482">
      <c r="A482" s="2" t="b">
        <v>0</v>
      </c>
      <c r="B482" s="2" t="s">
        <v>2949</v>
      </c>
      <c r="C482" s="3" t="s">
        <v>60</v>
      </c>
      <c r="D482" s="2"/>
      <c r="E482" s="3" t="str">
        <f t="shared" si="7"/>
        <v/>
      </c>
    </row>
    <row r="483">
      <c r="A483" s="2" t="b">
        <v>0</v>
      </c>
      <c r="B483" s="2" t="s">
        <v>2956</v>
      </c>
      <c r="C483" s="3" t="s">
        <v>60</v>
      </c>
      <c r="E483" s="3" t="str">
        <f t="shared" si="7"/>
        <v/>
      </c>
    </row>
    <row r="484">
      <c r="A484" s="2" t="b">
        <v>1</v>
      </c>
      <c r="B484" s="2" t="s">
        <v>2962</v>
      </c>
      <c r="C484" s="3" t="s">
        <v>33</v>
      </c>
      <c r="E484" s="3" t="str">
        <f t="shared" si="7"/>
        <v>/mnt/data-nas/medical_datasets/</v>
      </c>
    </row>
    <row r="485">
      <c r="A485" s="2" t="b">
        <v>0</v>
      </c>
      <c r="B485" s="2" t="s">
        <v>2968</v>
      </c>
      <c r="C485" s="3" t="s">
        <v>60</v>
      </c>
      <c r="D485" s="2"/>
      <c r="E485" s="3" t="str">
        <f t="shared" si="7"/>
        <v/>
      </c>
    </row>
    <row r="486">
      <c r="A486" s="2" t="b">
        <v>0</v>
      </c>
      <c r="B486" s="2" t="s">
        <v>2974</v>
      </c>
      <c r="E486" s="3" t="str">
        <f t="shared" si="7"/>
        <v/>
      </c>
    </row>
    <row r="487">
      <c r="A487" s="4" t="b">
        <v>1</v>
      </c>
      <c r="B487" s="16" t="s">
        <v>2976</v>
      </c>
      <c r="C487" s="16" t="s">
        <v>60</v>
      </c>
      <c r="D487" s="2" t="s">
        <v>2976</v>
      </c>
      <c r="E487" s="3" t="str">
        <f t="shared" si="7"/>
        <v>/mnt/data-nas/medical_datasets/Pancreas-CT</v>
      </c>
    </row>
    <row r="488">
      <c r="A488" s="4" t="b">
        <v>1</v>
      </c>
      <c r="B488" s="16" t="s">
        <v>2980</v>
      </c>
      <c r="C488" s="16" t="s">
        <v>235</v>
      </c>
      <c r="D488" s="2" t="s">
        <v>2980</v>
      </c>
      <c r="E488" s="3" t="str">
        <f t="shared" si="7"/>
        <v>/mnt/data-nas/medical_datasets/QIN-PROSTATE-Repeatability</v>
      </c>
    </row>
    <row r="489">
      <c r="A489" s="4" t="b">
        <v>1</v>
      </c>
      <c r="B489" s="16" t="s">
        <v>2983</v>
      </c>
      <c r="C489" s="16" t="s">
        <v>60</v>
      </c>
      <c r="D489" s="2" t="s">
        <v>2983</v>
      </c>
      <c r="E489" s="3" t="str">
        <f t="shared" si="7"/>
        <v>/mnt/data-nas/medical_datasets/KiTS21</v>
      </c>
    </row>
    <row r="490">
      <c r="A490" s="4" t="b">
        <v>1</v>
      </c>
      <c r="B490" s="16" t="s">
        <v>2988</v>
      </c>
      <c r="C490" s="16" t="s">
        <v>60</v>
      </c>
      <c r="D490" s="2" t="s">
        <v>2987</v>
      </c>
      <c r="E490" s="3" t="str">
        <f t="shared" si="7"/>
        <v>/mnt/data-nas/medical_datasets/FLARE2021.zip</v>
      </c>
      <c r="F490" s="2"/>
    </row>
    <row r="491">
      <c r="A491" s="4" t="b">
        <v>1</v>
      </c>
      <c r="B491" s="16" t="s">
        <v>2993</v>
      </c>
      <c r="C491" s="16" t="s">
        <v>60</v>
      </c>
      <c r="D491" s="2" t="s">
        <v>2993</v>
      </c>
      <c r="E491" s="3" t="str">
        <f t="shared" si="7"/>
        <v>/mnt/data-nas/medical_datasets/AbdomenCT-1K</v>
      </c>
    </row>
    <row r="492">
      <c r="A492" s="4" t="b">
        <v>1</v>
      </c>
      <c r="B492" s="16" t="s">
        <v>2998</v>
      </c>
      <c r="C492" s="16" t="s">
        <v>60</v>
      </c>
      <c r="D492" s="2" t="s">
        <v>2998</v>
      </c>
      <c r="E492" s="3" t="str">
        <f t="shared" si="7"/>
        <v>/mnt/data-nas/medical_datasets/QUBIQ2021</v>
      </c>
    </row>
    <row r="493">
      <c r="A493" s="4" t="b">
        <v>1</v>
      </c>
      <c r="B493" s="16" t="s">
        <v>3004</v>
      </c>
      <c r="C493" s="16" t="s">
        <v>60</v>
      </c>
      <c r="D493" s="2" t="s">
        <v>3004</v>
      </c>
      <c r="E493" s="3" t="str">
        <f t="shared" si="7"/>
        <v>/mnt/data-nas/medical_datasets/WORD</v>
      </c>
    </row>
    <row r="494">
      <c r="A494" s="16" t="b">
        <v>0</v>
      </c>
      <c r="B494" s="16" t="s">
        <v>3010</v>
      </c>
      <c r="C494" s="16" t="s">
        <v>200</v>
      </c>
      <c r="E494" s="3" t="str">
        <f t="shared" si="7"/>
        <v/>
      </c>
    </row>
    <row r="495">
      <c r="A495" s="16" t="b">
        <v>0</v>
      </c>
      <c r="B495" s="16" t="s">
        <v>3015</v>
      </c>
      <c r="C495" s="16" t="s">
        <v>60</v>
      </c>
      <c r="E495" s="3" t="str">
        <f t="shared" si="7"/>
        <v/>
      </c>
    </row>
    <row r="496">
      <c r="A496" s="4" t="b">
        <v>1</v>
      </c>
      <c r="B496" s="16" t="s">
        <v>3020</v>
      </c>
      <c r="C496" s="16" t="s">
        <v>235</v>
      </c>
      <c r="D496" s="2" t="s">
        <v>3019</v>
      </c>
      <c r="E496" s="3" t="str">
        <f t="shared" si="7"/>
        <v>/mnt/data-nas/medical_datasets/uw-madison-gi-tract-image-segmentation</v>
      </c>
    </row>
    <row r="497">
      <c r="A497" s="4" t="b">
        <v>1</v>
      </c>
      <c r="B497" s="16" t="s">
        <v>3024</v>
      </c>
      <c r="C497" s="16" t="s">
        <v>283</v>
      </c>
      <c r="D497" s="2" t="s">
        <v>3024</v>
      </c>
      <c r="E497" s="3" t="str">
        <f t="shared" si="7"/>
        <v>/mnt/data-nas/medical_datasets/KiPA22</v>
      </c>
    </row>
    <row r="498">
      <c r="A498" s="4" t="b">
        <v>1</v>
      </c>
      <c r="B498" s="16" t="s">
        <v>3029</v>
      </c>
      <c r="C498" s="16" t="s">
        <v>301</v>
      </c>
      <c r="D498" s="2" t="s">
        <v>3029</v>
      </c>
      <c r="E498" s="3" t="str">
        <f t="shared" si="7"/>
        <v>/mnt/data-nas/medical_datasets/AGGC</v>
      </c>
    </row>
    <row r="499">
      <c r="A499" s="4" t="b">
        <v>1</v>
      </c>
      <c r="B499" s="16" t="s">
        <v>3034</v>
      </c>
      <c r="C499" s="16" t="s">
        <v>75</v>
      </c>
      <c r="D499" s="2" t="s">
        <v>3033</v>
      </c>
      <c r="E499" s="3" t="str">
        <f t="shared" si="7"/>
        <v>/mnt/data-nas/medical_datasets/AMOS2022</v>
      </c>
    </row>
    <row r="500">
      <c r="A500" s="4" t="b">
        <v>1</v>
      </c>
      <c r="B500" s="16" t="s">
        <v>3040</v>
      </c>
      <c r="C500" s="16" t="s">
        <v>235</v>
      </c>
      <c r="D500" s="2" t="s">
        <v>3040</v>
      </c>
      <c r="E500" s="3" t="str">
        <f t="shared" si="7"/>
        <v>/mnt/data-nas/medical_datasets/PI-CAI</v>
      </c>
    </row>
    <row r="501">
      <c r="A501" s="4" t="b">
        <v>1</v>
      </c>
      <c r="B501" s="16" t="s">
        <v>3044</v>
      </c>
      <c r="C501" s="16" t="s">
        <v>60</v>
      </c>
      <c r="D501" s="2" t="s">
        <v>3044</v>
      </c>
      <c r="E501" s="3" t="str">
        <f t="shared" si="7"/>
        <v>/mnt/data-nas/medical_datasets/HCC-TACE-Seg</v>
      </c>
    </row>
    <row r="502">
      <c r="A502" s="4" t="b">
        <v>1</v>
      </c>
      <c r="B502" s="16" t="s">
        <v>3048</v>
      </c>
      <c r="C502" s="16" t="s">
        <v>200</v>
      </c>
      <c r="D502" s="2" t="s">
        <v>5167</v>
      </c>
      <c r="E502" s="3" t="str">
        <f t="shared" si="7"/>
        <v>/mnt/data-nas/medical_datasets/EBHI-Seg.zip</v>
      </c>
    </row>
    <row r="503">
      <c r="A503" s="4" t="b">
        <v>0</v>
      </c>
      <c r="B503" s="16" t="s">
        <v>3053</v>
      </c>
      <c r="C503" s="16" t="s">
        <v>235</v>
      </c>
      <c r="D503" s="2" t="s">
        <v>3051</v>
      </c>
      <c r="E503" s="3" t="str">
        <f t="shared" si="7"/>
        <v/>
      </c>
    </row>
    <row r="504">
      <c r="A504" s="4" t="b">
        <v>1</v>
      </c>
      <c r="B504" s="16" t="s">
        <v>3057</v>
      </c>
      <c r="C504" s="16" t="s">
        <v>60</v>
      </c>
      <c r="D504" s="2" t="s">
        <v>3057</v>
      </c>
      <c r="E504" s="3" t="str">
        <f t="shared" si="7"/>
        <v>/mnt/data-nas/medical_datasets/Colorectal-Liver-Metastases</v>
      </c>
    </row>
    <row r="505">
      <c r="A505" s="4" t="b">
        <v>1</v>
      </c>
      <c r="B505" s="16" t="s">
        <v>3063</v>
      </c>
      <c r="C505" s="16" t="s">
        <v>235</v>
      </c>
      <c r="D505" s="2" t="s">
        <v>3062</v>
      </c>
      <c r="E505" s="3" t="str">
        <f t="shared" si="7"/>
        <v>/mnt/data-nas/medical_datasets/SPPIN.zip</v>
      </c>
    </row>
    <row r="506">
      <c r="A506" s="16" t="b">
        <v>0</v>
      </c>
      <c r="B506" s="16" t="s">
        <v>3015</v>
      </c>
      <c r="C506" s="16" t="s">
        <v>60</v>
      </c>
      <c r="E506" s="3" t="str">
        <f t="shared" si="7"/>
        <v/>
      </c>
    </row>
    <row r="507">
      <c r="A507" s="4" t="b">
        <v>1</v>
      </c>
      <c r="B507" s="16" t="s">
        <v>3069</v>
      </c>
      <c r="C507" s="16" t="s">
        <v>60</v>
      </c>
      <c r="D507" s="2" t="s">
        <v>3068</v>
      </c>
      <c r="E507" s="3" t="str">
        <f t="shared" si="7"/>
        <v>/mnt/data-nas/medical_datasets/kits23/dataset/</v>
      </c>
    </row>
    <row r="508">
      <c r="A508" s="4" t="b">
        <v>1</v>
      </c>
      <c r="B508" s="16" t="s">
        <v>3075</v>
      </c>
      <c r="C508" s="16" t="s">
        <v>3076</v>
      </c>
      <c r="D508" s="2" t="s">
        <v>3074</v>
      </c>
      <c r="E508" s="3" t="str">
        <f t="shared" si="7"/>
        <v>/mnt/data-nas/medical_datasets/atlas-train-dataset-1.0.1.zip</v>
      </c>
    </row>
    <row r="509">
      <c r="A509" s="16" t="b">
        <v>0</v>
      </c>
      <c r="B509" s="16" t="s">
        <v>3082</v>
      </c>
      <c r="C509" s="16" t="s">
        <v>75</v>
      </c>
      <c r="E509" s="3" t="str">
        <f t="shared" si="7"/>
        <v/>
      </c>
    </row>
    <row r="510">
      <c r="A510" s="4" t="b">
        <v>0</v>
      </c>
      <c r="B510" s="16" t="s">
        <v>3088</v>
      </c>
      <c r="C510" s="16" t="s">
        <v>108</v>
      </c>
      <c r="E510" s="3" t="str">
        <f t="shared" si="7"/>
        <v/>
      </c>
    </row>
    <row r="511">
      <c r="A511" s="4" t="b">
        <v>1</v>
      </c>
      <c r="B511" s="16" t="s">
        <v>3094</v>
      </c>
      <c r="C511" s="16" t="s">
        <v>60</v>
      </c>
      <c r="D511" s="2" t="s">
        <v>3093</v>
      </c>
      <c r="E511" s="3" t="str">
        <f t="shared" si="7"/>
        <v>/mnt/data-nas/medical_datasets/kidney-stone-images</v>
      </c>
    </row>
    <row r="512">
      <c r="A512" s="4" t="b">
        <v>1</v>
      </c>
      <c r="B512" s="16" t="s">
        <v>3099</v>
      </c>
      <c r="C512" s="16" t="s">
        <v>60</v>
      </c>
      <c r="D512" s="2" t="s">
        <v>3099</v>
      </c>
      <c r="E512" s="3" t="str">
        <f t="shared" si="7"/>
        <v>/mnt/data-nas/medical_datasets/Adrenal-ACC-Ki67-Seg</v>
      </c>
    </row>
    <row r="513">
      <c r="A513" s="4" t="b">
        <v>1</v>
      </c>
      <c r="B513" s="16" t="s">
        <v>3104</v>
      </c>
      <c r="C513" s="16" t="s">
        <v>3106</v>
      </c>
      <c r="D513" s="2" t="s">
        <v>3103</v>
      </c>
      <c r="E513" s="3" t="str">
        <f t="shared" si="7"/>
        <v>/mnt/data-nas/medical_datasets/BM-BronchoLC.zip</v>
      </c>
    </row>
    <row r="514">
      <c r="A514" s="4" t="b">
        <v>1</v>
      </c>
      <c r="B514" s="16" t="s">
        <v>3112</v>
      </c>
      <c r="C514" s="16" t="s">
        <v>60</v>
      </c>
      <c r="D514" s="2" t="s">
        <v>3111</v>
      </c>
      <c r="E514" s="3" t="str">
        <f t="shared" si="7"/>
        <v>/mnt/data-nas/medical_datasets/AbdomenAtlas</v>
      </c>
    </row>
    <row r="515">
      <c r="A515" s="16" t="b">
        <v>0</v>
      </c>
      <c r="B515" s="16" t="s">
        <v>3117</v>
      </c>
      <c r="C515" s="16" t="s">
        <v>60</v>
      </c>
      <c r="E515" s="3" t="str">
        <f t="shared" si="7"/>
        <v/>
      </c>
    </row>
    <row r="516">
      <c r="A516" s="16" t="b">
        <v>0</v>
      </c>
      <c r="B516" s="16" t="s">
        <v>3120</v>
      </c>
      <c r="C516" s="16" t="s">
        <v>235</v>
      </c>
      <c r="E516" s="3" t="str">
        <f t="shared" si="7"/>
        <v/>
      </c>
    </row>
    <row r="517">
      <c r="A517" s="16" t="b">
        <v>0</v>
      </c>
      <c r="B517" s="16" t="s">
        <v>3124</v>
      </c>
      <c r="C517" s="16"/>
      <c r="E517" s="3" t="str">
        <f t="shared" si="7"/>
        <v/>
      </c>
    </row>
    <row r="518">
      <c r="A518" s="4" t="b">
        <v>0</v>
      </c>
      <c r="B518" s="16" t="s">
        <v>3128</v>
      </c>
      <c r="C518" s="16" t="s">
        <v>3129</v>
      </c>
      <c r="E518" s="3" t="str">
        <f t="shared" si="7"/>
        <v/>
      </c>
    </row>
    <row r="519">
      <c r="A519" s="4" t="b">
        <v>1</v>
      </c>
      <c r="B519" s="16" t="s">
        <v>3135</v>
      </c>
      <c r="C519" s="16" t="s">
        <v>108</v>
      </c>
      <c r="D519" s="2" t="s">
        <v>3134</v>
      </c>
      <c r="E519" s="3" t="str">
        <f t="shared" si="7"/>
        <v>/mnt/data-nas/medical_datasets/ACOUSLIC.zip</v>
      </c>
    </row>
    <row r="520">
      <c r="A520" s="4" t="b">
        <v>1</v>
      </c>
      <c r="B520" s="16" t="s">
        <v>3142</v>
      </c>
      <c r="C520" s="16" t="s">
        <v>60</v>
      </c>
      <c r="D520" s="2" t="s">
        <v>3141</v>
      </c>
      <c r="E520" s="3" t="str">
        <f t="shared" si="7"/>
        <v>/mnt/data-nas/medical_datasets/PENGWIN.zip</v>
      </c>
    </row>
    <row r="521">
      <c r="A521" s="16" t="b">
        <v>0</v>
      </c>
      <c r="B521" s="16" t="s">
        <v>3147</v>
      </c>
      <c r="C521" s="16" t="s">
        <v>3148</v>
      </c>
      <c r="E521" s="3" t="str">
        <f t="shared" si="7"/>
        <v/>
      </c>
    </row>
    <row r="522">
      <c r="A522" s="16" t="b">
        <v>0</v>
      </c>
      <c r="B522" s="16" t="s">
        <v>3153</v>
      </c>
      <c r="C522" s="16" t="s">
        <v>3148</v>
      </c>
      <c r="E522" s="3" t="str">
        <f t="shared" si="7"/>
        <v/>
      </c>
    </row>
    <row r="523">
      <c r="A523" s="16" t="b">
        <v>0</v>
      </c>
      <c r="B523" s="16" t="s">
        <v>3157</v>
      </c>
      <c r="C523" s="16" t="s">
        <v>3158</v>
      </c>
      <c r="E523" s="3" t="str">
        <f t="shared" si="7"/>
        <v/>
      </c>
    </row>
    <row r="524">
      <c r="A524" s="16" t="b">
        <v>0</v>
      </c>
      <c r="B524" s="16" t="s">
        <v>3161</v>
      </c>
      <c r="C524" s="16" t="s">
        <v>3148</v>
      </c>
      <c r="E524" s="3" t="str">
        <f t="shared" si="7"/>
        <v/>
      </c>
    </row>
    <row r="525">
      <c r="A525" s="4" t="b">
        <v>1</v>
      </c>
      <c r="B525" s="16" t="s">
        <v>3166</v>
      </c>
      <c r="C525" s="16" t="s">
        <v>3167</v>
      </c>
      <c r="D525" s="2" t="s">
        <v>3165</v>
      </c>
      <c r="E525" s="3" t="str">
        <f t="shared" si="7"/>
        <v>/mnt/data-nas/medical_datasets/intel-mobileodt-cervical-cancer-screening.zip</v>
      </c>
    </row>
    <row r="526">
      <c r="A526" s="4" t="b">
        <v>1</v>
      </c>
      <c r="B526" s="16" t="s">
        <v>3171</v>
      </c>
      <c r="C526" s="16" t="s">
        <v>3148</v>
      </c>
      <c r="D526" s="2" t="s">
        <v>3170</v>
      </c>
      <c r="E526" s="3" t="str">
        <f t="shared" si="7"/>
        <v>/mnt/data-nas/medical_datasets/nerthus.zip</v>
      </c>
    </row>
    <row r="527">
      <c r="B527" s="16" t="s">
        <v>3177</v>
      </c>
      <c r="C527" s="16" t="s">
        <v>3148</v>
      </c>
      <c r="D527" s="2"/>
      <c r="E527" s="3" t="str">
        <f t="shared" si="7"/>
        <v/>
      </c>
    </row>
    <row r="528">
      <c r="A528" s="4" t="b">
        <v>1</v>
      </c>
      <c r="B528" s="16" t="s">
        <v>3181</v>
      </c>
      <c r="C528" s="16" t="s">
        <v>3148</v>
      </c>
      <c r="D528" s="2" t="s">
        <v>3181</v>
      </c>
      <c r="E528" s="3" t="str">
        <f t="shared" si="7"/>
        <v>/mnt/data-nas/medical_datasets/SCARED</v>
      </c>
    </row>
    <row r="529">
      <c r="A529" s="4" t="b">
        <v>1</v>
      </c>
      <c r="B529" s="16" t="s">
        <v>3189</v>
      </c>
      <c r="C529" s="16" t="s">
        <v>3148</v>
      </c>
      <c r="D529" s="2" t="s">
        <v>3188</v>
      </c>
      <c r="E529" s="3" t="str">
        <f t="shared" si="7"/>
        <v>/mnt/data-nas/medical_datasets/EAD2019.zip</v>
      </c>
    </row>
    <row r="530">
      <c r="A530" s="4" t="b">
        <v>1</v>
      </c>
      <c r="B530" s="16" t="s">
        <v>3197</v>
      </c>
      <c r="C530" s="16" t="s">
        <v>3148</v>
      </c>
      <c r="D530" s="2" t="s">
        <v>3196</v>
      </c>
      <c r="E530" s="3" t="str">
        <f t="shared" si="7"/>
        <v>/mnt/data-nas/medical_datasets/kvasir-sessile.zip</v>
      </c>
    </row>
    <row r="531">
      <c r="A531" s="4" t="b">
        <v>1</v>
      </c>
      <c r="B531" s="16" t="s">
        <v>3203</v>
      </c>
      <c r="C531" s="16" t="s">
        <v>3148</v>
      </c>
      <c r="D531" s="2" t="s">
        <v>3203</v>
      </c>
      <c r="E531" s="3" t="str">
        <f t="shared" si="7"/>
        <v>/mnt/data-nas/medical_datasets/SARAS-ESAD</v>
      </c>
    </row>
    <row r="532">
      <c r="A532" s="16" t="b">
        <v>0</v>
      </c>
      <c r="B532" s="16" t="s">
        <v>3210</v>
      </c>
      <c r="C532" s="16" t="s">
        <v>3148</v>
      </c>
      <c r="E532" s="3" t="str">
        <f t="shared" si="7"/>
        <v/>
      </c>
    </row>
    <row r="533">
      <c r="A533" s="16" t="b">
        <v>0</v>
      </c>
      <c r="B533" s="16" t="s">
        <v>3215</v>
      </c>
      <c r="C533" s="16" t="s">
        <v>3216</v>
      </c>
      <c r="E533" s="3" t="str">
        <f t="shared" si="7"/>
        <v/>
      </c>
    </row>
    <row r="534">
      <c r="A534" s="4" t="b">
        <v>1</v>
      </c>
      <c r="B534" s="16" t="s">
        <v>3221</v>
      </c>
      <c r="C534" s="16" t="s">
        <v>3148</v>
      </c>
      <c r="D534" s="2" t="s">
        <v>3220</v>
      </c>
      <c r="E534" s="3" t="str">
        <f t="shared" si="7"/>
        <v>/mnt/data-nas/medical_datasets/CP-CHILD.zip</v>
      </c>
    </row>
    <row r="535">
      <c r="A535" s="4" t="b">
        <v>1</v>
      </c>
      <c r="B535" s="16" t="s">
        <v>3226</v>
      </c>
      <c r="C535" s="16" t="s">
        <v>3228</v>
      </c>
      <c r="D535" s="2" t="s">
        <v>3225</v>
      </c>
      <c r="E535" s="3" t="str">
        <f t="shared" si="7"/>
        <v>/mnt/data-nas/medical_datasets/uw-sinus-surgery-CL.zip</v>
      </c>
    </row>
    <row r="536">
      <c r="A536" s="16" t="b">
        <v>0</v>
      </c>
      <c r="B536" s="16" t="s">
        <v>3233</v>
      </c>
      <c r="C536" s="16" t="s">
        <v>3148</v>
      </c>
      <c r="E536" s="3" t="str">
        <f t="shared" si="7"/>
        <v/>
      </c>
    </row>
    <row r="537">
      <c r="A537" s="16" t="b">
        <v>0</v>
      </c>
      <c r="B537" s="16" t="s">
        <v>3238</v>
      </c>
      <c r="C537" s="16"/>
      <c r="E537" s="3" t="str">
        <f t="shared" si="7"/>
        <v/>
      </c>
    </row>
    <row r="538">
      <c r="A538" s="4" t="b">
        <v>1</v>
      </c>
      <c r="B538" s="16" t="s">
        <v>3243</v>
      </c>
      <c r="C538" s="16" t="s">
        <v>3148</v>
      </c>
      <c r="D538" s="2" t="s">
        <v>3242</v>
      </c>
      <c r="E538" s="3" t="str">
        <f t="shared" si="7"/>
        <v>/mnt/data-nas/medical_datasets/m2caiseg.zip</v>
      </c>
    </row>
    <row r="539">
      <c r="A539" s="4" t="b">
        <v>1</v>
      </c>
      <c r="B539" s="16" t="s">
        <v>3249</v>
      </c>
      <c r="C539" s="16" t="s">
        <v>3148</v>
      </c>
      <c r="D539" s="2" t="s">
        <v>3248</v>
      </c>
      <c r="E539" s="3" t="str">
        <f t="shared" si="7"/>
        <v>/mnt/data-nas/medical_datasets/CholecSeg8k.zip</v>
      </c>
    </row>
    <row r="540">
      <c r="A540" s="4" t="b">
        <v>1</v>
      </c>
      <c r="B540" s="16" t="s">
        <v>3254</v>
      </c>
      <c r="C540" s="16" t="s">
        <v>3148</v>
      </c>
      <c r="D540" s="2" t="s">
        <v>3253</v>
      </c>
      <c r="E540" s="3" t="str">
        <f t="shared" si="7"/>
        <v>/mnt/data-nas/medical_datasets/SERV-CT.zip</v>
      </c>
    </row>
    <row r="541">
      <c r="A541" s="4" t="b">
        <v>1</v>
      </c>
      <c r="B541" s="16" t="s">
        <v>3260</v>
      </c>
      <c r="C541" s="2" t="s">
        <v>3148</v>
      </c>
      <c r="D541" s="2" t="s">
        <v>3259</v>
      </c>
      <c r="E541" s="2" t="s">
        <v>3259</v>
      </c>
    </row>
    <row r="542">
      <c r="A542" s="16" t="b">
        <v>0</v>
      </c>
      <c r="B542" s="16" t="s">
        <v>3264</v>
      </c>
      <c r="C542" s="16" t="s">
        <v>3148</v>
      </c>
      <c r="E542" s="3" t="str">
        <f t="shared" ref="E542:E665" si="8">IF(A542=True, "/mnt/data-nas/medical_datasets/" &amp; D542, "")</f>
        <v/>
      </c>
    </row>
    <row r="543">
      <c r="A543" s="16" t="b">
        <v>0</v>
      </c>
      <c r="B543" s="16" t="s">
        <v>3269</v>
      </c>
      <c r="C543" s="16"/>
      <c r="E543" s="3" t="str">
        <f t="shared" si="8"/>
        <v/>
      </c>
    </row>
    <row r="544">
      <c r="A544" s="16" t="b">
        <v>0</v>
      </c>
      <c r="B544" s="16" t="s">
        <v>3274</v>
      </c>
      <c r="C544" s="16" t="s">
        <v>3148</v>
      </c>
      <c r="E544" s="3" t="str">
        <f t="shared" si="8"/>
        <v/>
      </c>
    </row>
    <row r="545">
      <c r="A545" s="16" t="b">
        <v>0</v>
      </c>
      <c r="B545" s="16" t="s">
        <v>3281</v>
      </c>
      <c r="C545" s="16" t="s">
        <v>3148</v>
      </c>
      <c r="E545" s="3" t="str">
        <f t="shared" si="8"/>
        <v/>
      </c>
    </row>
    <row r="546">
      <c r="A546" s="16" t="b">
        <v>0</v>
      </c>
      <c r="B546" s="16" t="s">
        <v>3287</v>
      </c>
      <c r="C546" s="16" t="s">
        <v>3148</v>
      </c>
      <c r="E546" s="3" t="str">
        <f t="shared" si="8"/>
        <v/>
      </c>
    </row>
    <row r="547">
      <c r="A547" s="4" t="b">
        <v>1</v>
      </c>
      <c r="B547" s="16" t="s">
        <v>3293</v>
      </c>
      <c r="C547" s="16" t="s">
        <v>3148</v>
      </c>
      <c r="E547" s="3" t="str">
        <f t="shared" si="8"/>
        <v>/mnt/data-nas/medical_datasets/</v>
      </c>
    </row>
    <row r="548">
      <c r="A548" s="16" t="b">
        <v>0</v>
      </c>
      <c r="B548" s="16" t="s">
        <v>3300</v>
      </c>
      <c r="C548" s="16" t="s">
        <v>3301</v>
      </c>
      <c r="E548" s="3" t="str">
        <f t="shared" si="8"/>
        <v/>
      </c>
    </row>
    <row r="549">
      <c r="A549" s="16" t="b">
        <v>0</v>
      </c>
      <c r="B549" s="16" t="s">
        <v>3305</v>
      </c>
      <c r="C549" s="16" t="s">
        <v>3148</v>
      </c>
      <c r="E549" s="3" t="str">
        <f t="shared" si="8"/>
        <v/>
      </c>
    </row>
    <row r="550">
      <c r="A550" s="16" t="b">
        <v>0</v>
      </c>
      <c r="B550" s="16" t="s">
        <v>3312</v>
      </c>
      <c r="C550" s="16" t="s">
        <v>3148</v>
      </c>
      <c r="E550" s="3" t="str">
        <f t="shared" si="8"/>
        <v/>
      </c>
    </row>
    <row r="551">
      <c r="A551" s="16" t="b">
        <v>0</v>
      </c>
      <c r="B551" s="16" t="s">
        <v>3317</v>
      </c>
      <c r="C551" s="16" t="s">
        <v>3148</v>
      </c>
      <c r="E551" s="3" t="str">
        <f t="shared" si="8"/>
        <v/>
      </c>
    </row>
    <row r="552">
      <c r="A552" s="16" t="b">
        <v>0</v>
      </c>
      <c r="B552" s="16" t="s">
        <v>3324</v>
      </c>
      <c r="C552" s="16" t="s">
        <v>3148</v>
      </c>
      <c r="E552" s="3" t="str">
        <f t="shared" si="8"/>
        <v/>
      </c>
    </row>
    <row r="553">
      <c r="A553" s="4" t="b">
        <v>0</v>
      </c>
      <c r="B553" s="2" t="s">
        <v>3329</v>
      </c>
      <c r="C553" s="3" t="s">
        <v>3331</v>
      </c>
      <c r="E553" s="3" t="str">
        <f t="shared" si="8"/>
        <v/>
      </c>
    </row>
    <row r="554">
      <c r="A554" s="4" t="b">
        <v>1</v>
      </c>
      <c r="B554" s="2" t="s">
        <v>3338</v>
      </c>
      <c r="C554" s="2" t="s">
        <v>3339</v>
      </c>
      <c r="D554" s="2" t="s">
        <v>3338</v>
      </c>
      <c r="E554" s="3" t="str">
        <f t="shared" si="8"/>
        <v>/mnt/data-nas/medical_datasets/CMB-CRC</v>
      </c>
    </row>
    <row r="555">
      <c r="A555" s="4" t="b">
        <v>1</v>
      </c>
      <c r="B555" s="2" t="s">
        <v>3349</v>
      </c>
      <c r="C555" s="3" t="s">
        <v>469</v>
      </c>
      <c r="D555" s="2" t="s">
        <v>3348</v>
      </c>
      <c r="E555" s="3" t="str">
        <f t="shared" si="8"/>
        <v>/mnt/data-nas/medical_datasets/Collection_of_textures_in_colorectal_cancer_histology.zip</v>
      </c>
    </row>
    <row r="556">
      <c r="A556" s="4" t="b">
        <v>1</v>
      </c>
      <c r="B556" s="2" t="s">
        <v>3360</v>
      </c>
      <c r="C556" s="3" t="s">
        <v>3361</v>
      </c>
      <c r="D556" s="2" t="s">
        <v>3359</v>
      </c>
      <c r="E556" s="3" t="str">
        <f t="shared" si="8"/>
        <v>/mnt/data-nas/medical_datasets/PKG - CPTAC-COAD_v1</v>
      </c>
    </row>
    <row r="557">
      <c r="A557" s="4" t="b">
        <v>1</v>
      </c>
      <c r="B557" s="2" t="s">
        <v>3367</v>
      </c>
      <c r="C557" s="3" t="s">
        <v>3368</v>
      </c>
      <c r="D557" s="2" t="s">
        <v>3366</v>
      </c>
      <c r="E557" s="3" t="str">
        <f t="shared" si="8"/>
        <v>/mnt/data-nas/medical_datasets/CVC-ColonDB.zip</v>
      </c>
    </row>
    <row r="558">
      <c r="A558" s="4" t="b">
        <v>1</v>
      </c>
      <c r="B558" s="2" t="s">
        <v>3376</v>
      </c>
      <c r="C558" s="3" t="s">
        <v>3148</v>
      </c>
      <c r="D558" s="2" t="s">
        <v>3375</v>
      </c>
      <c r="E558" s="3" t="str">
        <f t="shared" si="8"/>
        <v>/mnt/data-nas/medical_datasets/EndoCV2020-Endoscopy-Disease-Detection-Segmentation-subChallenge_data.zip</v>
      </c>
    </row>
    <row r="559">
      <c r="A559" s="4" t="b">
        <v>0</v>
      </c>
      <c r="B559" s="2" t="s">
        <v>3382</v>
      </c>
      <c r="C559" s="3" t="s">
        <v>3383</v>
      </c>
      <c r="D559" s="2"/>
      <c r="E559" s="3" t="str">
        <f t="shared" si="8"/>
        <v/>
      </c>
    </row>
    <row r="560">
      <c r="A560" s="4" t="b">
        <v>1</v>
      </c>
      <c r="B560" s="2" t="s">
        <v>3391</v>
      </c>
      <c r="C560" s="3" t="s">
        <v>3148</v>
      </c>
      <c r="D560" s="2" t="s">
        <v>3390</v>
      </c>
      <c r="E560" s="3" t="str">
        <f t="shared" si="8"/>
        <v>/mnt/data-nas/medical_datasets/polypgen</v>
      </c>
    </row>
    <row r="561">
      <c r="A561" s="4" t="b">
        <v>1</v>
      </c>
      <c r="B561" s="2" t="s">
        <v>3398</v>
      </c>
      <c r="C561" s="3" t="s">
        <v>3399</v>
      </c>
      <c r="D561" s="2" t="s">
        <v>3397</v>
      </c>
      <c r="E561" s="3" t="str">
        <f t="shared" si="8"/>
        <v>/mnt/data-nas/medical_datasets/osfstorage-archive</v>
      </c>
    </row>
    <row r="562">
      <c r="A562" s="16" t="b">
        <v>0</v>
      </c>
      <c r="B562" s="2" t="s">
        <v>3408</v>
      </c>
      <c r="C562" s="3" t="s">
        <v>3409</v>
      </c>
      <c r="E562" s="3" t="str">
        <f t="shared" si="8"/>
        <v/>
      </c>
    </row>
    <row r="563">
      <c r="A563" s="16" t="b">
        <v>0</v>
      </c>
      <c r="B563" s="2" t="s">
        <v>3416</v>
      </c>
      <c r="C563" s="3" t="s">
        <v>3417</v>
      </c>
      <c r="E563" s="3" t="str">
        <f t="shared" si="8"/>
        <v/>
      </c>
    </row>
    <row r="564">
      <c r="A564" s="4" t="b">
        <v>1</v>
      </c>
      <c r="B564" s="2" t="s">
        <v>3423</v>
      </c>
      <c r="C564" s="3" t="s">
        <v>3148</v>
      </c>
      <c r="D564" s="2" t="s">
        <v>3422</v>
      </c>
      <c r="E564" s="3" t="str">
        <f t="shared" si="8"/>
        <v>/mnt/data-nas/medical_datasets/PolypGen2021_MultiCenterData_v3.zip</v>
      </c>
    </row>
    <row r="565">
      <c r="A565" s="4" t="b">
        <v>1</v>
      </c>
      <c r="B565" s="2" t="s">
        <v>3430</v>
      </c>
      <c r="C565" s="3" t="s">
        <v>3431</v>
      </c>
      <c r="D565" s="2" t="s">
        <v>3429</v>
      </c>
      <c r="E565" s="3" t="str">
        <f t="shared" si="8"/>
        <v>/mnt/data-nas/medical_datasets/TCGA-COAD.zip</v>
      </c>
    </row>
    <row r="566">
      <c r="A566" s="4" t="b">
        <v>1</v>
      </c>
      <c r="B566" s="2" t="s">
        <v>3438</v>
      </c>
      <c r="C566" s="3" t="s">
        <v>3439</v>
      </c>
      <c r="D566" s="2" t="s">
        <v>3438</v>
      </c>
      <c r="E566" s="3" t="str">
        <f t="shared" si="8"/>
        <v>/mnt/data-nas/medical_datasets/TCGA-READ</v>
      </c>
    </row>
    <row r="567">
      <c r="A567" s="4" t="b">
        <v>1</v>
      </c>
      <c r="B567" s="2" t="s">
        <v>3444</v>
      </c>
      <c r="C567" s="3" t="s">
        <v>60</v>
      </c>
      <c r="D567" s="2" t="s">
        <v>3443</v>
      </c>
      <c r="E567" s="3" t="str">
        <f t="shared" si="8"/>
        <v>/mnt/data-nas/medical_datasets/CT-COLONOGRAPHY</v>
      </c>
    </row>
    <row r="568">
      <c r="A568" s="4" t="b">
        <v>1</v>
      </c>
      <c r="B568" s="2" t="s">
        <v>3448</v>
      </c>
      <c r="C568" s="2" t="s">
        <v>3450</v>
      </c>
      <c r="D568" s="2" t="s">
        <v>3448</v>
      </c>
      <c r="E568" s="3" t="str">
        <f t="shared" si="8"/>
        <v>/mnt/data-nas/medical_datasets/CPTAC-CCRCC</v>
      </c>
    </row>
    <row r="569">
      <c r="A569" s="4" t="b">
        <v>1</v>
      </c>
      <c r="B569" s="2" t="s">
        <v>3456</v>
      </c>
      <c r="C569" s="2" t="s">
        <v>355</v>
      </c>
      <c r="D569" s="2" t="s">
        <v>3455</v>
      </c>
      <c r="E569" s="3" t="str">
        <f t="shared" si="8"/>
        <v>/mnt/data-nas/medical_datasets/hubmap-kidney-segmentation.zip</v>
      </c>
    </row>
    <row r="570">
      <c r="A570" s="16" t="b">
        <v>0</v>
      </c>
      <c r="B570" s="2" t="s">
        <v>3463</v>
      </c>
      <c r="C570" s="2" t="s">
        <v>3464</v>
      </c>
      <c r="E570" s="3" t="str">
        <f t="shared" si="8"/>
        <v/>
      </c>
    </row>
    <row r="571">
      <c r="A571" s="4" t="b">
        <v>1</v>
      </c>
      <c r="B571" s="2" t="s">
        <v>3469</v>
      </c>
      <c r="C571" s="3" t="s">
        <v>3470</v>
      </c>
      <c r="D571" s="2" t="s">
        <v>3469</v>
      </c>
      <c r="E571" s="3" t="str">
        <f t="shared" si="8"/>
        <v>/mnt/data-nas/medical_datasets/TCGA-BLCA</v>
      </c>
    </row>
    <row r="572">
      <c r="A572" s="4" t="b">
        <v>1</v>
      </c>
      <c r="B572" s="2" t="s">
        <v>3475</v>
      </c>
      <c r="C572" s="3" t="s">
        <v>3476</v>
      </c>
      <c r="D572" s="2" t="s">
        <v>3474</v>
      </c>
      <c r="E572" s="3" t="str">
        <f t="shared" si="8"/>
        <v>/mnt/data-nas/medical_datasets/TCGA-KICH.zip</v>
      </c>
    </row>
    <row r="573">
      <c r="A573" s="4" t="b">
        <v>1</v>
      </c>
      <c r="B573" s="2" t="s">
        <v>3481</v>
      </c>
      <c r="C573" s="3" t="s">
        <v>3482</v>
      </c>
      <c r="D573" s="2" t="s">
        <v>3480</v>
      </c>
      <c r="E573" s="3" t="str">
        <f t="shared" si="8"/>
        <v>/mnt/data-nas/medical_datasets/tciaDownload</v>
      </c>
    </row>
    <row r="574">
      <c r="A574" s="4" t="b">
        <v>1</v>
      </c>
      <c r="B574" s="2" t="s">
        <v>3485</v>
      </c>
      <c r="C574" s="3" t="s">
        <v>3486</v>
      </c>
      <c r="D574" s="2" t="s">
        <v>3485</v>
      </c>
      <c r="E574" s="3" t="str">
        <f t="shared" si="8"/>
        <v>/mnt/data-nas/medical_datasets/TCGA-KIRP</v>
      </c>
    </row>
    <row r="575">
      <c r="A575" s="4" t="b">
        <v>1</v>
      </c>
      <c r="B575" s="2" t="s">
        <v>3490</v>
      </c>
      <c r="C575" s="3" t="s">
        <v>3491</v>
      </c>
      <c r="D575" s="2" t="s">
        <v>3489</v>
      </c>
      <c r="E575" s="3" t="str">
        <f t="shared" si="8"/>
        <v>/mnt/data-nas/medical_datasets/Urinary tract infections.zip</v>
      </c>
    </row>
    <row r="576">
      <c r="A576" s="16" t="b">
        <v>0</v>
      </c>
      <c r="B576" s="2" t="s">
        <v>3498</v>
      </c>
      <c r="C576" s="3" t="s">
        <v>3499</v>
      </c>
      <c r="E576" s="3" t="str">
        <f t="shared" si="8"/>
        <v/>
      </c>
    </row>
    <row r="577">
      <c r="A577" s="16" t="b">
        <v>0</v>
      </c>
      <c r="B577" s="2" t="s">
        <v>3503</v>
      </c>
      <c r="C577" s="3" t="s">
        <v>108</v>
      </c>
      <c r="E577" s="3" t="str">
        <f t="shared" si="8"/>
        <v/>
      </c>
    </row>
    <row r="578">
      <c r="A578" s="16" t="b">
        <v>0</v>
      </c>
      <c r="B578" s="2" t="s">
        <v>3509</v>
      </c>
      <c r="C578" s="3" t="s">
        <v>235</v>
      </c>
      <c r="E578" s="3" t="str">
        <f t="shared" si="8"/>
        <v/>
      </c>
    </row>
    <row r="579">
      <c r="A579" s="16" t="b">
        <v>0</v>
      </c>
      <c r="B579" s="2" t="s">
        <v>3513</v>
      </c>
      <c r="C579" s="3" t="s">
        <v>3514</v>
      </c>
      <c r="E579" s="3" t="str">
        <f t="shared" si="8"/>
        <v/>
      </c>
    </row>
    <row r="580">
      <c r="A580" s="16" t="b">
        <v>0</v>
      </c>
      <c r="B580" s="2" t="s">
        <v>3520</v>
      </c>
      <c r="C580" s="3" t="s">
        <v>3521</v>
      </c>
      <c r="E580" s="3" t="str">
        <f t="shared" si="8"/>
        <v/>
      </c>
    </row>
    <row r="581">
      <c r="A581" s="16" t="b">
        <v>0</v>
      </c>
      <c r="B581" s="2" t="s">
        <v>3528</v>
      </c>
      <c r="C581" s="3" t="s">
        <v>3476</v>
      </c>
      <c r="E581" s="3" t="str">
        <f t="shared" si="8"/>
        <v/>
      </c>
    </row>
    <row r="582">
      <c r="A582" s="4" t="b">
        <v>1</v>
      </c>
      <c r="B582" s="2" t="s">
        <v>3532</v>
      </c>
      <c r="C582" s="3" t="s">
        <v>3486</v>
      </c>
      <c r="D582" s="2" t="s">
        <v>3532</v>
      </c>
      <c r="E582" s="3" t="str">
        <f t="shared" si="8"/>
        <v>/mnt/data-nas/medical_datasets/TCGA-LIHC</v>
      </c>
    </row>
    <row r="583">
      <c r="A583" s="16" t="b">
        <v>0</v>
      </c>
      <c r="B583" s="2" t="s">
        <v>3535</v>
      </c>
      <c r="C583" s="3" t="s">
        <v>3537</v>
      </c>
      <c r="E583" s="3" t="str">
        <f t="shared" si="8"/>
        <v/>
      </c>
    </row>
    <row r="584">
      <c r="A584" s="103" t="b">
        <v>0</v>
      </c>
      <c r="B584" s="104" t="s">
        <v>3541</v>
      </c>
      <c r="C584" s="102" t="s">
        <v>3542</v>
      </c>
      <c r="D584" s="104"/>
      <c r="E584" s="3" t="str">
        <f t="shared" si="8"/>
        <v/>
      </c>
    </row>
    <row r="585">
      <c r="A585" s="4" t="b">
        <v>1</v>
      </c>
      <c r="B585" s="2" t="s">
        <v>3549</v>
      </c>
      <c r="C585" s="3" t="s">
        <v>3550</v>
      </c>
      <c r="D585" s="2" t="s">
        <v>3549</v>
      </c>
      <c r="E585" s="3" t="str">
        <f t="shared" si="8"/>
        <v>/mnt/data-nas/medical_datasets/CMB-OV</v>
      </c>
    </row>
    <row r="586">
      <c r="A586" s="4" t="b">
        <v>1</v>
      </c>
      <c r="B586" s="2" t="s">
        <v>3556</v>
      </c>
      <c r="C586" s="3" t="s">
        <v>3557</v>
      </c>
      <c r="D586" s="2" t="s">
        <v>3556</v>
      </c>
      <c r="E586" s="3" t="str">
        <f t="shared" si="8"/>
        <v>/mnt/data-nas/medical_datasets/CPTAC-UCEC</v>
      </c>
    </row>
    <row r="587">
      <c r="A587" s="4" t="b">
        <v>1</v>
      </c>
      <c r="B587" s="2" t="s">
        <v>3562</v>
      </c>
      <c r="C587" s="3" t="s">
        <v>469</v>
      </c>
      <c r="D587" s="2" t="s">
        <v>3562</v>
      </c>
      <c r="E587" s="3" t="str">
        <f t="shared" si="8"/>
        <v>/mnt/data-nas/medical_datasets/ENDO-AID</v>
      </c>
    </row>
    <row r="588">
      <c r="A588" s="4" t="b">
        <v>1</v>
      </c>
      <c r="B588" s="2" t="s">
        <v>3570</v>
      </c>
      <c r="C588" s="3" t="s">
        <v>108</v>
      </c>
      <c r="D588" s="2" t="s">
        <v>3569</v>
      </c>
      <c r="E588" s="3" t="str">
        <f t="shared" si="8"/>
        <v>/mnt/data-nas/medical_datasets/14371652.zip</v>
      </c>
    </row>
    <row r="589">
      <c r="A589" s="4" t="b">
        <v>1</v>
      </c>
      <c r="B589" s="2" t="s">
        <v>3576</v>
      </c>
      <c r="C589" s="3" t="s">
        <v>108</v>
      </c>
      <c r="D589" s="2" t="s">
        <v>3575</v>
      </c>
      <c r="E589" s="3" t="str">
        <f t="shared" si="8"/>
        <v>/mnt/data-nas/medical_datasets/iugc-ultrasound-video-dataset-miccai-2024.zip</v>
      </c>
    </row>
    <row r="590">
      <c r="A590" s="4" t="b">
        <v>1</v>
      </c>
      <c r="B590" s="2" t="s">
        <v>3583</v>
      </c>
      <c r="C590" s="3" t="s">
        <v>108</v>
      </c>
      <c r="D590" s="2" t="s">
        <v>3582</v>
      </c>
      <c r="E590" s="3" t="str">
        <f t="shared" si="8"/>
        <v>/mnt/data-nas/medical_datasets/JNU-IFM.zip</v>
      </c>
    </row>
    <row r="591">
      <c r="A591" s="4" t="b">
        <v>1</v>
      </c>
      <c r="B591" s="2" t="s">
        <v>3589</v>
      </c>
      <c r="C591" s="3" t="s">
        <v>3491</v>
      </c>
      <c r="D591" s="2" t="s">
        <v>3588</v>
      </c>
      <c r="E591" s="3" t="str">
        <f t="shared" si="8"/>
        <v>/mnt/data-nas/medical_datasets/pap_smear</v>
      </c>
    </row>
    <row r="592">
      <c r="A592" s="4" t="b">
        <v>1</v>
      </c>
      <c r="B592" s="2" t="s">
        <v>3592</v>
      </c>
      <c r="C592" s="3" t="s">
        <v>3593</v>
      </c>
      <c r="D592" s="2" t="s">
        <v>3592</v>
      </c>
      <c r="E592" s="3" t="str">
        <f t="shared" si="8"/>
        <v>/mnt/data-nas/medical_datasets/TCGA-CESC</v>
      </c>
    </row>
    <row r="593">
      <c r="A593" s="4" t="b">
        <v>1</v>
      </c>
      <c r="B593" s="2" t="s">
        <v>3597</v>
      </c>
      <c r="C593" s="3" t="s">
        <v>3598</v>
      </c>
      <c r="D593" s="2" t="s">
        <v>3597</v>
      </c>
      <c r="E593" s="3" t="str">
        <f t="shared" si="8"/>
        <v>/mnt/data-nas/medical_datasets/TCGA-OV</v>
      </c>
    </row>
    <row r="594">
      <c r="A594" s="4" t="b">
        <v>1</v>
      </c>
      <c r="B594" s="2" t="s">
        <v>3601</v>
      </c>
      <c r="C594" s="3" t="s">
        <v>3602</v>
      </c>
      <c r="D594" s="2" t="s">
        <v>3601</v>
      </c>
      <c r="E594" s="3" t="str">
        <f t="shared" si="8"/>
        <v>/mnt/data-nas/medical_datasets/TCGA-UCEC</v>
      </c>
    </row>
    <row r="595">
      <c r="A595" s="4" t="b">
        <v>1</v>
      </c>
      <c r="B595" s="2" t="s">
        <v>3606</v>
      </c>
      <c r="C595" s="3" t="s">
        <v>3491</v>
      </c>
      <c r="D595" s="2" t="s">
        <v>3605</v>
      </c>
      <c r="E595" s="3" t="str">
        <f t="shared" si="8"/>
        <v>/mnt/data-nas/medical_datasets/cervical-cancer-largest-dataset-sipakmed.zip </v>
      </c>
    </row>
    <row r="596">
      <c r="A596" s="16" t="b">
        <v>0</v>
      </c>
      <c r="B596" s="2" t="s">
        <v>3611</v>
      </c>
      <c r="C596" s="3" t="s">
        <v>2335</v>
      </c>
      <c r="E596" s="3" t="str">
        <f t="shared" si="8"/>
        <v/>
      </c>
    </row>
    <row r="597">
      <c r="A597" s="4" t="b">
        <v>1</v>
      </c>
      <c r="B597" s="2" t="s">
        <v>3618</v>
      </c>
      <c r="C597" s="3" t="s">
        <v>3619</v>
      </c>
      <c r="D597" s="2" t="s">
        <v>3617</v>
      </c>
      <c r="E597" s="3" t="str">
        <f t="shared" si="8"/>
        <v>/mnt/data-nas/medical_datasets/Processed_data_nii.zip</v>
      </c>
    </row>
    <row r="598">
      <c r="A598" s="4" t="b">
        <v>1</v>
      </c>
      <c r="B598" s="2" t="s">
        <v>3625</v>
      </c>
      <c r="C598" s="3" t="s">
        <v>3619</v>
      </c>
      <c r="D598" s="2" t="s">
        <v>3624</v>
      </c>
      <c r="E598" s="3" t="str">
        <f t="shared" si="8"/>
        <v>/mnt/data-nas/medical_datasets/ISBI-MR-Prostate-2013</v>
      </c>
    </row>
    <row r="599">
      <c r="A599" s="4" t="b">
        <v>1</v>
      </c>
      <c r="B599" s="2" t="s">
        <v>3631</v>
      </c>
      <c r="C599" s="3" t="s">
        <v>3619</v>
      </c>
      <c r="D599" s="2" t="s">
        <v>3631</v>
      </c>
      <c r="E599" s="3" t="str">
        <f t="shared" si="8"/>
        <v>/mnt/data-nas/medical_datasets/Prostate-3T</v>
      </c>
    </row>
    <row r="600">
      <c r="A600" s="4" t="b">
        <v>1</v>
      </c>
      <c r="B600" s="2" t="s">
        <v>3637</v>
      </c>
      <c r="C600" s="3" t="s">
        <v>3638</v>
      </c>
      <c r="D600" s="2" t="s">
        <v>3637</v>
      </c>
      <c r="E600" s="3" t="str">
        <f t="shared" si="8"/>
        <v>/mnt/data-nas/medical_datasets/PROSTATE-DIAGNOSIS</v>
      </c>
    </row>
    <row r="601">
      <c r="A601" s="16" t="b">
        <v>0</v>
      </c>
      <c r="B601" s="2" t="s">
        <v>3644</v>
      </c>
      <c r="E601" s="3" t="str">
        <f t="shared" si="8"/>
        <v/>
      </c>
    </row>
    <row r="602">
      <c r="A602" s="4" t="b">
        <v>1</v>
      </c>
      <c r="B602" s="2" t="s">
        <v>3646</v>
      </c>
      <c r="C602" s="3" t="s">
        <v>2335</v>
      </c>
      <c r="D602" s="2" t="s">
        <v>3646</v>
      </c>
      <c r="E602" s="3" t="str">
        <f t="shared" si="8"/>
        <v>/mnt/data-nas/medical_datasets/PROSTATEx</v>
      </c>
    </row>
    <row r="603">
      <c r="A603" s="4" t="b">
        <v>1</v>
      </c>
      <c r="B603" s="2" t="s">
        <v>3652</v>
      </c>
      <c r="C603" s="3" t="s">
        <v>3653</v>
      </c>
      <c r="D603" s="2" t="s">
        <v>3652</v>
      </c>
      <c r="E603" s="3" t="str">
        <f t="shared" si="8"/>
        <v>/mnt/data-nas/medical_datasets/TCGA-PRAD</v>
      </c>
    </row>
    <row r="604">
      <c r="A604" s="16" t="b">
        <v>0</v>
      </c>
      <c r="B604" s="16" t="s">
        <v>3656</v>
      </c>
      <c r="C604" s="16" t="s">
        <v>3658</v>
      </c>
      <c r="D604" s="16"/>
      <c r="E604" s="3" t="str">
        <f t="shared" si="8"/>
        <v/>
      </c>
    </row>
    <row r="605">
      <c r="A605" s="4" t="b">
        <v>1</v>
      </c>
      <c r="B605" s="16" t="s">
        <v>3666</v>
      </c>
      <c r="C605" s="16" t="s">
        <v>3658</v>
      </c>
      <c r="D605" s="4" t="s">
        <v>3665</v>
      </c>
      <c r="E605" s="3" t="str">
        <f t="shared" si="8"/>
        <v>/mnt/data-nas/medical_datasets/complete_mednode_dataset.zip</v>
      </c>
    </row>
    <row r="606">
      <c r="A606" s="4" t="b">
        <v>1</v>
      </c>
      <c r="B606" s="16" t="s">
        <v>3672</v>
      </c>
      <c r="C606" s="16" t="s">
        <v>3658</v>
      </c>
      <c r="D606" s="4" t="s">
        <v>3671</v>
      </c>
      <c r="E606" s="3" t="str">
        <f t="shared" si="8"/>
        <v>/mnt/data-nas/medical_datasets/ISIC-2017_Training_Data.zip</v>
      </c>
    </row>
    <row r="607">
      <c r="A607" s="16" t="b">
        <v>0</v>
      </c>
      <c r="B607" s="16" t="s">
        <v>3679</v>
      </c>
      <c r="C607" s="16" t="s">
        <v>3680</v>
      </c>
      <c r="D607" s="16"/>
      <c r="E607" s="3" t="str">
        <f t="shared" si="8"/>
        <v/>
      </c>
    </row>
    <row r="608">
      <c r="A608" s="4" t="b">
        <v>1</v>
      </c>
      <c r="B608" s="16" t="s">
        <v>3686</v>
      </c>
      <c r="C608" s="16" t="s">
        <v>3658</v>
      </c>
      <c r="D608" s="4" t="s">
        <v>3685</v>
      </c>
      <c r="E608" s="3" t="str">
        <f t="shared" si="8"/>
        <v>/mnt/data-nas/medical_datasets/ISIC_2020_Training_Dicom.zip</v>
      </c>
    </row>
    <row r="609">
      <c r="A609" s="4" t="b">
        <v>1</v>
      </c>
      <c r="B609" s="16" t="s">
        <v>3691</v>
      </c>
      <c r="C609" s="16" t="s">
        <v>3658</v>
      </c>
      <c r="D609" s="4" t="s">
        <v>3691</v>
      </c>
      <c r="E609" s="3" t="str">
        <f t="shared" si="8"/>
        <v>/mnt/data-nas/medical_datasets/PED-UFES-20</v>
      </c>
    </row>
    <row r="610">
      <c r="A610" s="4" t="b">
        <v>1</v>
      </c>
      <c r="B610" s="16" t="s">
        <v>3697</v>
      </c>
      <c r="C610" s="16" t="s">
        <v>3698</v>
      </c>
      <c r="D610" s="4" t="s">
        <v>3696</v>
      </c>
      <c r="E610" s="3" t="str">
        <f t="shared" si="8"/>
        <v>/mnt/data-nas/medical_datasets/fitzpatrick17k.zip</v>
      </c>
    </row>
    <row r="611">
      <c r="A611" s="16" t="b">
        <v>0</v>
      </c>
      <c r="B611" s="16" t="s">
        <v>3703</v>
      </c>
      <c r="C611" s="16" t="s">
        <v>3704</v>
      </c>
      <c r="D611" s="16"/>
      <c r="E611" s="3" t="str">
        <f t="shared" si="8"/>
        <v/>
      </c>
    </row>
    <row r="612">
      <c r="A612" s="4" t="b">
        <v>1</v>
      </c>
      <c r="B612" s="16" t="s">
        <v>3709</v>
      </c>
      <c r="C612" s="16" t="s">
        <v>3710</v>
      </c>
      <c r="D612" s="4" t="s">
        <v>3709</v>
      </c>
      <c r="E612" s="3" t="str">
        <f t="shared" si="8"/>
        <v>/mnt/data-nas/medical_datasets/SCIN</v>
      </c>
    </row>
    <row r="613">
      <c r="A613" s="4" t="b">
        <v>1</v>
      </c>
      <c r="B613" s="16" t="s">
        <v>3716</v>
      </c>
      <c r="C613" s="16" t="s">
        <v>200</v>
      </c>
      <c r="D613" s="4" t="s">
        <v>3715</v>
      </c>
      <c r="E613" s="3" t="str">
        <f t="shared" si="8"/>
        <v>/mnt/data-nas/medical_datasets/SkinCancer.zip</v>
      </c>
    </row>
    <row r="614">
      <c r="A614" s="4" t="b">
        <v>1</v>
      </c>
      <c r="B614" s="16" t="s">
        <v>3721</v>
      </c>
      <c r="C614" s="16" t="s">
        <v>3722</v>
      </c>
      <c r="D614" s="2" t="s">
        <v>3720</v>
      </c>
      <c r="E614" s="3" t="str">
        <f t="shared" si="8"/>
        <v>/mnt/data-nas/medical_datasets/SOPHIE_Spitz</v>
      </c>
    </row>
    <row r="615">
      <c r="A615" s="4" t="b">
        <v>1</v>
      </c>
      <c r="B615" s="16" t="s">
        <v>3726</v>
      </c>
      <c r="C615" s="16" t="s">
        <v>3727</v>
      </c>
      <c r="D615" s="2" t="s">
        <v>3725</v>
      </c>
      <c r="E615" s="3" t="str">
        <f t="shared" si="8"/>
        <v>/mnt/data-nas/medical_datasets/Delta: ISIC_2024_Training_Input</v>
      </c>
    </row>
    <row r="616">
      <c r="A616" s="4" t="b">
        <v>1</v>
      </c>
      <c r="B616" s="16" t="s">
        <v>3732</v>
      </c>
      <c r="C616" s="16" t="s">
        <v>3680</v>
      </c>
      <c r="D616" s="2" t="s">
        <v>3731</v>
      </c>
      <c r="E616" s="3" t="str">
        <f t="shared" si="8"/>
        <v>/mnt/data-nas/medical_datasets/augmented-skin-conditions-image-dataset.zip </v>
      </c>
    </row>
    <row r="617">
      <c r="A617" s="4" t="b">
        <v>1</v>
      </c>
      <c r="B617" s="16" t="s">
        <v>3737</v>
      </c>
      <c r="C617" s="16" t="s">
        <v>3658</v>
      </c>
      <c r="D617" s="2" t="s">
        <v>3736</v>
      </c>
      <c r="E617" s="3" t="str">
        <f t="shared" si="8"/>
        <v>/mnt/data-nas/medical_datasets/all-isic-data-20240629.zip </v>
      </c>
    </row>
    <row r="618">
      <c r="A618" s="16" t="b">
        <v>0</v>
      </c>
      <c r="B618" s="2" t="s">
        <v>3741</v>
      </c>
      <c r="C618" s="3" t="s">
        <v>3742</v>
      </c>
      <c r="D618" s="2"/>
      <c r="E618" s="3" t="str">
        <f t="shared" si="8"/>
        <v/>
      </c>
    </row>
    <row r="619">
      <c r="A619" s="16" t="b">
        <v>0</v>
      </c>
      <c r="B619" s="2" t="s">
        <v>3747</v>
      </c>
      <c r="C619" s="3" t="s">
        <v>3742</v>
      </c>
      <c r="D619" s="2"/>
      <c r="E619" s="3" t="str">
        <f t="shared" si="8"/>
        <v/>
      </c>
    </row>
    <row r="620">
      <c r="A620" s="4" t="b">
        <v>1</v>
      </c>
      <c r="B620" s="2" t="s">
        <v>3753</v>
      </c>
      <c r="D620" s="2" t="s">
        <v>3752</v>
      </c>
      <c r="E620" s="3" t="str">
        <f t="shared" si="8"/>
        <v>/mnt/data-nas/medical_datasets/wound-segmentation</v>
      </c>
    </row>
    <row r="621">
      <c r="A621" s="4" t="b">
        <v>1</v>
      </c>
      <c r="B621" s="2" t="s">
        <v>3756</v>
      </c>
      <c r="C621" s="3" t="s">
        <v>3698</v>
      </c>
      <c r="D621" s="2" t="s">
        <v>3755</v>
      </c>
      <c r="E621" s="3" t="str">
        <f t="shared" si="8"/>
        <v>/mnt/data-nas/medical_datasets/dataverse_files.zip</v>
      </c>
    </row>
    <row r="622">
      <c r="A622" s="4" t="b">
        <v>1</v>
      </c>
      <c r="B622" s="2" t="s">
        <v>3763</v>
      </c>
      <c r="C622" s="3" t="s">
        <v>3698</v>
      </c>
      <c r="D622" s="2" t="s">
        <v>3673</v>
      </c>
      <c r="E622" s="3" t="str">
        <f t="shared" si="8"/>
        <v>/mnt/data-nas/medical_datasets/Melanoma</v>
      </c>
    </row>
    <row r="623">
      <c r="A623" s="16" t="b">
        <v>0</v>
      </c>
      <c r="B623" s="2" t="s">
        <v>3767</v>
      </c>
      <c r="C623" s="3" t="s">
        <v>3768</v>
      </c>
      <c r="E623" s="3" t="str">
        <f t="shared" si="8"/>
        <v/>
      </c>
    </row>
    <row r="624">
      <c r="A624" s="4" t="b">
        <v>1</v>
      </c>
      <c r="B624" s="2" t="s">
        <v>3774</v>
      </c>
      <c r="C624" s="3" t="s">
        <v>108</v>
      </c>
      <c r="D624" s="2" t="s">
        <v>3773</v>
      </c>
      <c r="E624" s="3" t="str">
        <f t="shared" si="8"/>
        <v>/mnt/data-nas/medical_datasets/ussimandsegm.zip</v>
      </c>
    </row>
    <row r="625">
      <c r="A625" s="16" t="b">
        <v>0</v>
      </c>
      <c r="B625" s="2" t="s">
        <v>3777</v>
      </c>
      <c r="C625" s="3" t="s">
        <v>3778</v>
      </c>
      <c r="E625" s="3" t="str">
        <f t="shared" si="8"/>
        <v/>
      </c>
    </row>
    <row r="626">
      <c r="A626" s="16" t="b">
        <v>0</v>
      </c>
      <c r="B626" s="2" t="s">
        <v>3781</v>
      </c>
      <c r="C626" s="3" t="s">
        <v>469</v>
      </c>
      <c r="E626" s="3" t="str">
        <f t="shared" si="8"/>
        <v/>
      </c>
    </row>
    <row r="627">
      <c r="A627" s="4" t="b">
        <v>1</v>
      </c>
      <c r="B627" s="2" t="s">
        <v>3784</v>
      </c>
      <c r="C627" s="3" t="s">
        <v>3785</v>
      </c>
      <c r="D627" s="2" t="s">
        <v>3784</v>
      </c>
      <c r="E627" s="3" t="str">
        <f t="shared" si="8"/>
        <v>/mnt/data-nas/medical_datasets/CPTAC-SAR</v>
      </c>
    </row>
    <row r="628">
      <c r="A628" s="4" t="b">
        <v>1</v>
      </c>
      <c r="B628" s="2" t="s">
        <v>3790</v>
      </c>
      <c r="C628" s="3" t="s">
        <v>60</v>
      </c>
      <c r="D628" s="2" t="s">
        <v>3790</v>
      </c>
      <c r="E628" s="3" t="str">
        <f t="shared" si="8"/>
        <v>/mnt/data-nas/medical_datasets/CURVAS</v>
      </c>
    </row>
    <row r="629">
      <c r="A629" s="16" t="b">
        <v>0</v>
      </c>
      <c r="B629" s="2" t="s">
        <v>3794</v>
      </c>
      <c r="C629" s="3" t="s">
        <v>3148</v>
      </c>
      <c r="E629" s="3" t="str">
        <f t="shared" si="8"/>
        <v/>
      </c>
    </row>
    <row r="630">
      <c r="A630" s="16" t="b">
        <v>0</v>
      </c>
      <c r="B630" s="2" t="s">
        <v>3799</v>
      </c>
      <c r="C630" s="3" t="s">
        <v>235</v>
      </c>
      <c r="E630" s="3" t="str">
        <f t="shared" si="8"/>
        <v/>
      </c>
    </row>
    <row r="631">
      <c r="A631" s="4" t="b">
        <v>1</v>
      </c>
      <c r="B631" s="2" t="s">
        <v>3804</v>
      </c>
      <c r="C631" s="3" t="s">
        <v>328</v>
      </c>
      <c r="D631" s="2" t="s">
        <v>3804</v>
      </c>
      <c r="E631" s="3" t="str">
        <f t="shared" si="8"/>
        <v>/mnt/data-nas/medical_datasets/fastPET-LD</v>
      </c>
    </row>
    <row r="632">
      <c r="A632" s="4" t="b">
        <v>1</v>
      </c>
      <c r="B632" s="2" t="s">
        <v>3809</v>
      </c>
      <c r="C632" s="3" t="s">
        <v>60</v>
      </c>
      <c r="D632" s="2" t="s">
        <v>3808</v>
      </c>
      <c r="E632" s="3" t="str">
        <f t="shared" si="8"/>
        <v>/mnt/data-nas/medical_datasets/FLARE-2022</v>
      </c>
    </row>
    <row r="633">
      <c r="A633" s="4" t="b">
        <v>1</v>
      </c>
      <c r="B633" s="2" t="s">
        <v>3816</v>
      </c>
      <c r="C633" s="3" t="s">
        <v>60</v>
      </c>
      <c r="D633" s="2" t="s">
        <v>3815</v>
      </c>
      <c r="E633" s="3" t="str">
        <f t="shared" si="8"/>
        <v>/mnt/data-nas/medical_datasets/PDDCA-1.4.1_part1.zip
 PDDCA-1.4.1_part2.zip
 PDDCA-1.4.1_part3.zip</v>
      </c>
    </row>
    <row r="634">
      <c r="A634" s="16" t="b">
        <v>0</v>
      </c>
      <c r="B634" s="2" t="s">
        <v>3822</v>
      </c>
      <c r="C634" s="3" t="s">
        <v>3823</v>
      </c>
      <c r="E634" s="3" t="str">
        <f t="shared" si="8"/>
        <v/>
      </c>
    </row>
    <row r="635">
      <c r="A635" s="16" t="b">
        <v>0</v>
      </c>
      <c r="B635" s="2" t="s">
        <v>3828</v>
      </c>
      <c r="C635" s="3" t="s">
        <v>60</v>
      </c>
      <c r="E635" s="3" t="str">
        <f t="shared" si="8"/>
        <v/>
      </c>
    </row>
    <row r="636">
      <c r="A636" s="4" t="b">
        <v>1</v>
      </c>
      <c r="B636" s="2" t="s">
        <v>3832</v>
      </c>
      <c r="C636" s="3" t="s">
        <v>3833</v>
      </c>
      <c r="D636" s="2" t="s">
        <v>3832</v>
      </c>
      <c r="E636" s="3" t="str">
        <f t="shared" si="8"/>
        <v>/mnt/data-nas/medical_datasets/LDCT-and-Projection-data</v>
      </c>
    </row>
    <row r="637">
      <c r="A637" s="4" t="b">
        <v>1</v>
      </c>
      <c r="B637" s="2" t="s">
        <v>3839</v>
      </c>
      <c r="C637" s="3" t="s">
        <v>3840</v>
      </c>
      <c r="D637" s="2" t="s">
        <v>3838</v>
      </c>
      <c r="E637" s="3" t="str">
        <f t="shared" si="8"/>
        <v>/mnt/data-nas/medical_datasets/ThoraxCBCT.zip</v>
      </c>
    </row>
    <row r="638">
      <c r="A638" s="4" t="b">
        <v>1</v>
      </c>
      <c r="B638" s="2" t="s">
        <v>3847</v>
      </c>
      <c r="C638" s="3" t="s">
        <v>3848</v>
      </c>
      <c r="D638" s="2" t="s">
        <v>3847</v>
      </c>
      <c r="E638" s="3" t="str">
        <f t="shared" si="8"/>
        <v>/mnt/data-nas/medical_datasets/LYON19</v>
      </c>
    </row>
    <row r="639">
      <c r="A639" s="4" t="b">
        <v>1</v>
      </c>
      <c r="B639" s="2" t="s">
        <v>3854</v>
      </c>
      <c r="C639" s="3" t="s">
        <v>3855</v>
      </c>
      <c r="D639" s="2" t="s">
        <v>3853</v>
      </c>
      <c r="E639" s="3" t="str">
        <f t="shared" si="8"/>
        <v>/mnt/data-nas/medical_datasets/MedIMeta1</v>
      </c>
    </row>
    <row r="640">
      <c r="A640" s="16" t="b">
        <v>0</v>
      </c>
      <c r="B640" s="2" t="s">
        <v>3860</v>
      </c>
      <c r="C640" s="3" t="s">
        <v>3861</v>
      </c>
      <c r="E640" s="3" t="str">
        <f t="shared" si="8"/>
        <v/>
      </c>
    </row>
    <row r="641">
      <c r="A641" s="4" t="b">
        <v>1</v>
      </c>
      <c r="B641" s="2" t="s">
        <v>3869</v>
      </c>
      <c r="C641" s="3" t="s">
        <v>3870</v>
      </c>
      <c r="D641" s="2" t="s">
        <v>3868</v>
      </c>
      <c r="E641" s="3" t="str">
        <f t="shared" si="8"/>
        <v>/mnt/data-nas/medical_datasets/medseg.zip</v>
      </c>
    </row>
    <row r="642">
      <c r="A642" s="4" t="b">
        <v>1</v>
      </c>
      <c r="B642" s="2" t="s">
        <v>3873</v>
      </c>
      <c r="C642" s="3" t="s">
        <v>3875</v>
      </c>
      <c r="D642" s="2" t="s">
        <v>3873</v>
      </c>
      <c r="E642" s="3" t="str">
        <f t="shared" si="8"/>
        <v>/mnt/data-nas/medical_datasets/MedShapeNet</v>
      </c>
    </row>
    <row r="643">
      <c r="A643" s="4" t="b">
        <v>1</v>
      </c>
      <c r="B643" s="2" t="s">
        <v>3884</v>
      </c>
      <c r="C643" s="3" t="s">
        <v>469</v>
      </c>
      <c r="D643" s="2" t="s">
        <v>3883</v>
      </c>
      <c r="E643" s="3" t="str">
        <f t="shared" si="8"/>
        <v>/mnt/data-nas/medical_datasets/MoNuSAC_images_and_annotations.zip</v>
      </c>
    </row>
    <row r="644">
      <c r="A644" s="107" t="b">
        <v>1</v>
      </c>
      <c r="B644" s="108" t="s">
        <v>3892</v>
      </c>
      <c r="C644" s="106" t="s">
        <v>3893</v>
      </c>
      <c r="D644" s="108" t="s">
        <v>5168</v>
      </c>
      <c r="E644" s="3" t="str">
        <f t="shared" si="8"/>
        <v>/mnt/data-nas/medical_datasets/mridata</v>
      </c>
    </row>
    <row r="645">
      <c r="A645" s="16" t="b">
        <v>0</v>
      </c>
      <c r="B645" s="2" t="s">
        <v>3898</v>
      </c>
      <c r="C645" s="3" t="s">
        <v>60</v>
      </c>
      <c r="E645" s="3" t="str">
        <f t="shared" si="8"/>
        <v/>
      </c>
    </row>
    <row r="646">
      <c r="A646" s="4" t="b">
        <v>1</v>
      </c>
      <c r="B646" s="2" t="s">
        <v>3903</v>
      </c>
      <c r="C646" s="3" t="s">
        <v>469</v>
      </c>
      <c r="D646" s="2" t="s">
        <v>3902</v>
      </c>
      <c r="E646" s="3" t="str">
        <f t="shared" si="8"/>
        <v>/mnt/data-nas/medical_datasets/nuinsseg.zip</v>
      </c>
    </row>
    <row r="647">
      <c r="A647" s="16" t="b">
        <v>0</v>
      </c>
      <c r="B647" s="2" t="s">
        <v>3909</v>
      </c>
      <c r="C647" s="3" t="s">
        <v>469</v>
      </c>
      <c r="E647" s="3" t="str">
        <f t="shared" si="8"/>
        <v/>
      </c>
    </row>
    <row r="648">
      <c r="A648" s="4" t="b">
        <v>1</v>
      </c>
      <c r="B648" s="2" t="s">
        <v>3917</v>
      </c>
      <c r="C648" s="3" t="s">
        <v>3918</v>
      </c>
      <c r="D648" s="2" t="s">
        <v>1442</v>
      </c>
      <c r="E648" s="3" t="str">
        <f t="shared" si="8"/>
        <v>/mnt/data-nas/medical_datasets/OCT</v>
      </c>
    </row>
    <row r="649">
      <c r="A649" s="16" t="b">
        <v>0</v>
      </c>
      <c r="B649" s="2" t="s">
        <v>3921</v>
      </c>
      <c r="C649" s="3" t="s">
        <v>3148</v>
      </c>
      <c r="E649" s="3" t="str">
        <f t="shared" si="8"/>
        <v/>
      </c>
    </row>
    <row r="650">
      <c r="A650" s="16" t="b">
        <v>0</v>
      </c>
      <c r="B650" s="2" t="s">
        <v>3926</v>
      </c>
      <c r="C650" s="3" t="s">
        <v>469</v>
      </c>
      <c r="E650" s="3" t="str">
        <f t="shared" si="8"/>
        <v/>
      </c>
    </row>
    <row r="651">
      <c r="A651" s="4" t="b">
        <v>1</v>
      </c>
      <c r="B651" s="2" t="s">
        <v>3934</v>
      </c>
      <c r="C651" s="3" t="s">
        <v>3935</v>
      </c>
      <c r="D651" s="2" t="s">
        <v>3932</v>
      </c>
      <c r="E651" s="3" t="str">
        <f t="shared" si="8"/>
        <v>/mnt/data-nas/medical_datasets/path-vqa</v>
      </c>
    </row>
    <row r="652">
      <c r="A652" s="4" t="b">
        <v>1</v>
      </c>
      <c r="B652" s="2" t="s">
        <v>3941</v>
      </c>
      <c r="C652" s="3" t="s">
        <v>3942</v>
      </c>
      <c r="D652" s="2" t="s">
        <v>3941</v>
      </c>
      <c r="E652" s="3" t="str">
        <f t="shared" si="8"/>
        <v>/mnt/data-nas/medical_datasets/PMC-VQA</v>
      </c>
    </row>
    <row r="653">
      <c r="A653" s="4" t="b">
        <v>0</v>
      </c>
      <c r="B653" s="2" t="s">
        <v>3947</v>
      </c>
      <c r="C653" s="3" t="s">
        <v>60</v>
      </c>
      <c r="E653" s="3" t="str">
        <f t="shared" si="8"/>
        <v/>
      </c>
    </row>
    <row r="654">
      <c r="A654" s="16" t="b">
        <v>0</v>
      </c>
      <c r="B654" s="2" t="s">
        <v>3954</v>
      </c>
      <c r="C654" s="3" t="s">
        <v>33</v>
      </c>
      <c r="E654" s="3" t="str">
        <f t="shared" si="8"/>
        <v/>
      </c>
    </row>
    <row r="655">
      <c r="A655" s="16" t="b">
        <v>0</v>
      </c>
      <c r="B655" s="2" t="s">
        <v>1799</v>
      </c>
      <c r="C655" s="3" t="s">
        <v>3959</v>
      </c>
      <c r="E655" s="3" t="str">
        <f t="shared" si="8"/>
        <v/>
      </c>
    </row>
    <row r="656">
      <c r="A656" s="4" t="b">
        <v>1</v>
      </c>
      <c r="B656" s="2" t="s">
        <v>3966</v>
      </c>
      <c r="C656" s="3" t="s">
        <v>3967</v>
      </c>
      <c r="D656" s="2" t="s">
        <v>3966</v>
      </c>
      <c r="E656" s="3" t="str">
        <f t="shared" si="8"/>
        <v>/mnt/data-nas/medical_datasets/Soft-tissue-Sarcoma</v>
      </c>
    </row>
    <row r="657">
      <c r="A657" s="16" t="b">
        <v>0</v>
      </c>
      <c r="B657" s="2" t="s">
        <v>3972</v>
      </c>
      <c r="C657" s="3" t="s">
        <v>3973</v>
      </c>
      <c r="E657" s="3" t="str">
        <f t="shared" si="8"/>
        <v/>
      </c>
    </row>
    <row r="658">
      <c r="A658" s="4" t="b">
        <v>1</v>
      </c>
      <c r="B658" s="2" t="s">
        <v>3979</v>
      </c>
      <c r="C658" s="3" t="s">
        <v>75</v>
      </c>
      <c r="D658" s="2" t="s">
        <v>3979</v>
      </c>
      <c r="E658" s="3" t="str">
        <f t="shared" si="8"/>
        <v>/mnt/data-nas/medical_datasets/TCGA-SARC</v>
      </c>
    </row>
    <row r="659">
      <c r="A659" s="130" t="b">
        <v>0</v>
      </c>
      <c r="B659" s="131" t="s">
        <v>3984</v>
      </c>
      <c r="C659" s="132" t="s">
        <v>3985</v>
      </c>
      <c r="D659" s="132"/>
      <c r="E659" s="3" t="str">
        <f t="shared" si="8"/>
        <v/>
      </c>
    </row>
    <row r="660">
      <c r="A660" s="4" t="b">
        <v>1</v>
      </c>
      <c r="B660" s="2" t="s">
        <v>3994</v>
      </c>
      <c r="C660" s="3" t="s">
        <v>108</v>
      </c>
      <c r="D660" s="2" t="s">
        <v>3993</v>
      </c>
      <c r="E660" s="3" t="str">
        <f t="shared" si="8"/>
        <v>/mnt/data-nas/medical_datasets/transverse-musculoskeletal</v>
      </c>
    </row>
    <row r="661">
      <c r="A661" s="16" t="b">
        <v>0</v>
      </c>
      <c r="B661" s="2" t="s">
        <v>3999</v>
      </c>
      <c r="C661" s="3" t="s">
        <v>4000</v>
      </c>
      <c r="E661" s="3" t="str">
        <f t="shared" si="8"/>
        <v/>
      </c>
    </row>
    <row r="662">
      <c r="A662" s="16" t="b">
        <v>0</v>
      </c>
      <c r="B662" s="2" t="s">
        <v>4006</v>
      </c>
      <c r="C662" s="3" t="s">
        <v>108</v>
      </c>
      <c r="E662" s="3" t="str">
        <f t="shared" si="8"/>
        <v/>
      </c>
    </row>
    <row r="663">
      <c r="A663" s="16" t="b">
        <v>0</v>
      </c>
      <c r="B663" s="2" t="s">
        <v>4012</v>
      </c>
      <c r="C663" s="3" t="s">
        <v>235</v>
      </c>
      <c r="E663" s="3" t="str">
        <f t="shared" si="8"/>
        <v/>
      </c>
    </row>
    <row r="664">
      <c r="A664" s="16" t="b">
        <v>0</v>
      </c>
      <c r="B664" s="2" t="s">
        <v>4017</v>
      </c>
      <c r="C664" s="3" t="s">
        <v>355</v>
      </c>
      <c r="E664" s="3" t="str">
        <f t="shared" si="8"/>
        <v/>
      </c>
    </row>
    <row r="665">
      <c r="A665" s="16" t="b">
        <v>0</v>
      </c>
      <c r="B665" s="2" t="s">
        <v>4025</v>
      </c>
      <c r="C665" s="3" t="s">
        <v>355</v>
      </c>
      <c r="E665" s="3" t="str">
        <f t="shared" si="8"/>
        <v/>
      </c>
    </row>
    <row r="666">
      <c r="A666" s="4" t="b">
        <v>1</v>
      </c>
      <c r="B666" s="2" t="s">
        <v>4033</v>
      </c>
      <c r="C666" s="3" t="s">
        <v>4034</v>
      </c>
      <c r="D666" s="2" t="s">
        <v>4032</v>
      </c>
      <c r="E666" s="3" t="str">
        <f t="shared" ref="E666:E831" si="9">IF(A666=True, SUBSTITUTE(D666, "NAS: ", "/mnt/data-nas/medical_datasets/"), "")</f>
        <v>/mnt/data-nas/medical_datasets/CRT-EPIGGY19</v>
      </c>
    </row>
    <row r="667">
      <c r="A667" s="4" t="b">
        <v>1</v>
      </c>
      <c r="B667" s="2" t="s">
        <v>4040</v>
      </c>
      <c r="C667" s="3" t="s">
        <v>4041</v>
      </c>
      <c r="D667" s="2" t="s">
        <v>4039</v>
      </c>
      <c r="E667" s="3" t="str">
        <f t="shared" si="9"/>
        <v>/mnt/data-nas/medical_datasets/ICDC-Glioma</v>
      </c>
    </row>
    <row r="668">
      <c r="A668" s="4" t="b">
        <v>0</v>
      </c>
      <c r="B668" s="2" t="s">
        <v>4050</v>
      </c>
      <c r="C668" s="3" t="s">
        <v>235</v>
      </c>
      <c r="E668" s="3" t="str">
        <f t="shared" si="9"/>
        <v/>
      </c>
    </row>
    <row r="669">
      <c r="A669" s="4" t="b">
        <v>0</v>
      </c>
      <c r="B669" s="2" t="s">
        <v>4061</v>
      </c>
      <c r="C669" s="3" t="s">
        <v>4062</v>
      </c>
      <c r="E669" s="3" t="str">
        <f t="shared" si="9"/>
        <v/>
      </c>
    </row>
    <row r="670">
      <c r="A670" s="4" t="b">
        <v>1</v>
      </c>
      <c r="B670" s="2" t="s">
        <v>4071</v>
      </c>
      <c r="C670" s="3" t="s">
        <v>355</v>
      </c>
      <c r="D670" s="2" t="s">
        <v>4070</v>
      </c>
      <c r="E670" s="3" t="str">
        <f t="shared" si="9"/>
        <v>/mnt/data-nas/medical_datasets/WSI</v>
      </c>
    </row>
    <row r="671">
      <c r="A671" s="4" t="b">
        <v>1</v>
      </c>
      <c r="B671" s="2" t="s">
        <v>4077</v>
      </c>
      <c r="C671" s="3" t="s">
        <v>235</v>
      </c>
      <c r="D671" s="2" t="s">
        <v>4076</v>
      </c>
      <c r="E671" s="3" t="str">
        <f t="shared" si="9"/>
        <v>/mnt/data-nas/medical_datasets/Mouse-Astrocytoma</v>
      </c>
    </row>
    <row r="672">
      <c r="A672" s="4" t="b">
        <v>1</v>
      </c>
      <c r="B672" s="2" t="s">
        <v>4083</v>
      </c>
      <c r="C672" s="3" t="s">
        <v>235</v>
      </c>
      <c r="D672" s="2" t="s">
        <v>4082</v>
      </c>
      <c r="E672" s="3" t="str">
        <f t="shared" si="9"/>
        <v>/mnt/data-nas/medical_datasets/mouse-brain-atlas</v>
      </c>
    </row>
    <row r="673">
      <c r="A673" s="4" t="b">
        <v>1</v>
      </c>
      <c r="B673" s="2" t="s">
        <v>4089</v>
      </c>
      <c r="C673" s="3" t="s">
        <v>235</v>
      </c>
      <c r="D673" s="2" t="s">
        <v>4088</v>
      </c>
      <c r="E673" s="3" t="str">
        <f t="shared" si="9"/>
        <v>/mnt/data-nas/medical_datasets/Mouse-Mammary</v>
      </c>
    </row>
    <row r="674">
      <c r="A674" s="4" t="b">
        <v>0</v>
      </c>
      <c r="B674" s="2" t="s">
        <v>4094</v>
      </c>
      <c r="C674" s="3" t="s">
        <v>60</v>
      </c>
      <c r="E674" s="3" t="str">
        <f t="shared" si="9"/>
        <v/>
      </c>
    </row>
    <row r="675">
      <c r="A675" s="4" t="b">
        <v>1</v>
      </c>
      <c r="B675" s="2" t="s">
        <v>4104</v>
      </c>
      <c r="C675" s="3" t="s">
        <v>4105</v>
      </c>
      <c r="D675" s="2" t="s">
        <v>4103</v>
      </c>
      <c r="E675" s="3" t="str">
        <f t="shared" si="9"/>
        <v>/mnt/data-nas/medical_datasets/RatBrain.zip</v>
      </c>
    </row>
    <row r="676">
      <c r="A676" s="4" t="b">
        <v>1</v>
      </c>
      <c r="B676" s="2" t="s">
        <v>4112</v>
      </c>
      <c r="C676" s="3" t="s">
        <v>4113</v>
      </c>
      <c r="D676" s="2" t="s">
        <v>4111</v>
      </c>
      <c r="E676" s="3" t="str">
        <f t="shared" si="9"/>
        <v>/mnt/data-nas/medical_datasets/RNR-EXM</v>
      </c>
    </row>
    <row r="677">
      <c r="A677" s="4" t="b">
        <v>1</v>
      </c>
      <c r="B677" s="16" t="s">
        <v>4119</v>
      </c>
      <c r="C677" s="16" t="s">
        <v>235</v>
      </c>
      <c r="D677" s="4" t="s">
        <v>4118</v>
      </c>
      <c r="E677" s="3" t="str">
        <f t="shared" si="9"/>
        <v>/mnt/data-nas/medical_datasets/HVSMR.zip</v>
      </c>
    </row>
    <row r="678">
      <c r="A678" s="4" t="b">
        <v>1</v>
      </c>
      <c r="B678" s="16" t="s">
        <v>4126</v>
      </c>
      <c r="C678" s="16" t="s">
        <v>235</v>
      </c>
      <c r="D678" s="4" t="s">
        <v>4125</v>
      </c>
      <c r="E678" s="3" t="str">
        <f t="shared" si="9"/>
        <v>/mnt/data-nas/medical_datasets/ACDC.zip</v>
      </c>
    </row>
    <row r="679">
      <c r="A679" s="4" t="b">
        <v>0</v>
      </c>
      <c r="B679" s="16" t="s">
        <v>4131</v>
      </c>
      <c r="C679" s="16" t="s">
        <v>75</v>
      </c>
      <c r="D679" s="16"/>
      <c r="E679" s="3" t="str">
        <f t="shared" si="9"/>
        <v/>
      </c>
    </row>
    <row r="680">
      <c r="A680" s="4" t="b">
        <v>1</v>
      </c>
      <c r="B680" s="16" t="s">
        <v>4137</v>
      </c>
      <c r="C680" s="16" t="s">
        <v>235</v>
      </c>
      <c r="D680" s="4" t="s">
        <v>2065</v>
      </c>
      <c r="E680" s="3" t="str">
        <f t="shared" si="9"/>
        <v>/mnt/data-nas/medical_datasets/MSD</v>
      </c>
    </row>
    <row r="681">
      <c r="A681" s="4" t="b">
        <v>1</v>
      </c>
      <c r="B681" s="4" t="s">
        <v>4140</v>
      </c>
      <c r="C681" s="16" t="s">
        <v>4141</v>
      </c>
      <c r="D681" s="4" t="s">
        <v>4139</v>
      </c>
      <c r="E681" s="3" t="str">
        <f t="shared" si="9"/>
        <v>/mnt/data-nas/medical_datasets/MAndMs.zip</v>
      </c>
    </row>
    <row r="682">
      <c r="A682" s="4" t="b">
        <v>1</v>
      </c>
      <c r="B682" s="16" t="s">
        <v>4147</v>
      </c>
      <c r="C682" s="16" t="s">
        <v>4148</v>
      </c>
      <c r="D682" s="4" t="s">
        <v>4146</v>
      </c>
      <c r="E682" s="3" t="str">
        <f t="shared" si="9"/>
        <v>/mnt/data-nas/medical_datasets/EMIDEC</v>
      </c>
    </row>
    <row r="683">
      <c r="A683" s="4" t="b">
        <v>0</v>
      </c>
      <c r="B683" s="16" t="s">
        <v>4152</v>
      </c>
      <c r="C683" s="16" t="s">
        <v>235</v>
      </c>
      <c r="D683" s="4"/>
      <c r="E683" s="3" t="str">
        <f t="shared" si="9"/>
        <v/>
      </c>
    </row>
    <row r="684">
      <c r="A684" s="4" t="b">
        <v>0</v>
      </c>
      <c r="B684" s="16" t="s">
        <v>4157</v>
      </c>
      <c r="C684" s="16" t="s">
        <v>4158</v>
      </c>
      <c r="D684" s="16"/>
      <c r="E684" s="3" t="str">
        <f t="shared" si="9"/>
        <v/>
      </c>
    </row>
    <row r="685">
      <c r="A685" s="4" t="b">
        <v>1</v>
      </c>
      <c r="B685" s="16" t="s">
        <v>4165</v>
      </c>
      <c r="C685" s="16" t="s">
        <v>235</v>
      </c>
      <c r="D685" s="4" t="s">
        <v>4164</v>
      </c>
      <c r="E685" s="3" t="str">
        <f t="shared" si="9"/>
        <v>/mnt/data-nas/medical_datasets/CMRxMotion</v>
      </c>
    </row>
    <row r="686">
      <c r="A686" s="4" t="b">
        <v>0</v>
      </c>
      <c r="B686" s="16" t="s">
        <v>4170</v>
      </c>
      <c r="C686" s="16" t="s">
        <v>283</v>
      </c>
      <c r="D686" s="16"/>
      <c r="E686" s="3" t="str">
        <f t="shared" si="9"/>
        <v/>
      </c>
    </row>
    <row r="687">
      <c r="A687" s="4" t="b">
        <v>1</v>
      </c>
      <c r="B687" s="16" t="s">
        <v>4176</v>
      </c>
      <c r="C687" s="16" t="s">
        <v>108</v>
      </c>
      <c r="D687" s="2" t="s">
        <v>4175</v>
      </c>
      <c r="E687" s="3" t="str">
        <f t="shared" si="9"/>
        <v>/mnt/data-nas/medical_datasets/CardiacUDA</v>
      </c>
    </row>
    <row r="688">
      <c r="A688" s="4" t="b">
        <v>0</v>
      </c>
      <c r="B688" s="16" t="s">
        <v>4181</v>
      </c>
      <c r="C688" s="16"/>
      <c r="D688" s="2"/>
      <c r="E688" s="3" t="str">
        <f t="shared" si="9"/>
        <v/>
      </c>
    </row>
    <row r="689">
      <c r="A689" s="4" t="b">
        <v>0</v>
      </c>
      <c r="B689" s="16" t="s">
        <v>4183</v>
      </c>
      <c r="C689" s="16"/>
      <c r="E689" s="3" t="str">
        <f t="shared" si="9"/>
        <v/>
      </c>
    </row>
    <row r="690">
      <c r="A690" s="4" t="b">
        <v>0</v>
      </c>
      <c r="B690" s="16" t="s">
        <v>4185</v>
      </c>
      <c r="C690" s="16"/>
      <c r="D690" s="2"/>
      <c r="E690" s="3" t="str">
        <f t="shared" si="9"/>
        <v/>
      </c>
    </row>
    <row r="691">
      <c r="A691" s="4" t="b">
        <v>1</v>
      </c>
      <c r="B691" s="2" t="s">
        <v>4188</v>
      </c>
      <c r="C691" s="2" t="s">
        <v>4189</v>
      </c>
      <c r="D691" s="2" t="s">
        <v>4187</v>
      </c>
      <c r="E691" s="3" t="str">
        <f t="shared" si="9"/>
        <v>Faster: EchoNet-Dynamic</v>
      </c>
    </row>
    <row r="692">
      <c r="A692" s="4" t="b">
        <v>0</v>
      </c>
      <c r="B692" s="2" t="s">
        <v>4195</v>
      </c>
      <c r="C692" s="2" t="s">
        <v>4196</v>
      </c>
      <c r="E692" s="3" t="str">
        <f t="shared" si="9"/>
        <v/>
      </c>
    </row>
    <row r="693">
      <c r="A693" s="4" t="b">
        <v>1</v>
      </c>
      <c r="B693" s="2" t="s">
        <v>4200</v>
      </c>
      <c r="C693" s="2" t="s">
        <v>4202</v>
      </c>
      <c r="D693" s="2" t="s">
        <v>5169</v>
      </c>
      <c r="E693" s="3" t="str">
        <f t="shared" si="9"/>
        <v>/mnt/data-nas/medical_datasets/amrgatlas.zip</v>
      </c>
    </row>
    <row r="694">
      <c r="A694" s="4" t="b">
        <v>1</v>
      </c>
      <c r="B694" s="2" t="s">
        <v>4211</v>
      </c>
      <c r="C694" s="2" t="s">
        <v>4212</v>
      </c>
      <c r="D694" s="2" t="s">
        <v>4210</v>
      </c>
      <c r="E694" s="3" t="str">
        <f t="shared" si="9"/>
        <v>/mnt/data-nas/medical_datasets/Angoiographic.zip</v>
      </c>
    </row>
    <row r="695">
      <c r="A695" s="4" t="b">
        <v>0</v>
      </c>
      <c r="B695" s="2" t="s">
        <v>4217</v>
      </c>
      <c r="C695" s="2" t="s">
        <v>4218</v>
      </c>
      <c r="E695" s="3" t="str">
        <f t="shared" si="9"/>
        <v/>
      </c>
    </row>
    <row r="696">
      <c r="A696" s="4" t="b">
        <v>0</v>
      </c>
      <c r="B696" s="2" t="s">
        <v>4224</v>
      </c>
      <c r="C696" s="2" t="s">
        <v>4225</v>
      </c>
      <c r="E696" s="3" t="str">
        <f t="shared" si="9"/>
        <v/>
      </c>
    </row>
    <row r="697">
      <c r="A697" s="4" t="b">
        <v>0</v>
      </c>
      <c r="B697" s="2" t="s">
        <v>4230</v>
      </c>
      <c r="C697" s="2" t="s">
        <v>4231</v>
      </c>
      <c r="E697" s="3" t="str">
        <f t="shared" si="9"/>
        <v/>
      </c>
    </row>
    <row r="698">
      <c r="A698" s="4" t="b">
        <v>1</v>
      </c>
      <c r="B698" s="2" t="s">
        <v>4240</v>
      </c>
      <c r="C698" s="2" t="s">
        <v>4241</v>
      </c>
      <c r="D698" s="2" t="s">
        <v>4239</v>
      </c>
      <c r="E698" s="3" t="str">
        <f t="shared" si="9"/>
        <v>/mnt/data-nas/medical_datasets/AtriaSegmentation.zip</v>
      </c>
    </row>
    <row r="699">
      <c r="A699" s="4" t="b">
        <v>1</v>
      </c>
      <c r="B699" s="2" t="s">
        <v>4249</v>
      </c>
      <c r="C699" s="2" t="s">
        <v>4250</v>
      </c>
      <c r="D699" s="2" t="s">
        <v>4248</v>
      </c>
      <c r="E699" s="3" t="str">
        <f t="shared" si="9"/>
        <v>/mnt/data-nas/medical_datasets/BloodCellImages</v>
      </c>
    </row>
    <row r="700">
      <c r="A700" s="4" t="b">
        <v>1</v>
      </c>
      <c r="B700" s="2" t="s">
        <v>4256</v>
      </c>
      <c r="C700" s="2" t="s">
        <v>4257</v>
      </c>
      <c r="D700" s="2" t="s">
        <v>4255</v>
      </c>
      <c r="E700" s="3" t="str">
        <f t="shared" si="9"/>
        <v>/mnt/data-nas/medical_datasets/CAMUS</v>
      </c>
    </row>
    <row r="701">
      <c r="A701" s="4" t="b">
        <v>1</v>
      </c>
      <c r="B701" s="2" t="s">
        <v>4269</v>
      </c>
      <c r="C701" s="2" t="s">
        <v>4270</v>
      </c>
      <c r="D701" s="2" t="s">
        <v>4268</v>
      </c>
      <c r="E701" s="3" t="str">
        <f t="shared" si="9"/>
        <v>/mnt/data-nas/medical_datasets/CAVAREV.zip</v>
      </c>
    </row>
    <row r="702">
      <c r="A702" s="4" t="b">
        <v>1</v>
      </c>
      <c r="B702" s="2" t="s">
        <v>4279</v>
      </c>
      <c r="C702" s="2" t="s">
        <v>4280</v>
      </c>
      <c r="D702" s="2" t="s">
        <v>4278</v>
      </c>
      <c r="E702" s="3" t="str">
        <f t="shared" si="9"/>
        <v>/mnt/data-nas/medical_datasets/CDEMRIS</v>
      </c>
    </row>
    <row r="703">
      <c r="A703" s="4"/>
      <c r="B703" s="2" t="s">
        <v>4290</v>
      </c>
      <c r="C703" s="2" t="s">
        <v>4291</v>
      </c>
      <c r="E703" s="3" t="str">
        <f t="shared" si="9"/>
        <v/>
      </c>
    </row>
    <row r="704">
      <c r="A704" s="4" t="b">
        <v>0</v>
      </c>
      <c r="B704" s="2" t="s">
        <v>4300</v>
      </c>
      <c r="C704" s="2" t="s">
        <v>235</v>
      </c>
      <c r="E704" s="3" t="str">
        <f t="shared" si="9"/>
        <v/>
      </c>
    </row>
    <row r="705">
      <c r="A705" s="4" t="b">
        <v>1</v>
      </c>
      <c r="B705" s="2" t="s">
        <v>4309</v>
      </c>
      <c r="C705" s="2" t="s">
        <v>60</v>
      </c>
      <c r="D705" s="2" t="s">
        <v>4308</v>
      </c>
      <c r="E705" s="3" t="str">
        <f t="shared" si="9"/>
        <v>/mnt/data-nas/medical_datasets/COCA</v>
      </c>
    </row>
    <row r="706">
      <c r="A706" s="4" t="b">
        <v>0</v>
      </c>
      <c r="B706" s="2" t="s">
        <v>4320</v>
      </c>
      <c r="C706" s="2" t="s">
        <v>4321</v>
      </c>
      <c r="E706" s="3" t="str">
        <f t="shared" si="9"/>
        <v/>
      </c>
    </row>
    <row r="707">
      <c r="A707" s="4" t="b">
        <v>0</v>
      </c>
      <c r="B707" s="2" t="s">
        <v>4331</v>
      </c>
      <c r="C707" s="2"/>
      <c r="E707" s="3" t="str">
        <f t="shared" si="9"/>
        <v/>
      </c>
    </row>
    <row r="708">
      <c r="A708" s="4" t="b">
        <v>0</v>
      </c>
      <c r="B708" s="2" t="s">
        <v>4335</v>
      </c>
      <c r="C708" s="2" t="s">
        <v>4321</v>
      </c>
      <c r="E708" s="3" t="str">
        <f t="shared" si="9"/>
        <v/>
      </c>
    </row>
    <row r="709">
      <c r="A709" s="4"/>
      <c r="B709" s="2" t="s">
        <v>4339</v>
      </c>
      <c r="C709" s="2" t="s">
        <v>1076</v>
      </c>
      <c r="E709" s="3" t="str">
        <f t="shared" si="9"/>
        <v/>
      </c>
    </row>
    <row r="710">
      <c r="A710" s="4" t="b">
        <v>0</v>
      </c>
      <c r="B710" s="2" t="s">
        <v>4344</v>
      </c>
      <c r="C710" s="2" t="s">
        <v>4345</v>
      </c>
      <c r="E710" s="3" t="str">
        <f t="shared" si="9"/>
        <v/>
      </c>
    </row>
    <row r="711">
      <c r="A711" s="4" t="b">
        <v>1</v>
      </c>
      <c r="B711" s="2" t="s">
        <v>4351</v>
      </c>
      <c r="C711" s="2" t="s">
        <v>4352</v>
      </c>
      <c r="D711" s="2" t="s">
        <v>4350</v>
      </c>
      <c r="E711" s="3" t="str">
        <f t="shared" si="9"/>
        <v>/mnt/data-nas/medical_datasets/EchoNet-LVH</v>
      </c>
    </row>
    <row r="712">
      <c r="A712" s="4" t="b">
        <v>1</v>
      </c>
      <c r="B712" s="2" t="s">
        <v>4363</v>
      </c>
      <c r="C712" s="2" t="s">
        <v>4352</v>
      </c>
      <c r="D712" s="2" t="s">
        <v>4362</v>
      </c>
      <c r="E712" s="3" t="str">
        <f t="shared" si="9"/>
        <v>/mnt/data-nas/medical_datasets/EchoNet-Pediatric</v>
      </c>
    </row>
    <row r="713">
      <c r="A713" s="4" t="b">
        <v>0</v>
      </c>
      <c r="B713" s="2" t="s">
        <v>4371</v>
      </c>
      <c r="C713" s="2" t="s">
        <v>4352</v>
      </c>
      <c r="E713" s="3" t="str">
        <f t="shared" si="9"/>
        <v/>
      </c>
    </row>
    <row r="714">
      <c r="A714" s="4" t="b">
        <v>1</v>
      </c>
      <c r="B714" s="2" t="s">
        <v>4381</v>
      </c>
      <c r="C714" s="2" t="s">
        <v>4382</v>
      </c>
      <c r="D714" s="2" t="s">
        <v>4380</v>
      </c>
      <c r="E714" s="3" t="str">
        <f t="shared" si="9"/>
        <v>/mnt/data-nas/medical_datasets/imagealcapa.zip</v>
      </c>
    </row>
    <row r="715">
      <c r="A715" s="4" t="b">
        <v>1</v>
      </c>
      <c r="B715" s="2" t="s">
        <v>4389</v>
      </c>
      <c r="C715" s="2" t="s">
        <v>60</v>
      </c>
      <c r="D715" s="2" t="s">
        <v>4388</v>
      </c>
      <c r="E715" s="3" t="str">
        <f t="shared" si="9"/>
        <v>/mnt/data-nas/medical_datasets/imagechd.zip</v>
      </c>
    </row>
    <row r="716">
      <c r="A716" s="4" t="b">
        <v>1</v>
      </c>
      <c r="B716" s="2" t="s">
        <v>4395</v>
      </c>
      <c r="C716" s="2" t="s">
        <v>4382</v>
      </c>
      <c r="D716" s="2" t="s">
        <v>4394</v>
      </c>
      <c r="E716" s="3" t="str">
        <f t="shared" si="9"/>
        <v>/mnt/data-nas/medical_datasets/imagetbad.zip</v>
      </c>
    </row>
    <row r="717">
      <c r="A717" s="4" t="b">
        <v>1</v>
      </c>
      <c r="B717" s="2" t="s">
        <v>4401</v>
      </c>
      <c r="C717" s="2" t="s">
        <v>4402</v>
      </c>
      <c r="D717" s="2" t="s">
        <v>4400</v>
      </c>
      <c r="E717" s="3" t="str">
        <f t="shared" si="9"/>
        <v>/mnt/data-nas/medical_datasets/LASC13</v>
      </c>
    </row>
    <row r="718">
      <c r="A718" s="4" t="b">
        <v>1</v>
      </c>
      <c r="B718" s="2" t="s">
        <v>4406</v>
      </c>
      <c r="C718" s="2" t="s">
        <v>4407</v>
      </c>
      <c r="D718" s="2" t="s">
        <v>4405</v>
      </c>
      <c r="E718" s="3" t="str">
        <f t="shared" si="9"/>
        <v>/mnt/data-nas/medical_datasets/LivScar</v>
      </c>
    </row>
    <row r="719">
      <c r="A719" s="4" t="b">
        <v>0</v>
      </c>
      <c r="B719" s="2" t="s">
        <v>4411</v>
      </c>
      <c r="C719" s="2" t="s">
        <v>4407</v>
      </c>
      <c r="E719" s="3" t="str">
        <f t="shared" si="9"/>
        <v/>
      </c>
    </row>
    <row r="720">
      <c r="A720" s="4" t="b">
        <v>0</v>
      </c>
      <c r="B720" s="2" t="s">
        <v>4417</v>
      </c>
      <c r="C720" s="2" t="s">
        <v>4418</v>
      </c>
      <c r="E720" s="3" t="str">
        <f t="shared" si="9"/>
        <v/>
      </c>
    </row>
    <row r="721">
      <c r="A721" s="4" t="b">
        <v>0</v>
      </c>
      <c r="B721" s="2" t="s">
        <v>4424</v>
      </c>
      <c r="C721" s="2" t="s">
        <v>4425</v>
      </c>
      <c r="E721" s="3" t="str">
        <f t="shared" si="9"/>
        <v/>
      </c>
    </row>
    <row r="722">
      <c r="A722" s="4" t="b">
        <v>0</v>
      </c>
      <c r="B722" s="2" t="s">
        <v>4431</v>
      </c>
      <c r="C722" s="2" t="s">
        <v>4432</v>
      </c>
      <c r="D722" s="2" t="s">
        <v>4430</v>
      </c>
      <c r="E722" s="3" t="str">
        <f t="shared" si="9"/>
        <v/>
      </c>
    </row>
    <row r="723">
      <c r="A723" s="4" t="b">
        <v>1</v>
      </c>
      <c r="B723" s="2" t="s">
        <v>4438</v>
      </c>
      <c r="C723" s="2" t="s">
        <v>4280</v>
      </c>
      <c r="D723" s="2" t="s">
        <v>4437</v>
      </c>
      <c r="E723" s="3" t="str">
        <f t="shared" si="9"/>
        <v>/mnt/data-nas/medical_datasets/MnM2.rar</v>
      </c>
    </row>
    <row r="724">
      <c r="A724" s="4" t="b">
        <v>0</v>
      </c>
      <c r="B724" s="2" t="s">
        <v>4443</v>
      </c>
      <c r="C724" s="2" t="s">
        <v>4444</v>
      </c>
      <c r="E724" s="3" t="str">
        <f t="shared" si="9"/>
        <v/>
      </c>
    </row>
    <row r="725">
      <c r="A725" s="4" t="b">
        <v>0</v>
      </c>
      <c r="B725" s="2" t="s">
        <v>4447</v>
      </c>
      <c r="C725" s="2" t="s">
        <v>4448</v>
      </c>
      <c r="E725" s="3" t="str">
        <f t="shared" si="9"/>
        <v/>
      </c>
    </row>
    <row r="726">
      <c r="A726" s="4" t="b">
        <v>0</v>
      </c>
      <c r="B726" s="2" t="s">
        <v>4453</v>
      </c>
      <c r="C726" s="2" t="s">
        <v>4454</v>
      </c>
      <c r="E726" s="3" t="str">
        <f t="shared" si="9"/>
        <v/>
      </c>
    </row>
    <row r="727">
      <c r="A727" s="4" t="b">
        <v>0</v>
      </c>
      <c r="B727" s="2" t="s">
        <v>4462</v>
      </c>
      <c r="C727" s="2" t="s">
        <v>4463</v>
      </c>
      <c r="E727" s="3" t="str">
        <f t="shared" si="9"/>
        <v/>
      </c>
    </row>
    <row r="728">
      <c r="A728" s="4" t="b">
        <v>0</v>
      </c>
      <c r="B728" s="2" t="s">
        <v>4468</v>
      </c>
      <c r="C728" s="2" t="s">
        <v>4280</v>
      </c>
      <c r="E728" s="3" t="str">
        <f t="shared" si="9"/>
        <v/>
      </c>
    </row>
    <row r="729">
      <c r="A729" s="4" t="b">
        <v>0</v>
      </c>
      <c r="B729" s="2" t="s">
        <v>4472</v>
      </c>
      <c r="C729" s="2" t="s">
        <v>4473</v>
      </c>
      <c r="E729" s="3" t="str">
        <f t="shared" si="9"/>
        <v/>
      </c>
    </row>
    <row r="730">
      <c r="A730" s="4" t="b">
        <v>1</v>
      </c>
      <c r="B730" s="2" t="s">
        <v>4479</v>
      </c>
      <c r="C730" s="2" t="s">
        <v>4480</v>
      </c>
      <c r="D730" s="2" t="s">
        <v>4478</v>
      </c>
      <c r="E730" s="3" t="str">
        <f t="shared" si="9"/>
        <v>/mnt/data-nas/medical_datasets/ocmr.tar.gz</v>
      </c>
    </row>
    <row r="731">
      <c r="A731" s="4" t="b">
        <v>0</v>
      </c>
      <c r="B731" s="2" t="s">
        <v>4487</v>
      </c>
      <c r="C731" s="2" t="s">
        <v>4488</v>
      </c>
      <c r="E731" s="3" t="str">
        <f t="shared" si="9"/>
        <v/>
      </c>
    </row>
    <row r="732">
      <c r="A732" s="4" t="b">
        <v>1</v>
      </c>
      <c r="B732" s="2" t="s">
        <v>4496</v>
      </c>
      <c r="C732" s="2" t="s">
        <v>4497</v>
      </c>
      <c r="D732" s="2" t="s">
        <v>4495</v>
      </c>
      <c r="E732" s="3" t="str">
        <f t="shared" si="9"/>
        <v>/mnt/data-nas/medical_datasets/PASCAL</v>
      </c>
    </row>
    <row r="733">
      <c r="A733" s="4" t="b">
        <v>1</v>
      </c>
      <c r="B733" s="2" t="s">
        <v>4503</v>
      </c>
      <c r="C733" s="2" t="s">
        <v>4425</v>
      </c>
      <c r="D733" s="2" t="s">
        <v>4501</v>
      </c>
      <c r="E733" s="3" t="str">
        <f t="shared" si="9"/>
        <v>/mnt/data-nas/medical_datasets/RadFusion</v>
      </c>
    </row>
    <row r="734">
      <c r="A734" s="4" t="b">
        <v>0</v>
      </c>
      <c r="B734" s="2" t="s">
        <v>4509</v>
      </c>
      <c r="C734" s="2" t="s">
        <v>4425</v>
      </c>
      <c r="E734" s="3" t="str">
        <f t="shared" si="9"/>
        <v/>
      </c>
    </row>
    <row r="735">
      <c r="A735" s="4" t="b">
        <v>1</v>
      </c>
      <c r="B735" s="2" t="s">
        <v>4515</v>
      </c>
      <c r="C735" s="2" t="s">
        <v>4425</v>
      </c>
      <c r="D735" s="2" t="s">
        <v>4514</v>
      </c>
      <c r="E735" s="3" t="str">
        <f t="shared" si="9"/>
        <v>/mnt/data-nas/medical_datasets/SCD</v>
      </c>
    </row>
    <row r="736">
      <c r="A736" s="4" t="b">
        <v>0</v>
      </c>
      <c r="B736" s="2" t="s">
        <v>4519</v>
      </c>
      <c r="C736" s="2" t="s">
        <v>4425</v>
      </c>
      <c r="E736" s="3" t="str">
        <f t="shared" si="9"/>
        <v/>
      </c>
    </row>
    <row r="737">
      <c r="A737" s="4" t="b">
        <v>1</v>
      </c>
      <c r="B737" s="2" t="s">
        <v>4525</v>
      </c>
      <c r="C737" s="2" t="s">
        <v>235</v>
      </c>
      <c r="D737" s="2" t="s">
        <v>4524</v>
      </c>
      <c r="E737" s="3" t="str">
        <f t="shared" si="9"/>
        <v>/mnt/data-nas/medical_datasets/SADSB</v>
      </c>
    </row>
    <row r="738">
      <c r="A738" s="4" t="b">
        <v>1</v>
      </c>
      <c r="B738" s="2" t="s">
        <v>4532</v>
      </c>
      <c r="C738" s="2" t="s">
        <v>235</v>
      </c>
      <c r="D738" s="2" t="s">
        <v>4531</v>
      </c>
      <c r="E738" s="3" t="str">
        <f t="shared" si="9"/>
        <v>/mnt/data-nas/medical_datasets/SLAWT</v>
      </c>
    </row>
    <row r="739">
      <c r="A739" s="4" t="b">
        <v>1</v>
      </c>
      <c r="B739" s="2" t="s">
        <v>4536</v>
      </c>
      <c r="C739" s="2" t="s">
        <v>3464</v>
      </c>
      <c r="D739" s="2" t="s">
        <v>4535</v>
      </c>
      <c r="E739" s="3" t="str">
        <f t="shared" si="9"/>
        <v>/mnt/data-nas/medical_datasets/VesselSegmentation</v>
      </c>
    </row>
    <row r="740">
      <c r="A740" s="4" t="b">
        <v>1</v>
      </c>
      <c r="B740" s="2" t="s">
        <v>4541</v>
      </c>
      <c r="C740" s="2" t="s">
        <v>4542</v>
      </c>
      <c r="D740" s="4" t="s">
        <v>4540</v>
      </c>
      <c r="E740" s="3" t="str">
        <f t="shared" si="9"/>
        <v>Faster</v>
      </c>
    </row>
    <row r="741">
      <c r="A741" s="4" t="b">
        <v>1</v>
      </c>
      <c r="B741" s="16" t="s">
        <v>4548</v>
      </c>
      <c r="C741" s="16" t="s">
        <v>469</v>
      </c>
      <c r="D741" s="4" t="s">
        <v>4547</v>
      </c>
      <c r="E741" s="3" t="str">
        <f t="shared" si="9"/>
        <v>/mnt/data-nas/medical_datasets/HerlevCervicalSmear</v>
      </c>
    </row>
    <row r="742">
      <c r="A742" s="16" t="b">
        <v>0</v>
      </c>
      <c r="B742" s="16" t="s">
        <v>4554</v>
      </c>
      <c r="C742" s="16" t="s">
        <v>4555</v>
      </c>
      <c r="D742" s="16"/>
      <c r="E742" s="3" t="str">
        <f t="shared" si="9"/>
        <v/>
      </c>
    </row>
    <row r="743">
      <c r="A743" s="4" t="b">
        <v>1</v>
      </c>
      <c r="B743" s="16" t="s">
        <v>4562</v>
      </c>
      <c r="C743" s="16" t="s">
        <v>4564</v>
      </c>
      <c r="D743" s="4" t="s">
        <v>4561</v>
      </c>
      <c r="E743" s="3" t="str">
        <f t="shared" si="9"/>
        <v>/mnt/data-nas/medical_datasets/MLC</v>
      </c>
    </row>
    <row r="744">
      <c r="A744" s="16" t="b">
        <v>0</v>
      </c>
      <c r="B744" s="16" t="s">
        <v>4569</v>
      </c>
      <c r="C744" s="16" t="s">
        <v>4555</v>
      </c>
      <c r="D744" s="16"/>
      <c r="E744" s="3" t="str">
        <f t="shared" si="9"/>
        <v/>
      </c>
    </row>
    <row r="745">
      <c r="A745" s="4" t="b">
        <v>1</v>
      </c>
      <c r="B745" s="16" t="s">
        <v>4574</v>
      </c>
      <c r="C745" s="16" t="s">
        <v>4576</v>
      </c>
      <c r="D745" s="4" t="s">
        <v>4573</v>
      </c>
      <c r="E745" s="3" t="str">
        <f t="shared" si="9"/>
        <v>/mnt/data-nas/medical_datasets/OCCISC</v>
      </c>
    </row>
    <row r="746">
      <c r="A746" s="4" t="b">
        <v>1</v>
      </c>
      <c r="B746" s="16" t="s">
        <v>4581</v>
      </c>
      <c r="C746" s="16" t="s">
        <v>3491</v>
      </c>
      <c r="D746" s="4" t="s">
        <v>4580</v>
      </c>
      <c r="E746" s="3" t="str">
        <f t="shared" si="9"/>
        <v>/mnt/data-nas/medical_datasets/BioMediTech</v>
      </c>
    </row>
    <row r="747">
      <c r="A747" s="4" t="b">
        <v>1</v>
      </c>
      <c r="B747" s="16" t="s">
        <v>4588</v>
      </c>
      <c r="C747" s="16" t="s">
        <v>200</v>
      </c>
      <c r="D747" s="4" t="s">
        <v>4587</v>
      </c>
      <c r="E747" s="3" t="str">
        <f t="shared" si="9"/>
        <v>/mnt/data-nas/medical_datasets/GlaS</v>
      </c>
    </row>
    <row r="748">
      <c r="A748" s="4" t="b">
        <v>1</v>
      </c>
      <c r="B748" s="16" t="s">
        <v>4595</v>
      </c>
      <c r="C748" s="16" t="s">
        <v>4555</v>
      </c>
      <c r="D748" s="4" t="s">
        <v>4594</v>
      </c>
      <c r="E748" s="3" t="str">
        <f t="shared" si="9"/>
        <v>/mnt/data-nas/medical_datasets/HuSHem.rar</v>
      </c>
    </row>
    <row r="749">
      <c r="A749" s="4" t="b">
        <v>1</v>
      </c>
      <c r="B749" s="16" t="s">
        <v>4602</v>
      </c>
      <c r="C749" s="16" t="s">
        <v>301</v>
      </c>
      <c r="D749" s="4" t="s">
        <v>4601</v>
      </c>
      <c r="E749" s="3" t="str">
        <f t="shared" si="9"/>
        <v>/mnt/data-nas/medical_datasets/MoNuSeg</v>
      </c>
    </row>
    <row r="750">
      <c r="A750" s="4" t="b">
        <v>1</v>
      </c>
      <c r="B750" s="16" t="s">
        <v>4609</v>
      </c>
      <c r="C750" s="16" t="s">
        <v>4611</v>
      </c>
      <c r="D750" s="2" t="s">
        <v>4608</v>
      </c>
      <c r="E750" s="3" t="str">
        <f t="shared" si="9"/>
        <v>/mnt/data-nas/medical_datasets/Cervix93</v>
      </c>
    </row>
    <row r="751">
      <c r="A751" s="4" t="b">
        <v>1</v>
      </c>
      <c r="B751" s="16" t="s">
        <v>4616</v>
      </c>
      <c r="C751" s="16" t="s">
        <v>4618</v>
      </c>
      <c r="D751" s="2" t="s">
        <v>4615</v>
      </c>
      <c r="E751" s="3" t="str">
        <f t="shared" si="9"/>
        <v>Faster: PatchCamelyon</v>
      </c>
    </row>
    <row r="752">
      <c r="A752" s="4" t="b">
        <v>1</v>
      </c>
      <c r="B752" s="16" t="s">
        <v>4624</v>
      </c>
      <c r="C752" s="16" t="s">
        <v>4555</v>
      </c>
      <c r="D752" s="2" t="s">
        <v>4623</v>
      </c>
      <c r="E752" s="3" t="str">
        <f t="shared" si="9"/>
        <v>/mnt/data-nas/medical_datasets/BACH</v>
      </c>
    </row>
    <row r="753">
      <c r="A753" s="4" t="b">
        <v>1</v>
      </c>
      <c r="B753" s="16" t="s">
        <v>4630</v>
      </c>
      <c r="C753" s="16" t="s">
        <v>4555</v>
      </c>
      <c r="D753" s="2" t="s">
        <v>4623</v>
      </c>
      <c r="E753" s="3" t="str">
        <f t="shared" si="9"/>
        <v>/mnt/data-nas/medical_datasets/BACH</v>
      </c>
    </row>
    <row r="754">
      <c r="A754" s="16" t="b">
        <v>0</v>
      </c>
      <c r="B754" s="16" t="s">
        <v>4633</v>
      </c>
      <c r="C754" s="16" t="s">
        <v>4634</v>
      </c>
      <c r="D754" s="2"/>
      <c r="E754" s="3" t="str">
        <f t="shared" si="9"/>
        <v/>
      </c>
    </row>
    <row r="755">
      <c r="A755" s="16" t="b">
        <v>0</v>
      </c>
      <c r="B755" s="16" t="s">
        <v>4636</v>
      </c>
      <c r="C755" s="16" t="s">
        <v>4618</v>
      </c>
      <c r="D755" s="2"/>
      <c r="E755" s="3" t="str">
        <f t="shared" si="9"/>
        <v/>
      </c>
    </row>
    <row r="756">
      <c r="A756" s="4" t="b">
        <v>1</v>
      </c>
      <c r="B756" s="16" t="s">
        <v>4643</v>
      </c>
      <c r="C756" s="16" t="s">
        <v>4644</v>
      </c>
      <c r="D756" s="4" t="s">
        <v>4642</v>
      </c>
      <c r="E756" s="3" t="str">
        <f t="shared" si="9"/>
        <v>/mnt/data-nas/medical_datasets/Leukemia</v>
      </c>
    </row>
    <row r="757">
      <c r="A757" s="16" t="b">
        <v>0</v>
      </c>
      <c r="B757" s="16" t="s">
        <v>4649</v>
      </c>
      <c r="C757" s="16" t="s">
        <v>200</v>
      </c>
      <c r="E757" s="3" t="str">
        <f t="shared" si="9"/>
        <v/>
      </c>
    </row>
    <row r="758">
      <c r="A758" s="4" t="b">
        <v>1</v>
      </c>
      <c r="B758" s="16" t="s">
        <v>4655</v>
      </c>
      <c r="C758" s="16" t="s">
        <v>4656</v>
      </c>
      <c r="D758" s="2" t="s">
        <v>4654</v>
      </c>
      <c r="E758" s="3" t="str">
        <f t="shared" si="9"/>
        <v>/mnt/data-nas/medical_datasets/CompleteBloodCount</v>
      </c>
    </row>
    <row r="759">
      <c r="A759" s="4" t="b">
        <v>1</v>
      </c>
      <c r="B759" s="16" t="s">
        <v>4663</v>
      </c>
      <c r="C759" s="16" t="s">
        <v>4664</v>
      </c>
      <c r="D759" s="2" t="s">
        <v>4662</v>
      </c>
      <c r="E759" s="3" t="str">
        <f t="shared" si="9"/>
        <v>/mnt/data-nas/medical_datasets/biovfm/lc25000.zip</v>
      </c>
    </row>
    <row r="760">
      <c r="A760" s="4" t="b">
        <v>1</v>
      </c>
      <c r="B760" s="16" t="s">
        <v>4669</v>
      </c>
      <c r="C760" s="16" t="s">
        <v>200</v>
      </c>
      <c r="D760" s="2" t="s">
        <v>4668</v>
      </c>
      <c r="E760" s="3" t="str">
        <f t="shared" si="9"/>
        <v>/mnt/data-nas/medical_datasets/PanNuke</v>
      </c>
    </row>
    <row r="761">
      <c r="A761" s="4" t="b">
        <v>1</v>
      </c>
      <c r="B761" s="16" t="s">
        <v>4675</v>
      </c>
      <c r="C761" s="16" t="s">
        <v>469</v>
      </c>
      <c r="D761" s="2" t="s">
        <v>4674</v>
      </c>
      <c r="E761" s="3" t="str">
        <f t="shared" si="9"/>
        <v>/mnt/data-nas/medical_datasets/ANHIR</v>
      </c>
    </row>
    <row r="762">
      <c r="A762" s="4" t="b">
        <v>1</v>
      </c>
      <c r="B762" s="16" t="s">
        <v>4681</v>
      </c>
      <c r="C762" s="16" t="s">
        <v>469</v>
      </c>
      <c r="D762" s="2" t="s">
        <v>4680</v>
      </c>
      <c r="E762" s="3" t="str">
        <f t="shared" si="9"/>
        <v>/mnt/data-nas/medical_datasets/MitoEM2021</v>
      </c>
    </row>
    <row r="763">
      <c r="A763" s="4" t="b">
        <v>1</v>
      </c>
      <c r="B763" s="16" t="s">
        <v>4686</v>
      </c>
      <c r="C763" s="16" t="s">
        <v>200</v>
      </c>
      <c r="D763" s="2" t="s">
        <v>4685</v>
      </c>
      <c r="E763" s="3" t="str">
        <f t="shared" si="9"/>
        <v>/mnt/data-nas/medical_datasets/CoCaHis.hdf5</v>
      </c>
    </row>
    <row r="764">
      <c r="A764" s="4" t="b">
        <v>1</v>
      </c>
      <c r="B764" s="16" t="s">
        <v>4694</v>
      </c>
      <c r="C764" s="16"/>
      <c r="D764" s="2" t="s">
        <v>4693</v>
      </c>
      <c r="E764" s="3" t="str">
        <f t="shared" si="9"/>
        <v>/mnt/data-nas/medical_datasets/ARCH</v>
      </c>
    </row>
    <row r="765">
      <c r="A765" s="4" t="b">
        <v>1</v>
      </c>
      <c r="B765" s="16" t="s">
        <v>4700</v>
      </c>
      <c r="C765" s="16" t="s">
        <v>4701</v>
      </c>
      <c r="D765" s="2" t="s">
        <v>4699</v>
      </c>
      <c r="E765" s="3" t="str">
        <f t="shared" si="9"/>
        <v>/mnt/data-nas/medical_datasets/MalariaCellImages</v>
      </c>
    </row>
    <row r="766">
      <c r="A766" s="4" t="b">
        <v>1</v>
      </c>
      <c r="B766" s="16" t="s">
        <v>4707</v>
      </c>
      <c r="C766" s="16" t="s">
        <v>4576</v>
      </c>
      <c r="D766" s="2" t="s">
        <v>4706</v>
      </c>
      <c r="E766" s="3" t="str">
        <f t="shared" si="9"/>
        <v>/mnt/data-nas/medical_datasets/SegPC21</v>
      </c>
    </row>
    <row r="767">
      <c r="A767" s="16" t="b">
        <v>0</v>
      </c>
      <c r="B767" s="16" t="s">
        <v>4712</v>
      </c>
      <c r="C767" s="16" t="s">
        <v>200</v>
      </c>
      <c r="E767" s="3" t="str">
        <f t="shared" si="9"/>
        <v/>
      </c>
    </row>
    <row r="768">
      <c r="A768" s="4" t="b">
        <v>1</v>
      </c>
      <c r="B768" s="16" t="s">
        <v>4716</v>
      </c>
      <c r="C768" s="16" t="s">
        <v>4618</v>
      </c>
      <c r="D768" s="2" t="s">
        <v>4715</v>
      </c>
      <c r="E768" s="3" t="str">
        <f t="shared" si="9"/>
        <v>/mnt/data-nas/medical_datasets/MHIST</v>
      </c>
    </row>
    <row r="769">
      <c r="A769" s="4" t="b">
        <v>1</v>
      </c>
      <c r="B769" s="16" t="s">
        <v>4722</v>
      </c>
      <c r="C769" s="16" t="s">
        <v>200</v>
      </c>
      <c r="D769" s="2" t="s">
        <v>4721</v>
      </c>
      <c r="E769" s="3" t="str">
        <f t="shared" si="9"/>
        <v>/mnt/data-nas/medical_datasets/Chaoyang</v>
      </c>
    </row>
    <row r="770">
      <c r="A770" s="4" t="b">
        <v>1</v>
      </c>
      <c r="B770" s="16" t="s">
        <v>4727</v>
      </c>
      <c r="C770" s="16" t="s">
        <v>301</v>
      </c>
      <c r="D770" s="2" t="s">
        <v>4725</v>
      </c>
      <c r="E770" s="3" t="str">
        <f t="shared" si="9"/>
        <v>/mnt/data-nas/medical_datasets/CoNIC2022</v>
      </c>
    </row>
    <row r="771">
      <c r="A771" s="4" t="b">
        <v>1</v>
      </c>
      <c r="B771" s="16" t="s">
        <v>4732</v>
      </c>
      <c r="C771" s="16" t="s">
        <v>4576</v>
      </c>
      <c r="D771" s="2" t="s">
        <v>4731</v>
      </c>
      <c r="E771" s="3" t="str">
        <f t="shared" si="9"/>
        <v>/mnt/data-nas/medical_datasets/NeurIPS22-CellSeg</v>
      </c>
    </row>
    <row r="772">
      <c r="A772" s="4" t="b">
        <v>1</v>
      </c>
      <c r="B772" s="16" t="s">
        <v>4741</v>
      </c>
      <c r="C772" s="16" t="s">
        <v>200</v>
      </c>
      <c r="D772" s="2" t="s">
        <v>4740</v>
      </c>
      <c r="E772" s="3" t="str">
        <f t="shared" si="9"/>
        <v>/mnt/data-nas/medical_datasets/BRACS</v>
      </c>
    </row>
    <row r="773">
      <c r="A773" s="4" t="b">
        <v>1</v>
      </c>
      <c r="B773" s="16" t="s">
        <v>4751</v>
      </c>
      <c r="C773" s="16" t="s">
        <v>200</v>
      </c>
      <c r="D773" s="2" t="s">
        <v>4750</v>
      </c>
      <c r="E773" s="3" t="str">
        <f t="shared" si="9"/>
        <v>/mnt/data-nas/medical_datasets/BCI.zip</v>
      </c>
    </row>
    <row r="774">
      <c r="A774" s="4" t="b">
        <v>1</v>
      </c>
      <c r="B774" s="16" t="s">
        <v>4756</v>
      </c>
      <c r="C774" s="16" t="s">
        <v>200</v>
      </c>
      <c r="D774" s="2" t="s">
        <v>4755</v>
      </c>
      <c r="E774" s="3" t="str">
        <f t="shared" si="9"/>
        <v>/mnt/data-nas/medical_datasets/MIDOGpp</v>
      </c>
    </row>
    <row r="775">
      <c r="A775" s="4" t="b">
        <v>1</v>
      </c>
      <c r="B775" s="16" t="s">
        <v>4761</v>
      </c>
      <c r="C775" s="16" t="s">
        <v>200</v>
      </c>
      <c r="D775" s="2" t="s">
        <v>4760</v>
      </c>
      <c r="E775" s="3" t="str">
        <f t="shared" si="9"/>
        <v>/mnt/data-nas/medical_datasets/SegPANDA200</v>
      </c>
    </row>
    <row r="776">
      <c r="A776" s="4" t="b">
        <v>1</v>
      </c>
      <c r="B776" s="4" t="s">
        <v>4765</v>
      </c>
      <c r="C776" s="16" t="s">
        <v>200</v>
      </c>
      <c r="D776" s="2" t="s">
        <v>4764</v>
      </c>
      <c r="E776" s="3" t="str">
        <f t="shared" si="9"/>
        <v>/mnt/data-nas/medical_datasets/MIST</v>
      </c>
    </row>
    <row r="777">
      <c r="A777" s="4" t="b">
        <v>1</v>
      </c>
      <c r="B777" s="16" t="s">
        <v>4770</v>
      </c>
      <c r="C777" s="16" t="s">
        <v>469</v>
      </c>
      <c r="D777" s="2" t="s">
        <v>4769</v>
      </c>
      <c r="E777" s="3" t="str">
        <f t="shared" si="9"/>
        <v>/mnt/data-nas/medical_datasets/KPIs</v>
      </c>
    </row>
    <row r="778">
      <c r="A778" s="16" t="b">
        <v>0</v>
      </c>
      <c r="B778" s="4" t="s">
        <v>4776</v>
      </c>
      <c r="C778" s="16" t="s">
        <v>4778</v>
      </c>
      <c r="D778" s="16"/>
      <c r="E778" s="3" t="str">
        <f t="shared" si="9"/>
        <v/>
      </c>
    </row>
    <row r="779">
      <c r="A779" s="4" t="b">
        <v>1</v>
      </c>
      <c r="B779" s="16" t="s">
        <v>4784</v>
      </c>
      <c r="C779" s="16" t="s">
        <v>33</v>
      </c>
      <c r="D779" s="4" t="s">
        <v>4783</v>
      </c>
      <c r="E779" s="3" t="str">
        <f t="shared" si="9"/>
        <v>/mnt/data-nas/medical_datasets/MURA-v1.1.zip</v>
      </c>
    </row>
    <row r="780">
      <c r="A780" s="16" t="b">
        <v>0</v>
      </c>
      <c r="B780" s="16" t="s">
        <v>4790</v>
      </c>
      <c r="C780" s="16" t="s">
        <v>235</v>
      </c>
      <c r="D780" s="16"/>
      <c r="E780" s="3" t="str">
        <f t="shared" si="9"/>
        <v/>
      </c>
    </row>
    <row r="781">
      <c r="A781" s="4" t="b">
        <v>1</v>
      </c>
      <c r="B781" s="16" t="s">
        <v>4796</v>
      </c>
      <c r="C781" s="16" t="s">
        <v>200</v>
      </c>
      <c r="D781" s="4" t="s">
        <v>4795</v>
      </c>
      <c r="E781" s="3" t="str">
        <f t="shared" si="9"/>
        <v>/mnt/data-nas/medical_datasets/OTA</v>
      </c>
    </row>
    <row r="782">
      <c r="A782" s="4" t="b">
        <v>1</v>
      </c>
      <c r="B782" s="16" t="s">
        <v>4800</v>
      </c>
      <c r="C782" s="16" t="s">
        <v>60</v>
      </c>
      <c r="D782" s="4" t="s">
        <v>4799</v>
      </c>
      <c r="E782" s="3" t="str">
        <f t="shared" si="9"/>
        <v>/mnt/data-nas/medical_datasets/VerSe</v>
      </c>
    </row>
    <row r="783">
      <c r="A783" s="4" t="b">
        <v>1</v>
      </c>
      <c r="B783" s="16" t="s">
        <v>4807</v>
      </c>
      <c r="C783" s="16" t="s">
        <v>60</v>
      </c>
      <c r="D783" s="4" t="s">
        <v>4806</v>
      </c>
      <c r="E783" s="3" t="str">
        <f t="shared" si="9"/>
        <v>/mnt/data-nas/medical_datasets/RibFrac2020</v>
      </c>
    </row>
    <row r="784">
      <c r="A784" s="4" t="b">
        <v>1</v>
      </c>
      <c r="B784" s="16" t="s">
        <v>4814</v>
      </c>
      <c r="C784" s="16" t="s">
        <v>33</v>
      </c>
      <c r="D784" s="4" t="s">
        <v>4813</v>
      </c>
      <c r="E784" s="3" t="str">
        <f t="shared" si="9"/>
        <v>/mnt/data-nas/medical_datasets/DigitalKnee.zip</v>
      </c>
    </row>
    <row r="785">
      <c r="A785" s="4" t="b">
        <v>1</v>
      </c>
      <c r="B785" s="16" t="s">
        <v>4818</v>
      </c>
      <c r="C785" s="16" t="s">
        <v>33</v>
      </c>
      <c r="D785" s="4" t="s">
        <v>4817</v>
      </c>
      <c r="E785" s="3" t="str">
        <f t="shared" si="9"/>
        <v>/mnt/data-nas/medical_datasets/KneeOsteoarthritis</v>
      </c>
    </row>
    <row r="786">
      <c r="A786" s="4" t="b">
        <v>1</v>
      </c>
      <c r="B786" s="16" t="s">
        <v>4822</v>
      </c>
      <c r="C786" s="16" t="s">
        <v>60</v>
      </c>
      <c r="D786" s="4" t="s">
        <v>4821</v>
      </c>
      <c r="E786" s="3" t="str">
        <f t="shared" si="9"/>
        <v>/mnt/data-nas/medical_datasets/CTPelvic1K</v>
      </c>
    </row>
    <row r="787">
      <c r="A787" s="4" t="b">
        <v>1</v>
      </c>
      <c r="B787" s="16" t="s">
        <v>4828</v>
      </c>
      <c r="C787" s="16" t="s">
        <v>60</v>
      </c>
      <c r="D787" s="4" t="s">
        <v>4827</v>
      </c>
      <c r="E787" s="3" t="str">
        <f t="shared" si="9"/>
        <v>/mnt/data-nas/medical_datasets/CTSpine1K</v>
      </c>
    </row>
    <row r="788">
      <c r="A788" s="4" t="b">
        <v>1</v>
      </c>
      <c r="B788" s="16" t="s">
        <v>4835</v>
      </c>
      <c r="C788" s="16" t="s">
        <v>33</v>
      </c>
      <c r="D788" s="2" t="s">
        <v>4834</v>
      </c>
      <c r="E788" s="3" t="str">
        <f t="shared" si="9"/>
        <v>/mnt/data-nas/medical_datasets/X-rayHandSmallJointClassification</v>
      </c>
    </row>
    <row r="789">
      <c r="A789" s="4" t="b">
        <v>1</v>
      </c>
      <c r="B789" s="16" t="s">
        <v>4839</v>
      </c>
      <c r="C789" s="16" t="s">
        <v>60</v>
      </c>
      <c r="D789" s="2" t="s">
        <v>4838</v>
      </c>
      <c r="E789" s="3" t="str">
        <f t="shared" si="9"/>
        <v>/mnt/data-nas/medical_datasets/SPIDER</v>
      </c>
    </row>
    <row r="790">
      <c r="A790" s="16" t="b">
        <v>0</v>
      </c>
      <c r="B790" s="16" t="s">
        <v>4845</v>
      </c>
      <c r="C790" s="16" t="s">
        <v>60</v>
      </c>
      <c r="D790" s="2"/>
      <c r="E790" s="3" t="str">
        <f t="shared" si="9"/>
        <v/>
      </c>
    </row>
    <row r="791">
      <c r="A791" s="4" t="b">
        <v>1</v>
      </c>
      <c r="B791" s="16" t="s">
        <v>4851</v>
      </c>
      <c r="C791" s="16" t="s">
        <v>33</v>
      </c>
      <c r="D791" s="2" t="s">
        <v>4850</v>
      </c>
      <c r="E791" s="3" t="str">
        <f t="shared" si="9"/>
        <v>/mnt/data-nas/medical_datasets/dental-x-ray-computacional-vision-segmentation.zip</v>
      </c>
    </row>
    <row r="792">
      <c r="A792" s="4" t="b">
        <v>1</v>
      </c>
      <c r="B792" s="16" t="s">
        <v>4855</v>
      </c>
      <c r="C792" s="16" t="s">
        <v>235</v>
      </c>
      <c r="D792" s="2" t="s">
        <v>4854</v>
      </c>
      <c r="E792" s="3" t="str">
        <f t="shared" si="9"/>
        <v>/mnt/data-nas/medical_datasets/LumbosacralSpineMRI</v>
      </c>
    </row>
    <row r="793">
      <c r="A793" s="4" t="b">
        <v>1</v>
      </c>
      <c r="B793" s="2" t="s">
        <v>4862</v>
      </c>
      <c r="C793" s="3" t="s">
        <v>4863</v>
      </c>
      <c r="D793" s="2" t="s">
        <v>4861</v>
      </c>
      <c r="E793" s="3" t="str">
        <f t="shared" si="9"/>
        <v>/mnt/data-nas/medical_datasets/2D-3D-GS</v>
      </c>
    </row>
    <row r="794">
      <c r="A794" s="16" t="b">
        <v>0</v>
      </c>
      <c r="B794" s="2" t="s">
        <v>4869</v>
      </c>
      <c r="C794" s="3" t="s">
        <v>60</v>
      </c>
      <c r="E794" s="3" t="str">
        <f t="shared" si="9"/>
        <v/>
      </c>
    </row>
    <row r="795">
      <c r="A795" s="4" t="b">
        <v>1</v>
      </c>
      <c r="B795" s="2" t="s">
        <v>4875</v>
      </c>
      <c r="C795" s="3" t="s">
        <v>60</v>
      </c>
      <c r="D795" s="2" t="s">
        <v>4874</v>
      </c>
      <c r="E795" s="3" t="str">
        <f t="shared" si="9"/>
        <v>/mnt/data-nas/medical_datasets/lumbar-CT-vertebrae</v>
      </c>
    </row>
    <row r="796">
      <c r="A796" s="4" t="b">
        <v>1</v>
      </c>
      <c r="B796" s="2" t="s">
        <v>4881</v>
      </c>
      <c r="C796" s="3" t="s">
        <v>108</v>
      </c>
      <c r="D796" s="2" t="s">
        <v>4880</v>
      </c>
      <c r="E796" s="3" t="str">
        <f t="shared" si="9"/>
        <v>/mnt/data-nas/medical_datasets/Leg-3D-US</v>
      </c>
    </row>
    <row r="797">
      <c r="A797" s="4" t="b">
        <v>0</v>
      </c>
      <c r="B797" s="2" t="s">
        <v>4888</v>
      </c>
      <c r="C797" s="3" t="s">
        <v>60</v>
      </c>
      <c r="D797" s="2" t="s">
        <v>4806</v>
      </c>
      <c r="E797" s="3" t="str">
        <f t="shared" si="9"/>
        <v/>
      </c>
    </row>
    <row r="798">
      <c r="A798" s="4" t="b">
        <v>1</v>
      </c>
      <c r="B798" s="2" t="s">
        <v>4894</v>
      </c>
      <c r="C798" s="3" t="s">
        <v>33</v>
      </c>
      <c r="D798" s="2" t="s">
        <v>4893</v>
      </c>
      <c r="E798" s="3" t="str">
        <f t="shared" si="9"/>
        <v>/mnt/data-nas/medical_datasets/rsna-bone-age.zip</v>
      </c>
    </row>
    <row r="799">
      <c r="A799" s="4" t="b">
        <v>1</v>
      </c>
      <c r="B799" s="2" t="s">
        <v>4901</v>
      </c>
      <c r="C799" s="3" t="s">
        <v>60</v>
      </c>
      <c r="D799" s="2" t="s">
        <v>4900</v>
      </c>
      <c r="E799" s="3" t="str">
        <f t="shared" si="9"/>
        <v>/mnt/data-nas/medical_datasets/RSNACSF</v>
      </c>
    </row>
    <row r="800">
      <c r="A800" s="4" t="b">
        <v>0</v>
      </c>
      <c r="B800" s="2" t="s">
        <v>4908</v>
      </c>
      <c r="D800" s="2" t="s">
        <v>4907</v>
      </c>
      <c r="E800" s="3" t="str">
        <f t="shared" si="9"/>
        <v/>
      </c>
    </row>
    <row r="801">
      <c r="A801" s="16" t="b">
        <v>0</v>
      </c>
      <c r="B801" s="2" t="s">
        <v>4910</v>
      </c>
      <c r="E801" s="3" t="str">
        <f t="shared" si="9"/>
        <v/>
      </c>
    </row>
    <row r="802">
      <c r="A802" s="4" t="b">
        <v>1</v>
      </c>
      <c r="B802" s="2" t="s">
        <v>4913</v>
      </c>
      <c r="C802" s="3" t="s">
        <v>60</v>
      </c>
      <c r="D802" s="2" t="s">
        <v>4912</v>
      </c>
      <c r="E802" s="3" t="str">
        <f t="shared" si="9"/>
        <v>/mnt/data-nas/medical_datasets/xVertSeg</v>
      </c>
    </row>
    <row r="803">
      <c r="A803" s="4" t="b">
        <v>1</v>
      </c>
      <c r="B803" s="2" t="s">
        <v>4919</v>
      </c>
      <c r="C803" s="3" t="s">
        <v>33</v>
      </c>
      <c r="D803" s="2" t="s">
        <v>4918</v>
      </c>
      <c r="E803" s="3" t="str">
        <f t="shared" si="9"/>
        <v>/mnt/data-nas/medical_datasets/DDH.zip</v>
      </c>
    </row>
    <row r="804">
      <c r="A804" s="16" t="b">
        <v>0</v>
      </c>
      <c r="B804" s="2" t="s">
        <v>4925</v>
      </c>
      <c r="C804" s="3" t="s">
        <v>235</v>
      </c>
      <c r="E804" s="3" t="str">
        <f t="shared" si="9"/>
        <v/>
      </c>
    </row>
    <row r="805">
      <c r="A805" s="4" t="b">
        <v>1</v>
      </c>
      <c r="B805" s="2" t="s">
        <v>4931</v>
      </c>
      <c r="C805" s="3" t="s">
        <v>235</v>
      </c>
      <c r="D805" s="2" t="s">
        <v>4930</v>
      </c>
      <c r="E805" s="3" t="str">
        <f t="shared" si="9"/>
        <v>/mnt/data-nas/medical_datasets/kneemridataset.zip</v>
      </c>
    </row>
    <row r="806">
      <c r="A806" s="16" t="b">
        <v>0</v>
      </c>
      <c r="B806" s="2" t="s">
        <v>4937</v>
      </c>
      <c r="C806" s="3" t="s">
        <v>4938</v>
      </c>
      <c r="E806" s="3" t="str">
        <f t="shared" si="9"/>
        <v/>
      </c>
    </row>
    <row r="807">
      <c r="A807" s="4" t="b">
        <v>1</v>
      </c>
      <c r="B807" s="2" t="s">
        <v>4945</v>
      </c>
      <c r="C807" s="3" t="s">
        <v>33</v>
      </c>
      <c r="D807" s="2" t="s">
        <v>4944</v>
      </c>
      <c r="E807" s="3" t="str">
        <f t="shared" si="9"/>
        <v>/mnt/data-nas/medical_datasets/LERA.zip</v>
      </c>
    </row>
    <row r="808">
      <c r="A808" s="4" t="b">
        <v>1</v>
      </c>
      <c r="B808" s="2" t="s">
        <v>4952</v>
      </c>
      <c r="C808" s="3" t="s">
        <v>235</v>
      </c>
      <c r="D808" s="2" t="s">
        <v>4951</v>
      </c>
      <c r="E808" s="3" t="str">
        <f t="shared" si="9"/>
        <v>/mnt/data-nas/medical_datasets/MRNet.zip</v>
      </c>
    </row>
    <row r="809">
      <c r="A809" s="16" t="b">
        <v>0</v>
      </c>
      <c r="B809" s="2" t="s">
        <v>4960</v>
      </c>
      <c r="C809" s="3" t="s">
        <v>4938</v>
      </c>
      <c r="E809" s="3" t="str">
        <f t="shared" si="9"/>
        <v/>
      </c>
    </row>
    <row r="810">
      <c r="A810" s="4" t="b">
        <v>1</v>
      </c>
      <c r="B810" s="2" t="s">
        <v>4967</v>
      </c>
      <c r="C810" s="3" t="s">
        <v>235</v>
      </c>
      <c r="D810" s="2" t="s">
        <v>4966</v>
      </c>
      <c r="E810" s="3" t="str">
        <f t="shared" si="9"/>
        <v>/mnt/data-nas/medical_datasets/SKM-TEA</v>
      </c>
    </row>
    <row r="811">
      <c r="A811" s="4" t="b">
        <v>1</v>
      </c>
      <c r="B811" s="2" t="s">
        <v>4975</v>
      </c>
      <c r="C811" s="3" t="s">
        <v>33</v>
      </c>
      <c r="D811" s="2" t="s">
        <v>4974</v>
      </c>
      <c r="E811" s="3" t="str">
        <f t="shared" si="9"/>
        <v>/mnt/data-nas/medical_datasets/XRay-HipJoints.zip</v>
      </c>
    </row>
    <row r="812">
      <c r="A812" s="4" t="b">
        <v>1</v>
      </c>
      <c r="B812" s="16" t="s">
        <v>4979</v>
      </c>
      <c r="C812" s="16" t="s">
        <v>60</v>
      </c>
      <c r="D812" s="4" t="s">
        <v>4978</v>
      </c>
      <c r="E812" s="3" t="str">
        <f t="shared" si="9"/>
        <v>/mnt/data-nas/medical_datasets/CT-ORG</v>
      </c>
    </row>
    <row r="813">
      <c r="A813" s="4" t="b">
        <v>1</v>
      </c>
      <c r="B813" s="16" t="s">
        <v>4987</v>
      </c>
      <c r="C813" s="16" t="s">
        <v>2655</v>
      </c>
      <c r="D813" s="4" t="s">
        <v>4985</v>
      </c>
      <c r="E813" s="3" t="str">
        <f t="shared" si="9"/>
        <v>/mnt/data-nas/medical_datasets/autoPET</v>
      </c>
    </row>
    <row r="814">
      <c r="A814" s="4" t="b">
        <v>1</v>
      </c>
      <c r="B814" s="16" t="s">
        <v>74</v>
      </c>
      <c r="C814" s="16" t="s">
        <v>60</v>
      </c>
      <c r="D814" s="4" t="s">
        <v>4992</v>
      </c>
      <c r="E814" s="3" t="str">
        <f t="shared" si="9"/>
        <v>/mnt/data-nas/medical_datasets/TotalSegmentator</v>
      </c>
    </row>
    <row r="815">
      <c r="A815" s="4" t="b">
        <v>1</v>
      </c>
      <c r="B815" s="16" t="s">
        <v>4999</v>
      </c>
      <c r="C815" s="16" t="s">
        <v>200</v>
      </c>
      <c r="D815" s="4" t="s">
        <v>4997</v>
      </c>
      <c r="E815" s="3" t="str">
        <f t="shared" si="9"/>
        <v>/mnt/data-nas/medical_datasets/NAFLD.zip</v>
      </c>
    </row>
    <row r="816">
      <c r="A816" s="4" t="b">
        <v>1</v>
      </c>
      <c r="B816" s="16" t="s">
        <v>5002</v>
      </c>
      <c r="C816" s="4" t="s">
        <v>75</v>
      </c>
      <c r="D816" s="4" t="s">
        <v>4992</v>
      </c>
      <c r="E816" s="3" t="str">
        <f t="shared" si="9"/>
        <v>/mnt/data-nas/medical_datasets/TotalSegmentator</v>
      </c>
    </row>
    <row r="817">
      <c r="A817" s="4" t="b">
        <v>1</v>
      </c>
      <c r="B817" s="16" t="s">
        <v>5006</v>
      </c>
      <c r="C817" s="4" t="s">
        <v>60</v>
      </c>
      <c r="D817" s="4" t="s">
        <v>5005</v>
      </c>
      <c r="E817" s="3" t="str">
        <f t="shared" si="9"/>
        <v>/mnt/data-nas/medical_datasets/3DLowerLimb</v>
      </c>
    </row>
    <row r="818">
      <c r="A818" s="4" t="b">
        <v>1</v>
      </c>
      <c r="B818" s="4" t="s">
        <v>5011</v>
      </c>
      <c r="C818" s="16" t="s">
        <v>5012</v>
      </c>
      <c r="D818" s="4" t="s">
        <v>5010</v>
      </c>
      <c r="E818" s="3" t="str">
        <f t="shared" si="9"/>
        <v>/mnt/data-nas/medical_datasets/MedFM</v>
      </c>
    </row>
    <row r="819">
      <c r="A819" s="4" t="b">
        <v>1</v>
      </c>
      <c r="B819" s="16" t="s">
        <v>5019</v>
      </c>
      <c r="C819" s="16" t="s">
        <v>60</v>
      </c>
      <c r="D819" s="4" t="s">
        <v>5018</v>
      </c>
      <c r="E819" s="3" t="str">
        <f t="shared" si="9"/>
        <v>Faster: ULS23</v>
      </c>
    </row>
    <row r="820">
      <c r="A820" s="4" t="b">
        <v>1</v>
      </c>
      <c r="B820" s="16" t="s">
        <v>5023</v>
      </c>
      <c r="C820" s="16" t="s">
        <v>235</v>
      </c>
      <c r="D820" s="4" t="s">
        <v>4992</v>
      </c>
      <c r="E820" s="3" t="str">
        <f t="shared" si="9"/>
        <v>/mnt/data-nas/medical_datasets/TotalSegmentator</v>
      </c>
    </row>
    <row r="821">
      <c r="A821" s="4" t="b">
        <v>1</v>
      </c>
      <c r="B821" s="16" t="s">
        <v>5026</v>
      </c>
      <c r="C821" s="16" t="s">
        <v>2655</v>
      </c>
      <c r="D821" s="4" t="s">
        <v>4985</v>
      </c>
      <c r="E821" s="3" t="str">
        <f t="shared" si="9"/>
        <v>/mnt/data-nas/medical_datasets/autoPET</v>
      </c>
    </row>
    <row r="822">
      <c r="A822" s="16" t="b">
        <v>0</v>
      </c>
      <c r="B822" s="2" t="s">
        <v>5032</v>
      </c>
      <c r="C822" s="3" t="s">
        <v>5034</v>
      </c>
      <c r="D822" s="2"/>
      <c r="E822" s="3" t="str">
        <f t="shared" si="9"/>
        <v/>
      </c>
    </row>
    <row r="823">
      <c r="A823" s="4" t="b">
        <v>1</v>
      </c>
      <c r="B823" s="2" t="s">
        <v>5038</v>
      </c>
      <c r="C823" s="3" t="s">
        <v>469</v>
      </c>
      <c r="D823" s="2" t="s">
        <v>5037</v>
      </c>
      <c r="E823" s="3" t="str">
        <f t="shared" si="9"/>
        <v>/mnt/data-nas/medical_datasets/CAMELYON</v>
      </c>
    </row>
    <row r="824">
      <c r="A824" s="4" t="b">
        <v>1</v>
      </c>
      <c r="B824" s="2" t="s">
        <v>5043</v>
      </c>
      <c r="C824" s="3" t="s">
        <v>469</v>
      </c>
      <c r="D824" s="2" t="s">
        <v>5037</v>
      </c>
      <c r="E824" s="3" t="str">
        <f t="shared" si="9"/>
        <v>/mnt/data-nas/medical_datasets/CAMELYON</v>
      </c>
    </row>
    <row r="825">
      <c r="A825" s="4" t="b">
        <v>1</v>
      </c>
      <c r="B825" s="2" t="s">
        <v>5049</v>
      </c>
      <c r="C825" s="3" t="s">
        <v>60</v>
      </c>
      <c r="D825" s="2" t="s">
        <v>5048</v>
      </c>
      <c r="E825" s="3" t="str">
        <f t="shared" si="9"/>
        <v>/mnt/data-nas/medical_datasets/CTLymph</v>
      </c>
    </row>
    <row r="826">
      <c r="A826" s="4" t="b">
        <v>1</v>
      </c>
      <c r="B826" s="2" t="s">
        <v>5054</v>
      </c>
      <c r="C826" s="3" t="s">
        <v>60</v>
      </c>
      <c r="D826" s="2" t="s">
        <v>5053</v>
      </c>
      <c r="E826" s="3" t="str">
        <f t="shared" si="9"/>
        <v>/mnt/data-nas/medical_datasets/LyNoS</v>
      </c>
    </row>
    <row r="827">
      <c r="A827" s="4" t="b">
        <v>1</v>
      </c>
      <c r="B827" s="2" t="s">
        <v>5058</v>
      </c>
      <c r="C827" s="2" t="s">
        <v>5059</v>
      </c>
      <c r="D827" s="2" t="s">
        <v>5057</v>
      </c>
      <c r="E827" s="3" t="str">
        <f t="shared" si="9"/>
        <v>/mnt/data-nas/medical_datasets/MediastinalLymphNode</v>
      </c>
    </row>
    <row r="828">
      <c r="A828" s="4" t="b">
        <v>1</v>
      </c>
      <c r="B828" s="2" t="s">
        <v>5063</v>
      </c>
      <c r="C828" s="2" t="s">
        <v>60</v>
      </c>
      <c r="D828" s="2" t="s">
        <v>5170</v>
      </c>
      <c r="E828" s="3" t="str">
        <f t="shared" si="9"/>
        <v>/mnt/data-nas/medical_datasets/RIDERPILOT</v>
      </c>
    </row>
    <row r="829">
      <c r="A829" s="4" t="b">
        <v>0</v>
      </c>
      <c r="B829" s="2" t="s">
        <v>5065</v>
      </c>
      <c r="C829" s="2" t="s">
        <v>4352</v>
      </c>
      <c r="E829" s="3" t="str">
        <f t="shared" si="9"/>
        <v/>
      </c>
    </row>
    <row r="830">
      <c r="A830" s="2" t="b">
        <v>1</v>
      </c>
      <c r="B830" s="2" t="s">
        <v>5068</v>
      </c>
      <c r="D830" s="2" t="s">
        <v>5067</v>
      </c>
      <c r="E830" s="3" t="str">
        <f t="shared" si="9"/>
        <v>/mnt/data-nas/medical_datasets/VisibleHuman</v>
      </c>
    </row>
    <row r="831">
      <c r="A831" s="2" t="b">
        <v>0</v>
      </c>
      <c r="B831" s="2" t="s">
        <v>5070</v>
      </c>
      <c r="C831" s="2" t="s">
        <v>779</v>
      </c>
      <c r="D831" s="2"/>
      <c r="E831" s="3" t="str">
        <f t="shared" si="9"/>
        <v/>
      </c>
    </row>
    <row r="833">
      <c r="A833" s="3">
        <f>COUNTIF(A3:A828,TRUE)</f>
        <v>549</v>
      </c>
    </row>
    <row r="834">
      <c r="A834" s="3">
        <f>SUM(A833,D833,E833,F833:F835)</f>
        <v>549</v>
      </c>
      <c r="C834" s="3">
        <f>COUNTIFS(C2:C831, "*,*")</f>
        <v>145</v>
      </c>
    </row>
    <row r="835">
      <c r="C835" s="3">
        <f>COUNTIFS(C2:C831, "*+*")</f>
        <v>4</v>
      </c>
    </row>
    <row r="836">
      <c r="C836" s="3">
        <f>COUNTIFS(C2:C831, "*;*")</f>
        <v>18</v>
      </c>
    </row>
    <row r="837">
      <c r="A837" s="2" t="s">
        <v>5075</v>
      </c>
      <c r="C837" s="3">
        <f>COUNTIFS(C3:C832, "*/*")</f>
        <v>10</v>
      </c>
    </row>
    <row r="838">
      <c r="A838" s="3">
        <f>COUNTIF(A3:A112,TRUE)</f>
        <v>79</v>
      </c>
      <c r="C838" s="3">
        <f>COUNTIFS(C4:C833, "*&amp;*")</f>
        <v>21</v>
      </c>
    </row>
    <row r="839">
      <c r="A839" s="119">
        <f>SUM(A838,D838,E838,F838:F840)</f>
        <v>79</v>
      </c>
    </row>
    <row r="842">
      <c r="A842" s="2" t="s">
        <v>5076</v>
      </c>
      <c r="C842" s="3">
        <f>SUMPRODUCT(--((ISNUMBER(SEARCH("&amp;", C2:C831)) + ISNUMBER(SEARCH("/", C2:C831)) + ISNUMBER(SEARCH(",", C2:C831)) + ISNUMBER(SEARCH(";", C2:C831)) + ISNUMBER(SEARCH("+", C2:C831))) &gt; 0))</f>
        <v>193</v>
      </c>
    </row>
    <row r="843">
      <c r="A843" s="3">
        <f>COUNTIF(A113:A222,TRUE)</f>
        <v>70</v>
      </c>
    </row>
    <row r="844">
      <c r="A844" s="119">
        <f>SUM(A843,D843,E843,F843:F845)</f>
        <v>70</v>
      </c>
    </row>
    <row r="847">
      <c r="A847" s="2" t="s">
        <v>5077</v>
      </c>
    </row>
    <row r="848">
      <c r="A848" s="3">
        <f>COUNTIF(A223:A332,TRUE)</f>
        <v>71</v>
      </c>
    </row>
    <row r="849">
      <c r="A849" s="119">
        <f>SUM(A848,D848,E848,F848:F850)</f>
        <v>71</v>
      </c>
    </row>
    <row r="852">
      <c r="A852" s="2" t="s">
        <v>5078</v>
      </c>
    </row>
    <row r="853">
      <c r="A853" s="3">
        <f>COUNTIF(A333:A442,TRUE)</f>
        <v>77</v>
      </c>
    </row>
    <row r="854">
      <c r="A854" s="119">
        <f>SUM(A853,D853,E853,F853:F855)</f>
        <v>77</v>
      </c>
    </row>
    <row r="857">
      <c r="A857" s="2" t="s">
        <v>5079</v>
      </c>
    </row>
    <row r="858">
      <c r="A858" s="3">
        <f>COUNTIF(A443:A552,TRUE)</f>
        <v>70</v>
      </c>
    </row>
    <row r="859">
      <c r="A859" s="119">
        <f>SUM(A858,D858,E858,F858:F860)</f>
        <v>70</v>
      </c>
    </row>
    <row r="862">
      <c r="A862" s="2" t="s">
        <v>5080</v>
      </c>
    </row>
    <row r="863">
      <c r="A863" s="3">
        <f>COUNTIF(A553:A662,TRUE)</f>
        <v>71</v>
      </c>
    </row>
    <row r="864">
      <c r="A864" s="119">
        <f>SUM(A863,D863,E863,F863:F865)</f>
        <v>71</v>
      </c>
    </row>
    <row r="866">
      <c r="A866" s="2"/>
    </row>
    <row r="867">
      <c r="A867" s="2" t="s">
        <v>5081</v>
      </c>
    </row>
    <row r="868">
      <c r="A868" s="3">
        <f>COUNTIF(A663:A828,TRUE)</f>
        <v>111</v>
      </c>
    </row>
    <row r="869">
      <c r="A869" s="119">
        <f>SUM(A868,D868,E868,F868:F870)</f>
        <v>111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57.88"/>
    <col customWidth="1" min="4" max="4" width="43.0"/>
  </cols>
  <sheetData>
    <row r="1">
      <c r="A1" s="1" t="s">
        <v>3</v>
      </c>
      <c r="B1" s="1" t="s">
        <v>9</v>
      </c>
      <c r="C1" s="1" t="s">
        <v>12</v>
      </c>
      <c r="D1" s="1" t="s">
        <v>5116</v>
      </c>
    </row>
    <row r="2">
      <c r="A2" s="3">
        <v>173.0</v>
      </c>
    </row>
    <row r="3">
      <c r="A3" s="3" t="b">
        <v>1</v>
      </c>
      <c r="B3" s="3" t="s">
        <v>348</v>
      </c>
      <c r="C3" s="3" t="s">
        <v>349</v>
      </c>
      <c r="D3" s="3" t="s">
        <v>5171</v>
      </c>
    </row>
    <row r="4">
      <c r="A4" s="3" t="b">
        <v>1</v>
      </c>
      <c r="B4" s="3" t="s">
        <v>401</v>
      </c>
      <c r="C4" s="3" t="s">
        <v>349</v>
      </c>
      <c r="D4" s="3" t="s">
        <v>5172</v>
      </c>
    </row>
    <row r="5">
      <c r="A5" s="3" t="b">
        <v>1</v>
      </c>
      <c r="B5" s="3" t="s">
        <v>436</v>
      </c>
      <c r="C5" s="3" t="s">
        <v>349</v>
      </c>
      <c r="D5" s="3" t="s">
        <v>5173</v>
      </c>
    </row>
    <row r="6">
      <c r="A6" s="3" t="b">
        <v>1</v>
      </c>
      <c r="B6" s="3" t="s">
        <v>454</v>
      </c>
      <c r="C6" s="3" t="s">
        <v>235</v>
      </c>
      <c r="D6" s="3" t="s">
        <v>5174</v>
      </c>
    </row>
    <row r="7">
      <c r="A7" s="3" t="b">
        <v>1</v>
      </c>
      <c r="B7" s="3" t="s">
        <v>463</v>
      </c>
      <c r="C7" s="3" t="s">
        <v>235</v>
      </c>
      <c r="D7" s="3" t="s">
        <v>5175</v>
      </c>
    </row>
    <row r="8">
      <c r="A8" s="3" t="b">
        <v>1</v>
      </c>
      <c r="B8" s="3" t="s">
        <v>507</v>
      </c>
      <c r="C8" s="3" t="s">
        <v>235</v>
      </c>
      <c r="D8" s="3" t="s">
        <v>5176</v>
      </c>
    </row>
    <row r="9">
      <c r="A9" s="3" t="b">
        <v>1</v>
      </c>
      <c r="B9" s="3" t="s">
        <v>510</v>
      </c>
      <c r="C9" s="3" t="s">
        <v>235</v>
      </c>
      <c r="D9" s="3" t="s">
        <v>5177</v>
      </c>
    </row>
    <row r="10">
      <c r="A10" s="3" t="b">
        <v>1</v>
      </c>
      <c r="B10" s="3" t="s">
        <v>516</v>
      </c>
      <c r="C10" s="3" t="s">
        <v>235</v>
      </c>
      <c r="D10" s="3" t="s">
        <v>5178</v>
      </c>
    </row>
    <row r="11">
      <c r="A11" s="3" t="b">
        <v>1</v>
      </c>
      <c r="B11" s="3" t="s">
        <v>1179</v>
      </c>
      <c r="C11" s="3" t="s">
        <v>235</v>
      </c>
      <c r="D11" s="3" t="s">
        <v>1178</v>
      </c>
    </row>
    <row r="12">
      <c r="A12" s="3" t="b">
        <v>1</v>
      </c>
      <c r="B12" s="3" t="s">
        <v>1185</v>
      </c>
      <c r="C12" s="3" t="s">
        <v>235</v>
      </c>
      <c r="D12" s="3" t="s">
        <v>1184</v>
      </c>
    </row>
    <row r="13">
      <c r="A13" s="3" t="b">
        <v>1</v>
      </c>
      <c r="B13" s="3" t="s">
        <v>1207</v>
      </c>
      <c r="C13" s="3" t="s">
        <v>235</v>
      </c>
      <c r="D13" s="3" t="s">
        <v>5143</v>
      </c>
    </row>
    <row r="14">
      <c r="A14" s="3" t="b">
        <v>1</v>
      </c>
      <c r="B14" s="3" t="s">
        <v>1210</v>
      </c>
      <c r="C14" s="3" t="s">
        <v>235</v>
      </c>
      <c r="D14" s="3" t="s">
        <v>5144</v>
      </c>
    </row>
    <row r="15">
      <c r="A15" s="3" t="b">
        <v>1</v>
      </c>
      <c r="B15" s="3" t="s">
        <v>1240</v>
      </c>
      <c r="C15" s="3" t="s">
        <v>235</v>
      </c>
      <c r="D15" s="3" t="s">
        <v>5147</v>
      </c>
    </row>
    <row r="16">
      <c r="A16" s="3" t="b">
        <v>1</v>
      </c>
      <c r="B16" s="3" t="s">
        <v>1255</v>
      </c>
      <c r="C16" s="3" t="s">
        <v>235</v>
      </c>
      <c r="D16" s="3" t="s">
        <v>5148</v>
      </c>
    </row>
    <row r="17">
      <c r="A17" s="3" t="b">
        <v>1</v>
      </c>
      <c r="B17" s="3" t="s">
        <v>1282</v>
      </c>
      <c r="C17" s="3" t="s">
        <v>235</v>
      </c>
      <c r="D17" s="3" t="s">
        <v>5149</v>
      </c>
    </row>
    <row r="18">
      <c r="A18" s="3" t="b">
        <v>1</v>
      </c>
      <c r="B18" s="3" t="s">
        <v>1308</v>
      </c>
      <c r="C18" s="3" t="s">
        <v>235</v>
      </c>
      <c r="D18" s="3" t="s">
        <v>5179</v>
      </c>
    </row>
    <row r="19">
      <c r="A19" s="3" t="b">
        <v>1</v>
      </c>
      <c r="B19" s="3" t="s">
        <v>1329</v>
      </c>
      <c r="C19" s="3" t="s">
        <v>235</v>
      </c>
      <c r="D19" s="3" t="s">
        <v>5152</v>
      </c>
    </row>
    <row r="20">
      <c r="A20" s="3" t="b">
        <v>1</v>
      </c>
      <c r="B20" s="3" t="s">
        <v>1338</v>
      </c>
      <c r="C20" s="3" t="s">
        <v>235</v>
      </c>
      <c r="D20" s="3" t="s">
        <v>1337</v>
      </c>
    </row>
    <row r="21">
      <c r="A21" s="3" t="b">
        <v>1</v>
      </c>
      <c r="B21" s="3" t="s">
        <v>1342</v>
      </c>
      <c r="C21" s="3" t="s">
        <v>235</v>
      </c>
      <c r="D21" s="3" t="s">
        <v>1341</v>
      </c>
    </row>
    <row r="22">
      <c r="A22" s="3" t="b">
        <v>1</v>
      </c>
      <c r="B22" s="3" t="s">
        <v>1345</v>
      </c>
      <c r="C22" s="3" t="s">
        <v>235</v>
      </c>
      <c r="D22" s="3" t="s">
        <v>5147</v>
      </c>
    </row>
    <row r="23">
      <c r="A23" s="3" t="b">
        <v>1</v>
      </c>
      <c r="B23" s="3" t="s">
        <v>1349</v>
      </c>
      <c r="C23" s="3" t="s">
        <v>235</v>
      </c>
      <c r="D23" s="3" t="s">
        <v>5147</v>
      </c>
    </row>
    <row r="24">
      <c r="A24" s="3" t="b">
        <v>1</v>
      </c>
      <c r="B24" s="3" t="s">
        <v>1353</v>
      </c>
      <c r="C24" s="3" t="s">
        <v>235</v>
      </c>
      <c r="D24" s="3" t="s">
        <v>5147</v>
      </c>
    </row>
    <row r="25">
      <c r="A25" s="3" t="b">
        <v>1</v>
      </c>
      <c r="B25" s="3" t="s">
        <v>1357</v>
      </c>
      <c r="C25" s="3" t="s">
        <v>235</v>
      </c>
      <c r="D25" s="3" t="s">
        <v>5147</v>
      </c>
    </row>
    <row r="26">
      <c r="A26" s="3" t="b">
        <v>1</v>
      </c>
      <c r="B26" s="3" t="s">
        <v>1374</v>
      </c>
      <c r="C26" s="3" t="s">
        <v>235</v>
      </c>
      <c r="D26" s="3" t="s">
        <v>1373</v>
      </c>
    </row>
    <row r="27">
      <c r="A27" s="3" t="b">
        <v>1</v>
      </c>
      <c r="B27" s="3" t="s">
        <v>1377</v>
      </c>
      <c r="C27" s="3" t="s">
        <v>235</v>
      </c>
      <c r="D27" s="3" t="s">
        <v>1373</v>
      </c>
    </row>
    <row r="28">
      <c r="A28" s="3" t="b">
        <v>1</v>
      </c>
      <c r="B28" s="3" t="s">
        <v>1378</v>
      </c>
      <c r="C28" s="3" t="s">
        <v>235</v>
      </c>
      <c r="D28" s="3" t="s">
        <v>5153</v>
      </c>
    </row>
    <row r="29">
      <c r="A29" s="3" t="b">
        <v>1</v>
      </c>
      <c r="B29" s="3" t="s">
        <v>1601</v>
      </c>
      <c r="C29" s="3" t="s">
        <v>235</v>
      </c>
      <c r="D29" s="3" t="s">
        <v>5180</v>
      </c>
    </row>
    <row r="30">
      <c r="A30" s="3" t="b">
        <v>1</v>
      </c>
      <c r="B30" s="3" t="s">
        <v>1607</v>
      </c>
      <c r="C30" s="3" t="s">
        <v>1608</v>
      </c>
      <c r="D30" s="3" t="s">
        <v>5181</v>
      </c>
    </row>
    <row r="31">
      <c r="A31" s="3" t="b">
        <v>1</v>
      </c>
      <c r="B31" s="3" t="s">
        <v>1616</v>
      </c>
      <c r="C31" s="3" t="s">
        <v>1617</v>
      </c>
      <c r="D31" s="3" t="s">
        <v>5182</v>
      </c>
    </row>
    <row r="32">
      <c r="A32" s="3" t="b">
        <v>1</v>
      </c>
      <c r="B32" s="3" t="s">
        <v>1638</v>
      </c>
      <c r="C32" s="3" t="s">
        <v>1639</v>
      </c>
      <c r="D32" s="3" t="s">
        <v>5183</v>
      </c>
    </row>
    <row r="33">
      <c r="A33" s="3" t="b">
        <v>1</v>
      </c>
      <c r="B33" s="3" t="s">
        <v>1653</v>
      </c>
      <c r="C33" s="3" t="s">
        <v>1617</v>
      </c>
      <c r="D33" s="3" t="s">
        <v>5184</v>
      </c>
    </row>
    <row r="34">
      <c r="A34" s="3" t="b">
        <v>1</v>
      </c>
      <c r="B34" s="3" t="s">
        <v>1660</v>
      </c>
      <c r="C34" s="3" t="s">
        <v>1639</v>
      </c>
      <c r="D34" s="3" t="s">
        <v>5185</v>
      </c>
    </row>
    <row r="35">
      <c r="A35" s="3" t="b">
        <v>1</v>
      </c>
      <c r="B35" s="3" t="s">
        <v>1665</v>
      </c>
      <c r="C35" s="3" t="s">
        <v>1617</v>
      </c>
      <c r="D35" s="3" t="s">
        <v>5186</v>
      </c>
    </row>
    <row r="36">
      <c r="A36" s="3" t="b">
        <v>1</v>
      </c>
      <c r="B36" s="3" t="s">
        <v>1670</v>
      </c>
      <c r="C36" s="3" t="s">
        <v>1639</v>
      </c>
      <c r="D36" s="3" t="s">
        <v>5187</v>
      </c>
    </row>
    <row r="37">
      <c r="A37" s="3" t="b">
        <v>1</v>
      </c>
      <c r="B37" s="3" t="s">
        <v>1692</v>
      </c>
      <c r="C37" s="3" t="s">
        <v>1693</v>
      </c>
      <c r="D37" s="3" t="s">
        <v>5188</v>
      </c>
    </row>
    <row r="38">
      <c r="A38" s="3" t="b">
        <v>1</v>
      </c>
      <c r="B38" s="3" t="s">
        <v>1734</v>
      </c>
      <c r="C38" s="3" t="s">
        <v>1735</v>
      </c>
      <c r="D38" s="3" t="s">
        <v>5189</v>
      </c>
    </row>
    <row r="39">
      <c r="A39" s="3" t="b">
        <v>1</v>
      </c>
      <c r="B39" s="3" t="s">
        <v>1742</v>
      </c>
      <c r="C39" s="3" t="s">
        <v>1743</v>
      </c>
      <c r="D39" s="3" t="s">
        <v>5190</v>
      </c>
    </row>
    <row r="40">
      <c r="A40" s="3" t="b">
        <v>1</v>
      </c>
      <c r="B40" s="3" t="s">
        <v>1750</v>
      </c>
      <c r="C40" s="3" t="s">
        <v>235</v>
      </c>
      <c r="D40" s="3" t="s">
        <v>5191</v>
      </c>
    </row>
    <row r="41">
      <c r="A41" s="3" t="b">
        <v>1</v>
      </c>
      <c r="B41" s="3" t="s">
        <v>1755</v>
      </c>
      <c r="C41" s="3" t="s">
        <v>1756</v>
      </c>
      <c r="D41" s="3" t="s">
        <v>5192</v>
      </c>
    </row>
    <row r="42">
      <c r="A42" s="3" t="b">
        <v>1</v>
      </c>
      <c r="B42" s="3" t="s">
        <v>1764</v>
      </c>
      <c r="C42" s="3" t="s">
        <v>1765</v>
      </c>
      <c r="D42" s="3" t="s">
        <v>5193</v>
      </c>
    </row>
    <row r="43">
      <c r="A43" s="3" t="b">
        <v>1</v>
      </c>
      <c r="B43" s="3" t="s">
        <v>1776</v>
      </c>
      <c r="C43" s="3" t="s">
        <v>1756</v>
      </c>
      <c r="D43" s="3" t="s">
        <v>5194</v>
      </c>
    </row>
    <row r="44">
      <c r="A44" s="3" t="b">
        <v>1</v>
      </c>
      <c r="B44" s="3" t="s">
        <v>1779</v>
      </c>
      <c r="C44" s="3" t="s">
        <v>1780</v>
      </c>
      <c r="D44" s="3" t="s">
        <v>5195</v>
      </c>
    </row>
    <row r="45">
      <c r="A45" s="3" t="b">
        <v>1</v>
      </c>
      <c r="B45" s="3" t="s">
        <v>1834</v>
      </c>
      <c r="C45" s="3" t="s">
        <v>1788</v>
      </c>
      <c r="D45" s="3" t="s">
        <v>5196</v>
      </c>
    </row>
    <row r="46">
      <c r="A46" s="3" t="b">
        <v>1</v>
      </c>
      <c r="B46" s="3" t="s">
        <v>1838</v>
      </c>
      <c r="C46" s="3" t="s">
        <v>1788</v>
      </c>
      <c r="D46" s="3" t="s">
        <v>5197</v>
      </c>
    </row>
    <row r="47">
      <c r="A47" s="3" t="b">
        <v>1</v>
      </c>
      <c r="B47" s="3" t="s">
        <v>1854</v>
      </c>
      <c r="C47" s="3" t="s">
        <v>1780</v>
      </c>
      <c r="D47" s="3" t="s">
        <v>5198</v>
      </c>
    </row>
    <row r="48">
      <c r="A48" s="3" t="b">
        <v>1</v>
      </c>
      <c r="B48" s="3" t="s">
        <v>1868</v>
      </c>
      <c r="C48" s="3" t="s">
        <v>1693</v>
      </c>
      <c r="D48" s="3" t="s">
        <v>5199</v>
      </c>
    </row>
    <row r="49">
      <c r="A49" s="3" t="b">
        <v>1</v>
      </c>
      <c r="B49" s="3" t="s">
        <v>1872</v>
      </c>
      <c r="C49" s="3" t="s">
        <v>1617</v>
      </c>
      <c r="D49" s="3" t="s">
        <v>5200</v>
      </c>
    </row>
    <row r="50">
      <c r="A50" s="3" t="b">
        <v>1</v>
      </c>
      <c r="B50" s="3" t="s">
        <v>1907</v>
      </c>
      <c r="C50" s="3" t="s">
        <v>1908</v>
      </c>
      <c r="D50" s="3" t="s">
        <v>5201</v>
      </c>
    </row>
    <row r="51">
      <c r="A51" s="3" t="b">
        <v>1</v>
      </c>
      <c r="B51" s="3" t="s">
        <v>1928</v>
      </c>
      <c r="C51" s="3" t="s">
        <v>1929</v>
      </c>
      <c r="D51" s="3" t="s">
        <v>5202</v>
      </c>
    </row>
    <row r="52">
      <c r="A52" s="3" t="b">
        <v>1</v>
      </c>
      <c r="B52" s="3" t="s">
        <v>1954</v>
      </c>
      <c r="C52" s="3" t="s">
        <v>1955</v>
      </c>
      <c r="D52" s="3" t="s">
        <v>5203</v>
      </c>
    </row>
    <row r="53">
      <c r="A53" s="3" t="b">
        <v>1</v>
      </c>
      <c r="B53" s="3" t="s">
        <v>1980</v>
      </c>
      <c r="C53" s="3" t="s">
        <v>1693</v>
      </c>
      <c r="D53" s="3" t="s">
        <v>5204</v>
      </c>
    </row>
    <row r="54">
      <c r="A54" s="3" t="b">
        <v>1</v>
      </c>
      <c r="B54" s="3" t="s">
        <v>1988</v>
      </c>
      <c r="C54" s="3" t="s">
        <v>1989</v>
      </c>
      <c r="D54" s="3" t="s">
        <v>5205</v>
      </c>
    </row>
    <row r="55">
      <c r="A55" s="3" t="b">
        <v>1</v>
      </c>
      <c r="B55" s="3" t="s">
        <v>1996</v>
      </c>
      <c r="C55" s="3" t="s">
        <v>1989</v>
      </c>
      <c r="D55" s="3" t="s">
        <v>5205</v>
      </c>
    </row>
    <row r="56">
      <c r="A56" s="3" t="b">
        <v>1</v>
      </c>
      <c r="B56" s="3" t="s">
        <v>2004</v>
      </c>
      <c r="C56" s="3" t="s">
        <v>2005</v>
      </c>
      <c r="D56" s="3" t="s">
        <v>5206</v>
      </c>
    </row>
    <row r="57">
      <c r="A57" s="3" t="b">
        <v>1</v>
      </c>
      <c r="B57" s="3" t="s">
        <v>2019</v>
      </c>
      <c r="C57" s="3" t="s">
        <v>2020</v>
      </c>
      <c r="D57" s="3" t="s">
        <v>5207</v>
      </c>
    </row>
    <row r="58">
      <c r="A58" s="3" t="b">
        <v>1</v>
      </c>
      <c r="B58" s="3" t="s">
        <v>2043</v>
      </c>
      <c r="C58" s="3" t="s">
        <v>2034</v>
      </c>
      <c r="D58" s="3" t="s">
        <v>5208</v>
      </c>
    </row>
    <row r="59">
      <c r="A59" s="3" t="b">
        <v>1</v>
      </c>
      <c r="B59" s="3" t="s">
        <v>2058</v>
      </c>
      <c r="C59" s="3" t="s">
        <v>2059</v>
      </c>
      <c r="D59" s="3" t="s">
        <v>5209</v>
      </c>
    </row>
    <row r="60">
      <c r="A60" s="3" t="b">
        <v>1</v>
      </c>
      <c r="B60" s="3" t="s">
        <v>2066</v>
      </c>
      <c r="C60" s="3" t="s">
        <v>1693</v>
      </c>
      <c r="D60" s="3" t="s">
        <v>5210</v>
      </c>
    </row>
    <row r="61">
      <c r="A61" s="3" t="b">
        <v>1</v>
      </c>
      <c r="B61" s="3" t="s">
        <v>2073</v>
      </c>
      <c r="C61" s="3" t="s">
        <v>2074</v>
      </c>
      <c r="D61" s="3" t="s">
        <v>5211</v>
      </c>
    </row>
    <row r="62">
      <c r="A62" s="3" t="b">
        <v>1</v>
      </c>
      <c r="B62" s="3" t="s">
        <v>2081</v>
      </c>
      <c r="C62" s="3" t="s">
        <v>1693</v>
      </c>
      <c r="D62" s="3" t="s">
        <v>5212</v>
      </c>
    </row>
    <row r="63">
      <c r="A63" s="3" t="b">
        <v>1</v>
      </c>
      <c r="B63" s="3" t="s">
        <v>2086</v>
      </c>
      <c r="C63" s="3" t="s">
        <v>1693</v>
      </c>
      <c r="D63" s="3" t="s">
        <v>5213</v>
      </c>
    </row>
    <row r="64">
      <c r="A64" s="3" t="b">
        <v>1</v>
      </c>
      <c r="B64" s="3" t="s">
        <v>2117</v>
      </c>
      <c r="C64" s="3" t="s">
        <v>2118</v>
      </c>
      <c r="D64" s="3" t="s">
        <v>5214</v>
      </c>
    </row>
    <row r="65">
      <c r="A65" s="3" t="b">
        <v>1</v>
      </c>
      <c r="B65" s="3" t="s">
        <v>2147</v>
      </c>
      <c r="C65" s="3" t="s">
        <v>1693</v>
      </c>
      <c r="D65" s="3" t="s">
        <v>5215</v>
      </c>
    </row>
    <row r="66">
      <c r="A66" s="3" t="b">
        <v>1</v>
      </c>
      <c r="B66" s="3" t="s">
        <v>2156</v>
      </c>
      <c r="C66" s="3" t="s">
        <v>1693</v>
      </c>
      <c r="D66" s="3" t="s">
        <v>5216</v>
      </c>
    </row>
    <row r="67">
      <c r="A67" s="3" t="b">
        <v>1</v>
      </c>
      <c r="B67" s="3" t="s">
        <v>2180</v>
      </c>
      <c r="C67" s="3" t="s">
        <v>2181</v>
      </c>
      <c r="D67" s="3" t="s">
        <v>5217</v>
      </c>
    </row>
    <row r="68">
      <c r="A68" s="3" t="b">
        <v>1</v>
      </c>
      <c r="B68" s="3" t="s">
        <v>2195</v>
      </c>
      <c r="C68" s="3" t="s">
        <v>2196</v>
      </c>
      <c r="D68" s="3" t="s">
        <v>5218</v>
      </c>
    </row>
    <row r="69">
      <c r="A69" s="3" t="b">
        <v>1</v>
      </c>
      <c r="B69" s="3" t="s">
        <v>2202</v>
      </c>
      <c r="C69" s="3" t="s">
        <v>235</v>
      </c>
      <c r="D69" s="3" t="s">
        <v>5219</v>
      </c>
    </row>
    <row r="70">
      <c r="A70" s="3" t="b">
        <v>1</v>
      </c>
      <c r="B70" s="3" t="s">
        <v>2206</v>
      </c>
      <c r="C70" s="3" t="s">
        <v>1929</v>
      </c>
      <c r="D70" s="3" t="s">
        <v>5220</v>
      </c>
    </row>
    <row r="71">
      <c r="A71" s="3" t="b">
        <v>1</v>
      </c>
      <c r="B71" s="3" t="s">
        <v>2209</v>
      </c>
      <c r="C71" s="3" t="s">
        <v>2210</v>
      </c>
      <c r="D71" s="3" t="s">
        <v>5221</v>
      </c>
    </row>
    <row r="72">
      <c r="A72" s="3" t="b">
        <v>1</v>
      </c>
      <c r="B72" s="3" t="s">
        <v>2221</v>
      </c>
      <c r="C72" s="3" t="s">
        <v>2222</v>
      </c>
      <c r="D72" s="3" t="s">
        <v>5222</v>
      </c>
    </row>
    <row r="73">
      <c r="A73" s="3" t="b">
        <v>1</v>
      </c>
      <c r="B73" s="3" t="s">
        <v>2228</v>
      </c>
      <c r="C73" s="3" t="s">
        <v>2229</v>
      </c>
      <c r="D73" s="3" t="s">
        <v>5223</v>
      </c>
    </row>
    <row r="74">
      <c r="A74" s="3" t="b">
        <v>1</v>
      </c>
      <c r="B74" s="3" t="s">
        <v>2234</v>
      </c>
      <c r="C74" s="3" t="s">
        <v>2235</v>
      </c>
      <c r="D74" s="3" t="s">
        <v>5224</v>
      </c>
    </row>
    <row r="75">
      <c r="A75" s="3" t="b">
        <v>1</v>
      </c>
      <c r="B75" s="3" t="s">
        <v>2260</v>
      </c>
      <c r="C75" s="3" t="s">
        <v>2261</v>
      </c>
      <c r="D75" s="3" t="s">
        <v>5225</v>
      </c>
    </row>
    <row r="76">
      <c r="A76" s="3" t="b">
        <v>1</v>
      </c>
      <c r="B76" s="3" t="s">
        <v>2279</v>
      </c>
      <c r="C76" s="3" t="s">
        <v>2280</v>
      </c>
      <c r="D76" s="3" t="s">
        <v>5226</v>
      </c>
    </row>
    <row r="77">
      <c r="A77" s="3" t="b">
        <v>1</v>
      </c>
      <c r="B77" s="3" t="s">
        <v>2311</v>
      </c>
      <c r="C77" s="3" t="s">
        <v>2312</v>
      </c>
      <c r="D77" s="3" t="s">
        <v>5227</v>
      </c>
    </row>
    <row r="78">
      <c r="A78" s="3" t="b">
        <v>1</v>
      </c>
      <c r="B78" s="3" t="s">
        <v>2320</v>
      </c>
      <c r="C78" s="3" t="s">
        <v>2294</v>
      </c>
      <c r="D78" s="3" t="s">
        <v>5228</v>
      </c>
    </row>
    <row r="79">
      <c r="A79" s="3" t="b">
        <v>1</v>
      </c>
      <c r="B79" s="3" t="s">
        <v>2329</v>
      </c>
      <c r="C79" s="3" t="s">
        <v>2330</v>
      </c>
      <c r="D79" s="3" t="s">
        <v>5229</v>
      </c>
    </row>
    <row r="80">
      <c r="A80" s="3" t="b">
        <v>1</v>
      </c>
      <c r="B80" s="3" t="s">
        <v>2343</v>
      </c>
      <c r="C80" s="3" t="s">
        <v>2344</v>
      </c>
      <c r="D80" s="3" t="s">
        <v>5230</v>
      </c>
    </row>
    <row r="81">
      <c r="A81" s="3" t="b">
        <v>1</v>
      </c>
      <c r="B81" s="3" t="s">
        <v>2367</v>
      </c>
      <c r="C81" s="3" t="s">
        <v>2368</v>
      </c>
      <c r="D81" s="3" t="s">
        <v>5231</v>
      </c>
    </row>
    <row r="82">
      <c r="A82" s="3" t="b">
        <v>1</v>
      </c>
      <c r="B82" s="3" t="s">
        <v>2373</v>
      </c>
      <c r="C82" s="3" t="s">
        <v>2374</v>
      </c>
      <c r="D82" s="3" t="s">
        <v>5232</v>
      </c>
    </row>
    <row r="83">
      <c r="A83" s="3" t="b">
        <v>1</v>
      </c>
      <c r="B83" s="3" t="s">
        <v>2397</v>
      </c>
      <c r="C83" s="3" t="s">
        <v>2398</v>
      </c>
      <c r="D83" s="3" t="s">
        <v>5233</v>
      </c>
    </row>
    <row r="84">
      <c r="A84" s="3" t="b">
        <v>1</v>
      </c>
      <c r="B84" s="3" t="s">
        <v>2420</v>
      </c>
      <c r="C84" s="3" t="s">
        <v>2421</v>
      </c>
      <c r="D84" s="3" t="s">
        <v>5234</v>
      </c>
    </row>
    <row r="85">
      <c r="A85" s="3" t="b">
        <v>1</v>
      </c>
      <c r="B85" s="3" t="s">
        <v>2462</v>
      </c>
      <c r="C85" s="3" t="s">
        <v>235</v>
      </c>
      <c r="D85" s="3" t="s">
        <v>5235</v>
      </c>
    </row>
    <row r="86">
      <c r="A86" s="3" t="b">
        <v>1</v>
      </c>
      <c r="B86" s="3" t="s">
        <v>2505</v>
      </c>
      <c r="C86" s="3" t="s">
        <v>2506</v>
      </c>
      <c r="D86" s="3" t="s">
        <v>5236</v>
      </c>
    </row>
    <row r="87">
      <c r="A87" s="3" t="b">
        <v>1</v>
      </c>
      <c r="B87" s="3" t="s">
        <v>2517</v>
      </c>
      <c r="C87" s="3" t="s">
        <v>2518</v>
      </c>
      <c r="D87" s="3" t="s">
        <v>5237</v>
      </c>
    </row>
    <row r="88">
      <c r="A88" s="3" t="b">
        <v>1</v>
      </c>
      <c r="B88" s="3" t="s">
        <v>2524</v>
      </c>
      <c r="C88" s="3" t="s">
        <v>2351</v>
      </c>
      <c r="D88" s="3" t="s">
        <v>5238</v>
      </c>
    </row>
    <row r="89">
      <c r="A89" s="3" t="b">
        <v>1</v>
      </c>
      <c r="B89" s="3" t="s">
        <v>2531</v>
      </c>
      <c r="C89" s="3" t="s">
        <v>2532</v>
      </c>
      <c r="D89" s="3" t="s">
        <v>5239</v>
      </c>
    </row>
    <row r="90">
      <c r="A90" s="3" t="b">
        <v>1</v>
      </c>
      <c r="B90" s="3" t="s">
        <v>2542</v>
      </c>
      <c r="C90" s="3" t="s">
        <v>2543</v>
      </c>
      <c r="D90" s="3" t="s">
        <v>5240</v>
      </c>
    </row>
    <row r="91">
      <c r="A91" s="3" t="b">
        <v>1</v>
      </c>
      <c r="B91" s="3" t="s">
        <v>2547</v>
      </c>
      <c r="C91" s="3" t="s">
        <v>2548</v>
      </c>
      <c r="D91" s="3" t="s">
        <v>5240</v>
      </c>
    </row>
    <row r="92">
      <c r="A92" s="3" t="b">
        <v>1</v>
      </c>
      <c r="B92" s="3" t="s">
        <v>2551</v>
      </c>
      <c r="C92" s="3" t="s">
        <v>2548</v>
      </c>
      <c r="D92" s="3" t="s">
        <v>5240</v>
      </c>
    </row>
    <row r="93">
      <c r="A93" s="3" t="b">
        <v>1</v>
      </c>
      <c r="B93" s="3" t="s">
        <v>2566</v>
      </c>
      <c r="C93" s="3" t="s">
        <v>2538</v>
      </c>
      <c r="D93" s="3" t="s">
        <v>5241</v>
      </c>
    </row>
    <row r="94">
      <c r="A94" s="3" t="b">
        <v>1</v>
      </c>
      <c r="B94" s="3" t="s">
        <v>2570</v>
      </c>
      <c r="C94" s="3" t="s">
        <v>2538</v>
      </c>
      <c r="D94" s="3" t="s">
        <v>5242</v>
      </c>
    </row>
    <row r="95">
      <c r="A95" s="3" t="b">
        <v>1</v>
      </c>
      <c r="B95" s="3" t="s">
        <v>2574</v>
      </c>
      <c r="C95" s="3" t="s">
        <v>2538</v>
      </c>
      <c r="D95" s="3" t="s">
        <v>5243</v>
      </c>
    </row>
    <row r="96">
      <c r="A96" s="3" t="b">
        <v>1</v>
      </c>
      <c r="B96" s="3" t="s">
        <v>2672</v>
      </c>
      <c r="C96" s="3" t="s">
        <v>235</v>
      </c>
      <c r="D96" s="3" t="s">
        <v>5244</v>
      </c>
    </row>
    <row r="97">
      <c r="A97" s="3" t="b">
        <v>1</v>
      </c>
      <c r="B97" s="3" t="s">
        <v>2808</v>
      </c>
      <c r="C97" s="3" t="s">
        <v>2810</v>
      </c>
      <c r="D97" s="3" t="s">
        <v>5245</v>
      </c>
    </row>
    <row r="98">
      <c r="A98" s="3" t="b">
        <v>1</v>
      </c>
      <c r="B98" s="3" t="s">
        <v>2816</v>
      </c>
      <c r="C98" s="3" t="s">
        <v>235</v>
      </c>
      <c r="D98" s="3" t="s">
        <v>5246</v>
      </c>
    </row>
    <row r="99">
      <c r="A99" s="3" t="b">
        <v>1</v>
      </c>
      <c r="B99" s="3" t="s">
        <v>2824</v>
      </c>
      <c r="C99" s="3" t="s">
        <v>2810</v>
      </c>
      <c r="D99" s="3" t="s">
        <v>5247</v>
      </c>
    </row>
    <row r="100">
      <c r="A100" s="3" t="b">
        <v>1</v>
      </c>
      <c r="B100" s="3" t="s">
        <v>2831</v>
      </c>
      <c r="C100" s="3" t="s">
        <v>1617</v>
      </c>
      <c r="D100" s="3" t="s">
        <v>5248</v>
      </c>
    </row>
    <row r="101">
      <c r="A101" s="3" t="b">
        <v>1</v>
      </c>
      <c r="B101" s="3" t="s">
        <v>2838</v>
      </c>
      <c r="C101" s="3" t="s">
        <v>2810</v>
      </c>
      <c r="D101" s="3" t="s">
        <v>5249</v>
      </c>
    </row>
    <row r="102">
      <c r="A102" s="3" t="b">
        <v>1</v>
      </c>
      <c r="B102" s="3" t="s">
        <v>2848</v>
      </c>
      <c r="C102" s="3" t="s">
        <v>2849</v>
      </c>
      <c r="D102" s="3" t="s">
        <v>5250</v>
      </c>
    </row>
    <row r="103">
      <c r="A103" s="3" t="b">
        <v>1</v>
      </c>
      <c r="B103" s="3" t="s">
        <v>2854</v>
      </c>
      <c r="C103" s="3" t="s">
        <v>2855</v>
      </c>
      <c r="D103" s="3" t="s">
        <v>5251</v>
      </c>
    </row>
    <row r="104">
      <c r="A104" s="3" t="b">
        <v>1</v>
      </c>
      <c r="B104" s="3" t="s">
        <v>2859</v>
      </c>
      <c r="C104" s="3" t="s">
        <v>2810</v>
      </c>
      <c r="D104" s="3" t="s">
        <v>5252</v>
      </c>
    </row>
    <row r="105">
      <c r="A105" s="3" t="b">
        <v>1</v>
      </c>
      <c r="B105" s="3" t="s">
        <v>2872</v>
      </c>
      <c r="C105" s="3" t="s">
        <v>2873</v>
      </c>
      <c r="D105" s="3" t="s">
        <v>5253</v>
      </c>
    </row>
    <row r="106">
      <c r="A106" s="3" t="b">
        <v>1</v>
      </c>
      <c r="B106" s="3" t="s">
        <v>2903</v>
      </c>
      <c r="C106" s="3" t="s">
        <v>235</v>
      </c>
      <c r="D106" s="3" t="s">
        <v>5254</v>
      </c>
    </row>
    <row r="107">
      <c r="A107" s="3" t="b">
        <v>1</v>
      </c>
      <c r="B107" s="3" t="s">
        <v>2980</v>
      </c>
      <c r="C107" s="3" t="s">
        <v>235</v>
      </c>
      <c r="D107" s="3" t="s">
        <v>5255</v>
      </c>
    </row>
    <row r="108">
      <c r="A108" s="3" t="b">
        <v>1</v>
      </c>
      <c r="B108" s="3" t="s">
        <v>3020</v>
      </c>
      <c r="C108" s="3" t="s">
        <v>235</v>
      </c>
      <c r="D108" s="3" t="s">
        <v>5256</v>
      </c>
    </row>
    <row r="109">
      <c r="A109" s="3" t="b">
        <v>1</v>
      </c>
      <c r="B109" s="3" t="s">
        <v>3040</v>
      </c>
      <c r="C109" s="3" t="s">
        <v>235</v>
      </c>
      <c r="D109" s="3" t="s">
        <v>5257</v>
      </c>
    </row>
    <row r="110">
      <c r="A110" s="3" t="b">
        <v>1</v>
      </c>
      <c r="B110" s="3" t="s">
        <v>3063</v>
      </c>
      <c r="C110" s="3" t="s">
        <v>235</v>
      </c>
      <c r="D110" s="3" t="s">
        <v>5258</v>
      </c>
    </row>
    <row r="111">
      <c r="A111" s="3" t="b">
        <v>1</v>
      </c>
      <c r="B111" s="3" t="s">
        <v>3075</v>
      </c>
      <c r="C111" s="3" t="s">
        <v>3076</v>
      </c>
      <c r="D111" s="3" t="s">
        <v>5259</v>
      </c>
    </row>
    <row r="112">
      <c r="A112" s="133" t="b">
        <v>1</v>
      </c>
      <c r="B112" s="16" t="s">
        <v>3618</v>
      </c>
      <c r="C112" s="16" t="s">
        <v>3619</v>
      </c>
      <c r="D112" s="16" t="s">
        <v>5260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33" t="b">
        <v>1</v>
      </c>
      <c r="B113" s="16" t="s">
        <v>3625</v>
      </c>
      <c r="C113" s="16" t="s">
        <v>3619</v>
      </c>
      <c r="D113" s="16" t="s">
        <v>5261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33" t="b">
        <v>1</v>
      </c>
      <c r="B114" s="16" t="s">
        <v>3631</v>
      </c>
      <c r="C114" s="16" t="s">
        <v>3619</v>
      </c>
      <c r="D114" s="16" t="s">
        <v>5262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33" t="b">
        <v>1</v>
      </c>
      <c r="B115" s="16" t="s">
        <v>3637</v>
      </c>
      <c r="C115" s="16" t="s">
        <v>3638</v>
      </c>
      <c r="D115" s="16" t="s">
        <v>5263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33" t="b">
        <v>1</v>
      </c>
      <c r="B116" s="16" t="s">
        <v>3646</v>
      </c>
      <c r="C116" s="16" t="s">
        <v>2335</v>
      </c>
      <c r="D116" s="16" t="s">
        <v>5264</v>
      </c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33" t="b">
        <v>1</v>
      </c>
      <c r="B117" s="16" t="s">
        <v>3839</v>
      </c>
      <c r="C117" s="16" t="s">
        <v>3840</v>
      </c>
      <c r="D117" s="16" t="s">
        <v>5265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33" t="b">
        <v>1</v>
      </c>
      <c r="B118" s="16" t="s">
        <v>3892</v>
      </c>
      <c r="C118" s="16" t="s">
        <v>3893</v>
      </c>
      <c r="D118" s="4" t="s">
        <v>5266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47">
      <c r="A147" s="133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33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33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33" t="b">
        <v>1</v>
      </c>
      <c r="B150" s="16" t="s">
        <v>4077</v>
      </c>
      <c r="C150" s="16" t="s">
        <v>235</v>
      </c>
      <c r="D150" s="16" t="s">
        <v>5267</v>
      </c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33" t="b">
        <v>1</v>
      </c>
      <c r="B151" s="16" t="s">
        <v>4083</v>
      </c>
      <c r="C151" s="16" t="s">
        <v>235</v>
      </c>
      <c r="D151" s="16" t="s">
        <v>5268</v>
      </c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33" t="b">
        <v>1</v>
      </c>
      <c r="B152" s="16" t="s">
        <v>4089</v>
      </c>
      <c r="C152" s="16" t="s">
        <v>235</v>
      </c>
      <c r="D152" s="16" t="s">
        <v>5269</v>
      </c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33" t="b">
        <v>1</v>
      </c>
      <c r="B153" s="16" t="s">
        <v>4119</v>
      </c>
      <c r="C153" s="16" t="s">
        <v>235</v>
      </c>
      <c r="D153" s="16" t="s">
        <v>5270</v>
      </c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33" t="b">
        <v>1</v>
      </c>
      <c r="B154" s="16" t="s">
        <v>4126</v>
      </c>
      <c r="C154" s="16" t="s">
        <v>235</v>
      </c>
      <c r="D154" s="16" t="s">
        <v>5271</v>
      </c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33" t="b">
        <v>1</v>
      </c>
      <c r="B155" s="16" t="s">
        <v>4137</v>
      </c>
      <c r="C155" s="16" t="s">
        <v>235</v>
      </c>
      <c r="D155" s="16" t="s">
        <v>5210</v>
      </c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33" t="b">
        <v>1</v>
      </c>
      <c r="B156" s="16" t="s">
        <v>4140</v>
      </c>
      <c r="C156" s="16" t="s">
        <v>4141</v>
      </c>
      <c r="D156" s="16" t="s">
        <v>5272</v>
      </c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33" t="b">
        <v>1</v>
      </c>
      <c r="B157" s="16" t="s">
        <v>4147</v>
      </c>
      <c r="C157" s="16" t="s">
        <v>4148</v>
      </c>
      <c r="D157" s="16" t="s">
        <v>5273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33" t="b">
        <v>1</v>
      </c>
      <c r="B158" s="16" t="s">
        <v>4165</v>
      </c>
      <c r="C158" s="16" t="s">
        <v>235</v>
      </c>
      <c r="D158" s="16" t="s">
        <v>5274</v>
      </c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33" t="b">
        <v>1</v>
      </c>
      <c r="B159" s="16" t="s">
        <v>4200</v>
      </c>
      <c r="C159" s="16" t="s">
        <v>4202</v>
      </c>
      <c r="D159" s="16" t="s">
        <v>5275</v>
      </c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33" t="b">
        <v>1</v>
      </c>
      <c r="B160" s="16" t="s">
        <v>4240</v>
      </c>
      <c r="C160" s="16" t="s">
        <v>4241</v>
      </c>
      <c r="D160" s="16" t="s">
        <v>5276</v>
      </c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33" t="b">
        <v>1</v>
      </c>
      <c r="B161" s="16" t="s">
        <v>4279</v>
      </c>
      <c r="C161" s="16" t="s">
        <v>4280</v>
      </c>
      <c r="D161" s="16" t="s">
        <v>5277</v>
      </c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33" t="b">
        <v>1</v>
      </c>
      <c r="B162" s="16" t="s">
        <v>4401</v>
      </c>
      <c r="C162" s="16" t="s">
        <v>4402</v>
      </c>
      <c r="D162" s="16" t="s">
        <v>5278</v>
      </c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33" t="b">
        <v>1</v>
      </c>
      <c r="B163" s="16" t="s">
        <v>4406</v>
      </c>
      <c r="C163" s="16" t="s">
        <v>4407</v>
      </c>
      <c r="D163" s="16" t="s">
        <v>5279</v>
      </c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33" t="b">
        <v>1</v>
      </c>
      <c r="B164" s="16" t="s">
        <v>4438</v>
      </c>
      <c r="C164" s="16" t="s">
        <v>4280</v>
      </c>
      <c r="D164" s="16" t="s">
        <v>5280</v>
      </c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33" t="b">
        <v>1</v>
      </c>
      <c r="B165" s="16" t="s">
        <v>4503</v>
      </c>
      <c r="C165" s="16" t="s">
        <v>4425</v>
      </c>
      <c r="D165" s="16" t="s">
        <v>5281</v>
      </c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33" t="b">
        <v>1</v>
      </c>
      <c r="B166" s="16" t="s">
        <v>4515</v>
      </c>
      <c r="C166" s="16" t="s">
        <v>4425</v>
      </c>
      <c r="D166" s="16" t="s">
        <v>5282</v>
      </c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33" t="b">
        <v>1</v>
      </c>
      <c r="B167" s="16" t="s">
        <v>4525</v>
      </c>
      <c r="C167" s="16" t="s">
        <v>235</v>
      </c>
      <c r="D167" s="16" t="s">
        <v>5283</v>
      </c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33" t="b">
        <v>1</v>
      </c>
      <c r="B168" s="16" t="s">
        <v>4532</v>
      </c>
      <c r="C168" s="16" t="s">
        <v>235</v>
      </c>
      <c r="D168" s="16" t="s">
        <v>5284</v>
      </c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3" t="b">
        <v>1</v>
      </c>
      <c r="B169" s="3" t="s">
        <v>4855</v>
      </c>
      <c r="C169" s="3" t="s">
        <v>235</v>
      </c>
      <c r="D169" s="3" t="s">
        <v>5285</v>
      </c>
    </row>
    <row r="170">
      <c r="A170" s="3" t="b">
        <v>1</v>
      </c>
      <c r="B170" s="3" t="s">
        <v>4931</v>
      </c>
      <c r="C170" s="3" t="s">
        <v>235</v>
      </c>
      <c r="D170" s="3" t="s">
        <v>5286</v>
      </c>
    </row>
    <row r="171">
      <c r="A171" s="3" t="b">
        <v>1</v>
      </c>
      <c r="B171" s="3" t="s">
        <v>4952</v>
      </c>
      <c r="C171" s="3" t="s">
        <v>235</v>
      </c>
      <c r="D171" s="3" t="s">
        <v>5287</v>
      </c>
    </row>
    <row r="172">
      <c r="A172" s="3" t="b">
        <v>1</v>
      </c>
      <c r="B172" s="3" t="s">
        <v>4967</v>
      </c>
      <c r="C172" s="3" t="s">
        <v>235</v>
      </c>
      <c r="D172" s="3" t="s">
        <v>5288</v>
      </c>
    </row>
    <row r="173">
      <c r="A173" s="3" t="b">
        <v>1</v>
      </c>
      <c r="B173" s="3" t="s">
        <v>5023</v>
      </c>
      <c r="C173" s="3" t="s">
        <v>235</v>
      </c>
      <c r="D173" s="3" t="s">
        <v>5289</v>
      </c>
    </row>
  </sheetData>
  <drawing r:id="rId1"/>
</worksheet>
</file>